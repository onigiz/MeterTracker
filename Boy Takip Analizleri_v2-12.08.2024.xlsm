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1.xml" ContentType="application/vnd.openxmlformats-officedocument.drawing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2.xml" ContentType="application/vnd.openxmlformats-officedocument.drawing+xml"/>
  <Override PartName="/xl/tables/table8.xml" ContentType="application/vnd.openxmlformats-officedocument.spreadsheetml.table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drawings/drawing3.xml" ContentType="application/vnd.openxmlformats-officedocument.drawing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charts/chart8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9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tables/table11.xml" ContentType="application/vnd.openxmlformats-officedocument.spreadsheetml.table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X:\12. Continuous Improvement\10. PERSONEL\03-STAJYERLER\Stajyer Onur\LAN Hattı Boy Takip\Metraj Takip\VerilerAnalizler\"/>
    </mc:Choice>
  </mc:AlternateContent>
  <xr:revisionPtr revIDLastSave="0" documentId="13_ncr:1_{83F1A4F4-C5BF-4C14-BCEC-09A0CC6A2B4A}" xr6:coauthVersionLast="47" xr6:coauthVersionMax="47" xr10:uidLastSave="{00000000-0000-0000-0000-000000000000}"/>
  <bookViews>
    <workbookView xWindow="-120" yWindow="-120" windowWidth="29040" windowHeight="15720" activeTab="7" xr2:uid="{E147AC44-3068-4AB6-8599-1E7D88E19960}"/>
  </bookViews>
  <sheets>
    <sheet name="Veriler Total" sheetId="1" r:id="rId1"/>
    <sheet name="Veriler" sheetId="13" r:id="rId2"/>
    <sheet name="Kısa Boylar" sheetId="8" r:id="rId3"/>
    <sheet name="Ekstrem Sonuçlar" sheetId="10" r:id="rId4"/>
    <sheet name="Baslangıc" sheetId="3" r:id="rId5"/>
    <sheet name="Oz Bukme Analiz" sheetId="15" r:id="rId6"/>
    <sheet name="L08-04 CF Takip" sheetId="17" r:id="rId7"/>
    <sheet name="Kılıf Analiz" sheetId="19" r:id="rId8"/>
  </sheets>
  <definedNames>
    <definedName name="_xlnm._FilterDatabase" localSheetId="3" hidden="1">'Ekstrem Sonuçlar'!$A$3:$T$42</definedName>
    <definedName name="_xlnm._FilterDatabase" localSheetId="7" hidden="1">'Kılıf Analiz'!$A$3:$T$42</definedName>
    <definedName name="_xlnm._FilterDatabase" localSheetId="2" hidden="1">'Kısa Boylar'!$A$3:$T$42</definedName>
    <definedName name="_xlnm._FilterDatabase" localSheetId="6" hidden="1">'L08-04 CF Takip'!$A$3:$T$42</definedName>
    <definedName name="_xlnm._FilterDatabase" localSheetId="5" hidden="1">'Oz Bukme Analiz'!$A$3:$T$42</definedName>
    <definedName name="_xlnm._FilterDatabase" localSheetId="1" hidden="1">Veriler!$A$3:$H$155</definedName>
    <definedName name="_xlnm._FilterDatabase" localSheetId="0" hidden="1">'Veriler Total'!$A$3:$T$187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B173" i="19" l="1"/>
  <c r="AA173" i="19"/>
  <c r="Z173" i="19"/>
  <c r="X173" i="19"/>
  <c r="W173" i="19"/>
  <c r="V173" i="19"/>
  <c r="Y173" i="19" s="1"/>
  <c r="AB172" i="19"/>
  <c r="AA172" i="19"/>
  <c r="Z172" i="19"/>
  <c r="V172" i="19"/>
  <c r="Y172" i="19" s="1"/>
  <c r="AB171" i="19"/>
  <c r="AA171" i="19"/>
  <c r="Z171" i="19"/>
  <c r="V171" i="19"/>
  <c r="Y171" i="19" s="1"/>
  <c r="AB170" i="19"/>
  <c r="AA170" i="19"/>
  <c r="Z170" i="19"/>
  <c r="Y170" i="19"/>
  <c r="X170" i="19"/>
  <c r="V170" i="19"/>
  <c r="W170" i="19" s="1"/>
  <c r="AB169" i="19"/>
  <c r="AA169" i="19"/>
  <c r="Z169" i="19"/>
  <c r="Y169" i="19"/>
  <c r="V169" i="19"/>
  <c r="X169" i="19" s="1"/>
  <c r="AB168" i="19"/>
  <c r="AA168" i="19"/>
  <c r="Z168" i="19"/>
  <c r="X168" i="19"/>
  <c r="W168" i="19"/>
  <c r="V168" i="19"/>
  <c r="Y168" i="19" s="1"/>
  <c r="AB167" i="19"/>
  <c r="AA167" i="19"/>
  <c r="Z167" i="19"/>
  <c r="V167" i="19"/>
  <c r="Y167" i="19" s="1"/>
  <c r="AB166" i="19"/>
  <c r="AA166" i="19"/>
  <c r="Z166" i="19"/>
  <c r="V166" i="19"/>
  <c r="Y166" i="19" s="1"/>
  <c r="AB165" i="19"/>
  <c r="AA165" i="19"/>
  <c r="Z165" i="19"/>
  <c r="Y165" i="19"/>
  <c r="X165" i="19"/>
  <c r="W165" i="19"/>
  <c r="V165" i="19"/>
  <c r="AB158" i="19"/>
  <c r="AA158" i="19"/>
  <c r="Z158" i="19"/>
  <c r="V158" i="19"/>
  <c r="Y158" i="19" s="1"/>
  <c r="AB157" i="19"/>
  <c r="AA157" i="19"/>
  <c r="Z157" i="19"/>
  <c r="Y157" i="19"/>
  <c r="X157" i="19"/>
  <c r="W157" i="19"/>
  <c r="V157" i="19"/>
  <c r="AB156" i="19"/>
  <c r="AA156" i="19"/>
  <c r="Z156" i="19"/>
  <c r="V156" i="19"/>
  <c r="Y156" i="19" s="1"/>
  <c r="AB155" i="19"/>
  <c r="AA155" i="19"/>
  <c r="Z155" i="19"/>
  <c r="V155" i="19"/>
  <c r="Y155" i="19" s="1"/>
  <c r="AB154" i="19"/>
  <c r="AA154" i="19"/>
  <c r="Z154" i="19"/>
  <c r="V154" i="19"/>
  <c r="Y154" i="19" s="1"/>
  <c r="AB153" i="19"/>
  <c r="AA153" i="19"/>
  <c r="Z153" i="19"/>
  <c r="V153" i="19"/>
  <c r="Y153" i="19" s="1"/>
  <c r="AB152" i="19"/>
  <c r="AA152" i="19"/>
  <c r="Z152" i="19"/>
  <c r="V152" i="19"/>
  <c r="Y152" i="19" s="1"/>
  <c r="AB151" i="19"/>
  <c r="AA151" i="19"/>
  <c r="Z151" i="19"/>
  <c r="V151" i="19"/>
  <c r="Y151" i="19" s="1"/>
  <c r="AB150" i="19"/>
  <c r="AA150" i="19"/>
  <c r="Z150" i="19"/>
  <c r="Y150" i="19"/>
  <c r="X150" i="19"/>
  <c r="W150" i="19"/>
  <c r="V150" i="19"/>
  <c r="AB149" i="19"/>
  <c r="AA149" i="19"/>
  <c r="Z149" i="19"/>
  <c r="V149" i="19"/>
  <c r="Y149" i="19" s="1"/>
  <c r="AB148" i="19"/>
  <c r="AA148" i="19"/>
  <c r="Z148" i="19"/>
  <c r="Y148" i="19"/>
  <c r="X148" i="19"/>
  <c r="W148" i="19"/>
  <c r="V148" i="19"/>
  <c r="AB147" i="19"/>
  <c r="AA147" i="19"/>
  <c r="Z147" i="19"/>
  <c r="Y147" i="19"/>
  <c r="W147" i="19"/>
  <c r="V147" i="19"/>
  <c r="X147" i="19" s="1"/>
  <c r="AB146" i="19"/>
  <c r="AA146" i="19"/>
  <c r="Z146" i="19"/>
  <c r="X146" i="19"/>
  <c r="W146" i="19"/>
  <c r="V146" i="19"/>
  <c r="Y146" i="19" s="1"/>
  <c r="AB145" i="19"/>
  <c r="AA145" i="19"/>
  <c r="Z145" i="19"/>
  <c r="Y145" i="19"/>
  <c r="X145" i="19"/>
  <c r="V145" i="19"/>
  <c r="W145" i="19" s="1"/>
  <c r="AB138" i="19"/>
  <c r="AA138" i="19"/>
  <c r="Z138" i="19"/>
  <c r="V138" i="19"/>
  <c r="Y138" i="19" s="1"/>
  <c r="AB137" i="19"/>
  <c r="AA137" i="19"/>
  <c r="Z137" i="19"/>
  <c r="V137" i="19"/>
  <c r="Y137" i="19" s="1"/>
  <c r="AB136" i="19"/>
  <c r="AA136" i="19"/>
  <c r="Z136" i="19"/>
  <c r="V136" i="19"/>
  <c r="X136" i="19" s="1"/>
  <c r="AB135" i="19"/>
  <c r="AA135" i="19"/>
  <c r="Z135" i="19"/>
  <c r="V135" i="19"/>
  <c r="Y135" i="19" s="1"/>
  <c r="AB134" i="19"/>
  <c r="AA134" i="19"/>
  <c r="Z134" i="19"/>
  <c r="V134" i="19"/>
  <c r="Y134" i="19" s="1"/>
  <c r="AB133" i="19"/>
  <c r="AA133" i="19"/>
  <c r="Z133" i="19"/>
  <c r="V133" i="19"/>
  <c r="Y133" i="19" s="1"/>
  <c r="AB132" i="19"/>
  <c r="AA132" i="19"/>
  <c r="Z132" i="19"/>
  <c r="V132" i="19"/>
  <c r="Y132" i="19" s="1"/>
  <c r="AB131" i="19"/>
  <c r="AA131" i="19"/>
  <c r="Z131" i="19"/>
  <c r="V131" i="19"/>
  <c r="Y131" i="19" s="1"/>
  <c r="AB130" i="19"/>
  <c r="AA130" i="19"/>
  <c r="Z130" i="19"/>
  <c r="V130" i="19"/>
  <c r="Y130" i="19" s="1"/>
  <c r="AB129" i="19"/>
  <c r="AA129" i="19"/>
  <c r="Z129" i="19"/>
  <c r="Y129" i="19"/>
  <c r="V129" i="19"/>
  <c r="W129" i="19" s="1"/>
  <c r="AB128" i="19"/>
  <c r="AA128" i="19"/>
  <c r="Z128" i="19"/>
  <c r="V128" i="19"/>
  <c r="Y128" i="19" s="1"/>
  <c r="AB127" i="19"/>
  <c r="AA127" i="19"/>
  <c r="Z127" i="19"/>
  <c r="V127" i="19"/>
  <c r="X127" i="19" s="1"/>
  <c r="AB126" i="19"/>
  <c r="AA126" i="19"/>
  <c r="Z126" i="19"/>
  <c r="V126" i="19"/>
  <c r="Y126" i="19" s="1"/>
  <c r="AB125" i="19"/>
  <c r="AA125" i="19"/>
  <c r="Z125" i="19"/>
  <c r="Y125" i="19"/>
  <c r="V125" i="19"/>
  <c r="X125" i="19" s="1"/>
  <c r="AB124" i="19"/>
  <c r="AA124" i="19"/>
  <c r="Z124" i="19"/>
  <c r="V124" i="19"/>
  <c r="Y124" i="19" s="1"/>
  <c r="AB123" i="19"/>
  <c r="AA123" i="19"/>
  <c r="Z123" i="19"/>
  <c r="V123" i="19"/>
  <c r="Y123" i="19" s="1"/>
  <c r="AB122" i="19"/>
  <c r="AA122" i="19"/>
  <c r="Z122" i="19"/>
  <c r="V122" i="19"/>
  <c r="Y122" i="19" s="1"/>
  <c r="AB121" i="19"/>
  <c r="AA121" i="19"/>
  <c r="Z121" i="19"/>
  <c r="V121" i="19"/>
  <c r="Y121" i="19" s="1"/>
  <c r="AB120" i="19"/>
  <c r="AA120" i="19"/>
  <c r="Z120" i="19"/>
  <c r="V120" i="19"/>
  <c r="Y120" i="19" s="1"/>
  <c r="AB119" i="19"/>
  <c r="AA119" i="19"/>
  <c r="Z119" i="19"/>
  <c r="V119" i="19"/>
  <c r="Y119" i="19" s="1"/>
  <c r="AB118" i="19"/>
  <c r="AA118" i="19"/>
  <c r="Z118" i="19"/>
  <c r="V118" i="19"/>
  <c r="Y118" i="19" s="1"/>
  <c r="AB117" i="19"/>
  <c r="AA117" i="19"/>
  <c r="Z117" i="19"/>
  <c r="X117" i="19"/>
  <c r="W117" i="19"/>
  <c r="V117" i="19"/>
  <c r="Y117" i="19" s="1"/>
  <c r="AB116" i="19"/>
  <c r="AA116" i="19"/>
  <c r="Z116" i="19"/>
  <c r="Y116" i="19"/>
  <c r="V116" i="19"/>
  <c r="X116" i="19" s="1"/>
  <c r="AB115" i="19"/>
  <c r="AA115" i="19"/>
  <c r="Z115" i="19"/>
  <c r="V115" i="19"/>
  <c r="Y115" i="19" s="1"/>
  <c r="AB114" i="19"/>
  <c r="AA114" i="19"/>
  <c r="Z114" i="19"/>
  <c r="V114" i="19"/>
  <c r="Y114" i="19" s="1"/>
  <c r="AB113" i="19"/>
  <c r="AA113" i="19"/>
  <c r="Z113" i="19"/>
  <c r="V113" i="19"/>
  <c r="Y113" i="19" s="1"/>
  <c r="AB112" i="19"/>
  <c r="AA112" i="19"/>
  <c r="Z112" i="19"/>
  <c r="X112" i="19"/>
  <c r="V112" i="19"/>
  <c r="Y112" i="19" s="1"/>
  <c r="AB111" i="19"/>
  <c r="AA111" i="19"/>
  <c r="Z111" i="19"/>
  <c r="V111" i="19"/>
  <c r="Y111" i="19" s="1"/>
  <c r="AB110" i="19"/>
  <c r="AA110" i="19"/>
  <c r="Z110" i="19"/>
  <c r="Y110" i="19"/>
  <c r="W110" i="19"/>
  <c r="V110" i="19"/>
  <c r="X110" i="19" s="1"/>
  <c r="AB109" i="19"/>
  <c r="AA109" i="19"/>
  <c r="Z109" i="19"/>
  <c r="V109" i="19"/>
  <c r="X109" i="19" s="1"/>
  <c r="AB108" i="19"/>
  <c r="AA108" i="19"/>
  <c r="Z108" i="19"/>
  <c r="Y108" i="19"/>
  <c r="V108" i="19"/>
  <c r="X108" i="19" s="1"/>
  <c r="AB107" i="19"/>
  <c r="AA107" i="19"/>
  <c r="Z107" i="19"/>
  <c r="V107" i="19"/>
  <c r="Y107" i="19" s="1"/>
  <c r="AB106" i="19"/>
  <c r="AA106" i="19"/>
  <c r="Z106" i="19"/>
  <c r="V106" i="19"/>
  <c r="Y106" i="19" s="1"/>
  <c r="AB105" i="19"/>
  <c r="AA105" i="19"/>
  <c r="Z105" i="19"/>
  <c r="X105" i="19"/>
  <c r="W105" i="19"/>
  <c r="V105" i="19"/>
  <c r="Y105" i="19" s="1"/>
  <c r="AB104" i="19"/>
  <c r="AA104" i="19"/>
  <c r="Z104" i="19"/>
  <c r="V104" i="19"/>
  <c r="Y104" i="19" s="1"/>
  <c r="AB103" i="19"/>
  <c r="AA103" i="19"/>
  <c r="Z103" i="19"/>
  <c r="V103" i="19"/>
  <c r="Y103" i="19" s="1"/>
  <c r="AB102" i="19"/>
  <c r="AA102" i="19"/>
  <c r="Z102" i="19"/>
  <c r="V102" i="19"/>
  <c r="Y102" i="19" s="1"/>
  <c r="AB101" i="19"/>
  <c r="AA101" i="19"/>
  <c r="Z101" i="19"/>
  <c r="Y101" i="19"/>
  <c r="X101" i="19"/>
  <c r="V101" i="19"/>
  <c r="W101" i="19" s="1"/>
  <c r="AB100" i="19"/>
  <c r="AA100" i="19"/>
  <c r="Z100" i="19"/>
  <c r="Y100" i="19"/>
  <c r="V100" i="19"/>
  <c r="X100" i="19" s="1"/>
  <c r="AB99" i="19"/>
  <c r="AA99" i="19"/>
  <c r="Z99" i="19"/>
  <c r="X99" i="19"/>
  <c r="W99" i="19"/>
  <c r="V99" i="19"/>
  <c r="Y99" i="19" s="1"/>
  <c r="AB98" i="19"/>
  <c r="AA98" i="19"/>
  <c r="Z98" i="19"/>
  <c r="Y98" i="19"/>
  <c r="V98" i="19"/>
  <c r="X98" i="19" s="1"/>
  <c r="AB97" i="19"/>
  <c r="AA97" i="19"/>
  <c r="Z97" i="19"/>
  <c r="W97" i="19"/>
  <c r="V97" i="19"/>
  <c r="Y97" i="19" s="1"/>
  <c r="AB96" i="19"/>
  <c r="AA96" i="19"/>
  <c r="Z96" i="19"/>
  <c r="Y96" i="19"/>
  <c r="W96" i="19"/>
  <c r="V96" i="19"/>
  <c r="X96" i="19" s="1"/>
  <c r="AB95" i="19"/>
  <c r="AA95" i="19"/>
  <c r="Z95" i="19"/>
  <c r="Y95" i="19"/>
  <c r="V95" i="19"/>
  <c r="X95" i="19" s="1"/>
  <c r="AB94" i="19"/>
  <c r="AA94" i="19"/>
  <c r="Z94" i="19"/>
  <c r="W94" i="19"/>
  <c r="V94" i="19"/>
  <c r="Y94" i="19" s="1"/>
  <c r="AB93" i="19"/>
  <c r="AA93" i="19"/>
  <c r="Z93" i="19"/>
  <c r="X93" i="19"/>
  <c r="W93" i="19"/>
  <c r="V93" i="19"/>
  <c r="Y93" i="19" s="1"/>
  <c r="AB92" i="19"/>
  <c r="AA92" i="19"/>
  <c r="Z92" i="19"/>
  <c r="V92" i="19"/>
  <c r="Y92" i="19" s="1"/>
  <c r="AB91" i="19"/>
  <c r="AA91" i="19"/>
  <c r="Z91" i="19"/>
  <c r="V91" i="19"/>
  <c r="Y91" i="19" s="1"/>
  <c r="AB90" i="19"/>
  <c r="AA90" i="19"/>
  <c r="Z90" i="19"/>
  <c r="W90" i="19"/>
  <c r="V90" i="19"/>
  <c r="X90" i="19" s="1"/>
  <c r="AB89" i="19"/>
  <c r="AA89" i="19"/>
  <c r="Z89" i="19"/>
  <c r="Y89" i="19"/>
  <c r="V89" i="19"/>
  <c r="X89" i="19" s="1"/>
  <c r="AB88" i="19"/>
  <c r="AA88" i="19"/>
  <c r="Z88" i="19"/>
  <c r="X88" i="19"/>
  <c r="V88" i="19"/>
  <c r="Y88" i="19" s="1"/>
  <c r="AB87" i="19"/>
  <c r="AA87" i="19"/>
  <c r="Z87" i="19"/>
  <c r="V87" i="19"/>
  <c r="Y87" i="19" s="1"/>
  <c r="AB86" i="19"/>
  <c r="AA86" i="19"/>
  <c r="Z86" i="19"/>
  <c r="V86" i="19"/>
  <c r="Y86" i="19" s="1"/>
  <c r="AB85" i="19"/>
  <c r="AA85" i="19"/>
  <c r="Z85" i="19"/>
  <c r="Y85" i="19"/>
  <c r="V85" i="19"/>
  <c r="X85" i="19" s="1"/>
  <c r="AB84" i="19"/>
  <c r="AA84" i="19"/>
  <c r="Z84" i="19"/>
  <c r="Y84" i="19"/>
  <c r="V84" i="19"/>
  <c r="X84" i="19" s="1"/>
  <c r="AB83" i="19"/>
  <c r="AA83" i="19"/>
  <c r="Z83" i="19"/>
  <c r="V83" i="19"/>
  <c r="Y83" i="19" s="1"/>
  <c r="AB82" i="19"/>
  <c r="AA82" i="19"/>
  <c r="Z82" i="19"/>
  <c r="V82" i="19"/>
  <c r="Y82" i="19" s="1"/>
  <c r="AB81" i="19"/>
  <c r="AA81" i="19"/>
  <c r="Z81" i="19"/>
  <c r="V81" i="19"/>
  <c r="X81" i="19" s="1"/>
  <c r="AB80" i="19"/>
  <c r="AA80" i="19"/>
  <c r="Z80" i="19"/>
  <c r="V80" i="19"/>
  <c r="W80" i="19" s="1"/>
  <c r="AB79" i="19"/>
  <c r="AA79" i="19"/>
  <c r="Z79" i="19"/>
  <c r="V79" i="19"/>
  <c r="Y79" i="19" s="1"/>
  <c r="AB78" i="19"/>
  <c r="AA78" i="19"/>
  <c r="Z78" i="19"/>
  <c r="V78" i="19"/>
  <c r="Y78" i="19" s="1"/>
  <c r="AB77" i="19"/>
  <c r="AA77" i="19"/>
  <c r="Z77" i="19"/>
  <c r="V77" i="19"/>
  <c r="X77" i="19" s="1"/>
  <c r="AB76" i="19"/>
  <c r="AA76" i="19"/>
  <c r="Z76" i="19"/>
  <c r="V76" i="19"/>
  <c r="Y76" i="19" s="1"/>
  <c r="AB75" i="19"/>
  <c r="AA75" i="19"/>
  <c r="Z75" i="19"/>
  <c r="V75" i="19"/>
  <c r="Y75" i="19" s="1"/>
  <c r="AB74" i="19"/>
  <c r="AA74" i="19"/>
  <c r="Z74" i="19"/>
  <c r="V74" i="19"/>
  <c r="Y74" i="19" s="1"/>
  <c r="AB73" i="19"/>
  <c r="AA73" i="19"/>
  <c r="Z73" i="19"/>
  <c r="V73" i="19"/>
  <c r="Y73" i="19" s="1"/>
  <c r="AB72" i="19"/>
  <c r="AA72" i="19"/>
  <c r="Z72" i="19"/>
  <c r="V72" i="19"/>
  <c r="X72" i="19" s="1"/>
  <c r="AB71" i="19"/>
  <c r="AA71" i="19"/>
  <c r="Z71" i="19"/>
  <c r="W71" i="19"/>
  <c r="V71" i="19"/>
  <c r="Y71" i="19" s="1"/>
  <c r="AB70" i="19"/>
  <c r="AA70" i="19"/>
  <c r="Z70" i="19"/>
  <c r="X70" i="19"/>
  <c r="V70" i="19"/>
  <c r="Y70" i="19" s="1"/>
  <c r="AB69" i="19"/>
  <c r="AA69" i="19"/>
  <c r="Z69" i="19"/>
  <c r="V69" i="19"/>
  <c r="Y69" i="19" s="1"/>
  <c r="AB68" i="19"/>
  <c r="AA68" i="19"/>
  <c r="Z68" i="19"/>
  <c r="V68" i="19"/>
  <c r="Y68" i="19" s="1"/>
  <c r="AB67" i="19"/>
  <c r="AA67" i="19"/>
  <c r="Z67" i="19"/>
  <c r="V67" i="19"/>
  <c r="X67" i="19" s="1"/>
  <c r="AB66" i="19"/>
  <c r="AA66" i="19"/>
  <c r="Z66" i="19"/>
  <c r="V66" i="19"/>
  <c r="Y66" i="19" s="1"/>
  <c r="AB65" i="19"/>
  <c r="AA65" i="19"/>
  <c r="Z65" i="19"/>
  <c r="X65" i="19"/>
  <c r="W65" i="19"/>
  <c r="V65" i="19"/>
  <c r="Y65" i="19" s="1"/>
  <c r="AB64" i="19"/>
  <c r="AA64" i="19"/>
  <c r="Z64" i="19"/>
  <c r="X64" i="19"/>
  <c r="W64" i="19"/>
  <c r="V64" i="19"/>
  <c r="Y64" i="19" s="1"/>
  <c r="AB63" i="19"/>
  <c r="AA63" i="19"/>
  <c r="Z63" i="19"/>
  <c r="V63" i="19"/>
  <c r="X63" i="19" s="1"/>
  <c r="AB62" i="19"/>
  <c r="AA62" i="19"/>
  <c r="Z62" i="19"/>
  <c r="V62" i="19"/>
  <c r="Y62" i="19" s="1"/>
  <c r="AB61" i="19"/>
  <c r="AA61" i="19"/>
  <c r="Z61" i="19"/>
  <c r="V61" i="19"/>
  <c r="Y61" i="19" s="1"/>
  <c r="AB60" i="19"/>
  <c r="AA60" i="19"/>
  <c r="Z60" i="19"/>
  <c r="V60" i="19"/>
  <c r="Y60" i="19" s="1"/>
  <c r="AB59" i="19"/>
  <c r="AA59" i="19"/>
  <c r="Z59" i="19"/>
  <c r="V59" i="19"/>
  <c r="Y59" i="19" s="1"/>
  <c r="AB58" i="19"/>
  <c r="AA58" i="19"/>
  <c r="Z58" i="19"/>
  <c r="V58" i="19"/>
  <c r="Y58" i="19" s="1"/>
  <c r="AB57" i="19"/>
  <c r="AA57" i="19"/>
  <c r="Z57" i="19"/>
  <c r="V57" i="19"/>
  <c r="Y57" i="19" s="1"/>
  <c r="AB56" i="19"/>
  <c r="AA56" i="19"/>
  <c r="Z56" i="19"/>
  <c r="V56" i="19"/>
  <c r="Y56" i="19" s="1"/>
  <c r="AB55" i="19"/>
  <c r="AA55" i="19"/>
  <c r="Z55" i="19"/>
  <c r="V55" i="19"/>
  <c r="Y55" i="19" s="1"/>
  <c r="AB54" i="19"/>
  <c r="AA54" i="19"/>
  <c r="Z54" i="19"/>
  <c r="V54" i="19"/>
  <c r="Y54" i="19" s="1"/>
  <c r="AB53" i="19"/>
  <c r="AA53" i="19"/>
  <c r="Z53" i="19"/>
  <c r="V53" i="19"/>
  <c r="Y53" i="19" s="1"/>
  <c r="AB52" i="19"/>
  <c r="AA52" i="19"/>
  <c r="Z52" i="19"/>
  <c r="V52" i="19"/>
  <c r="Y52" i="19" s="1"/>
  <c r="AB51" i="19"/>
  <c r="AA51" i="19"/>
  <c r="Z51" i="19"/>
  <c r="V51" i="19"/>
  <c r="Y51" i="19" s="1"/>
  <c r="AB50" i="19"/>
  <c r="AA50" i="19"/>
  <c r="Z50" i="19"/>
  <c r="V50" i="19"/>
  <c r="Y50" i="19" s="1"/>
  <c r="AB49" i="19"/>
  <c r="AA49" i="19"/>
  <c r="Z49" i="19"/>
  <c r="X49" i="19"/>
  <c r="W49" i="19"/>
  <c r="V49" i="19"/>
  <c r="Y49" i="19" s="1"/>
  <c r="AB48" i="19"/>
  <c r="AA48" i="19"/>
  <c r="Z48" i="19"/>
  <c r="V48" i="19"/>
  <c r="Y48" i="19" s="1"/>
  <c r="AB47" i="19"/>
  <c r="AA47" i="19"/>
  <c r="Z47" i="19"/>
  <c r="V47" i="19"/>
  <c r="Y47" i="19" s="1"/>
  <c r="AB46" i="19"/>
  <c r="AA46" i="19"/>
  <c r="Z46" i="19"/>
  <c r="V46" i="19"/>
  <c r="Y46" i="19" s="1"/>
  <c r="AB45" i="19"/>
  <c r="AA45" i="19"/>
  <c r="Z45" i="19"/>
  <c r="V45" i="19"/>
  <c r="W45" i="19" s="1"/>
  <c r="AB44" i="19"/>
  <c r="AA44" i="19"/>
  <c r="Z44" i="19"/>
  <c r="V44" i="19"/>
  <c r="Y44" i="19" s="1"/>
  <c r="AB43" i="19"/>
  <c r="AA43" i="19"/>
  <c r="Z43" i="19"/>
  <c r="V43" i="19"/>
  <c r="W43" i="19" s="1"/>
  <c r="AB42" i="19"/>
  <c r="AA42" i="19"/>
  <c r="Z42" i="19"/>
  <c r="V42" i="19"/>
  <c r="Y42" i="19" s="1"/>
  <c r="AB41" i="19"/>
  <c r="AA41" i="19"/>
  <c r="Z41" i="19"/>
  <c r="V41" i="19"/>
  <c r="Y41" i="19" s="1"/>
  <c r="AB40" i="19"/>
  <c r="AA40" i="19"/>
  <c r="Z40" i="19"/>
  <c r="V40" i="19"/>
  <c r="Y40" i="19" s="1"/>
  <c r="AB39" i="19"/>
  <c r="AA39" i="19"/>
  <c r="Z39" i="19"/>
  <c r="V39" i="19"/>
  <c r="Y39" i="19" s="1"/>
  <c r="AB38" i="19"/>
  <c r="AA38" i="19"/>
  <c r="Z38" i="19"/>
  <c r="V38" i="19"/>
  <c r="Y38" i="19" s="1"/>
  <c r="AB31" i="19"/>
  <c r="AA31" i="19"/>
  <c r="Z31" i="19"/>
  <c r="V31" i="19"/>
  <c r="Y31" i="19" s="1"/>
  <c r="AB30" i="19"/>
  <c r="AA30" i="19"/>
  <c r="Z30" i="19"/>
  <c r="V30" i="19"/>
  <c r="Y30" i="19" s="1"/>
  <c r="AB29" i="19"/>
  <c r="AA29" i="19"/>
  <c r="Z29" i="19"/>
  <c r="V29" i="19"/>
  <c r="Y29" i="19" s="1"/>
  <c r="AB28" i="19"/>
  <c r="AA28" i="19"/>
  <c r="Z28" i="19"/>
  <c r="Y28" i="19"/>
  <c r="W28" i="19"/>
  <c r="V28" i="19"/>
  <c r="X28" i="19" s="1"/>
  <c r="AB27" i="19"/>
  <c r="AA27" i="19"/>
  <c r="Z27" i="19"/>
  <c r="V27" i="19"/>
  <c r="Y27" i="19" s="1"/>
  <c r="AB26" i="19"/>
  <c r="AA26" i="19"/>
  <c r="Z26" i="19"/>
  <c r="V26" i="19"/>
  <c r="Y26" i="19" s="1"/>
  <c r="AB25" i="19"/>
  <c r="AA25" i="19"/>
  <c r="Z25" i="19"/>
  <c r="V25" i="19"/>
  <c r="Y25" i="19" s="1"/>
  <c r="AB24" i="19"/>
  <c r="AA24" i="19"/>
  <c r="Z24" i="19"/>
  <c r="V24" i="19"/>
  <c r="X24" i="19" s="1"/>
  <c r="AB23" i="19"/>
  <c r="AA23" i="19"/>
  <c r="Z23" i="19"/>
  <c r="V23" i="19"/>
  <c r="Y23" i="19" s="1"/>
  <c r="AB22" i="19"/>
  <c r="AA22" i="19"/>
  <c r="Z22" i="19"/>
  <c r="V22" i="19"/>
  <c r="Y22" i="19" s="1"/>
  <c r="AB21" i="19"/>
  <c r="AA21" i="19"/>
  <c r="Z21" i="19"/>
  <c r="W21" i="19"/>
  <c r="V21" i="19"/>
  <c r="Y21" i="19" s="1"/>
  <c r="AB20" i="19"/>
  <c r="AA20" i="19"/>
  <c r="Z20" i="19"/>
  <c r="V20" i="19"/>
  <c r="Y20" i="19" s="1"/>
  <c r="AB19" i="19"/>
  <c r="AA19" i="19"/>
  <c r="Z19" i="19"/>
  <c r="V19" i="19"/>
  <c r="Y19" i="19" s="1"/>
  <c r="AB18" i="19"/>
  <c r="AA18" i="19"/>
  <c r="Z18" i="19"/>
  <c r="V18" i="19"/>
  <c r="X18" i="19" s="1"/>
  <c r="AB17" i="19"/>
  <c r="AA17" i="19"/>
  <c r="Z17" i="19"/>
  <c r="Y17" i="19"/>
  <c r="X17" i="19"/>
  <c r="W17" i="19"/>
  <c r="V17" i="19"/>
  <c r="AB16" i="19"/>
  <c r="AA16" i="19"/>
  <c r="Z16" i="19"/>
  <c r="V16" i="19"/>
  <c r="Y16" i="19" s="1"/>
  <c r="AB15" i="19"/>
  <c r="AA15" i="19"/>
  <c r="Z15" i="19"/>
  <c r="V15" i="19"/>
  <c r="X15" i="19" s="1"/>
  <c r="AB14" i="19"/>
  <c r="AA14" i="19"/>
  <c r="Z14" i="19"/>
  <c r="V14" i="19"/>
  <c r="Y14" i="19" s="1"/>
  <c r="AB13" i="19"/>
  <c r="AA13" i="19"/>
  <c r="Z13" i="19"/>
  <c r="V13" i="19"/>
  <c r="W13" i="19" s="1"/>
  <c r="AB12" i="19"/>
  <c r="AA12" i="19"/>
  <c r="Z12" i="19"/>
  <c r="V12" i="19"/>
  <c r="Y12" i="19" s="1"/>
  <c r="AB11" i="19"/>
  <c r="AA11" i="19"/>
  <c r="Z11" i="19"/>
  <c r="V11" i="19"/>
  <c r="Y11" i="19" s="1"/>
  <c r="AB10" i="19"/>
  <c r="AA10" i="19"/>
  <c r="Z10" i="19"/>
  <c r="V10" i="19"/>
  <c r="Y10" i="19" s="1"/>
  <c r="AB9" i="19"/>
  <c r="AA9" i="19"/>
  <c r="Z9" i="19"/>
  <c r="V9" i="19"/>
  <c r="Y9" i="19" s="1"/>
  <c r="AB8" i="19"/>
  <c r="AA8" i="19"/>
  <c r="Z8" i="19"/>
  <c r="Y8" i="19"/>
  <c r="X8" i="19"/>
  <c r="W8" i="19"/>
  <c r="V8" i="19"/>
  <c r="AB7" i="19"/>
  <c r="AA7" i="19"/>
  <c r="Z7" i="19"/>
  <c r="V7" i="19"/>
  <c r="Y7" i="19" s="1"/>
  <c r="AB6" i="19"/>
  <c r="AA6" i="19"/>
  <c r="Z6" i="19"/>
  <c r="V6" i="19"/>
  <c r="W6" i="19" s="1"/>
  <c r="AB5" i="19"/>
  <c r="AA5" i="19"/>
  <c r="Z5" i="19"/>
  <c r="V5" i="19"/>
  <c r="Y5" i="19" s="1"/>
  <c r="V4" i="19"/>
  <c r="W4" i="19" s="1"/>
  <c r="Z4" i="19"/>
  <c r="AA4" i="19"/>
  <c r="AB4" i="19"/>
  <c r="AH7" i="17"/>
  <c r="AH11" i="17"/>
  <c r="AH9" i="17"/>
  <c r="AH8" i="17"/>
  <c r="AH6" i="17"/>
  <c r="AB78" i="17"/>
  <c r="AA78" i="17"/>
  <c r="Z78" i="17"/>
  <c r="V78" i="17"/>
  <c r="Y78" i="17" s="1"/>
  <c r="AB77" i="17"/>
  <c r="AA77" i="17"/>
  <c r="Z77" i="17"/>
  <c r="V77" i="17"/>
  <c r="Y77" i="17" s="1"/>
  <c r="AB76" i="17"/>
  <c r="AA76" i="17"/>
  <c r="Z76" i="17"/>
  <c r="V76" i="17"/>
  <c r="Y76" i="17" s="1"/>
  <c r="AB75" i="17"/>
  <c r="AA75" i="17"/>
  <c r="Z75" i="17"/>
  <c r="V75" i="17"/>
  <c r="Y75" i="17" s="1"/>
  <c r="AB74" i="17"/>
  <c r="AA74" i="17"/>
  <c r="Z74" i="17"/>
  <c r="V74" i="17"/>
  <c r="X74" i="17" s="1"/>
  <c r="AB73" i="17"/>
  <c r="AA73" i="17"/>
  <c r="Z73" i="17"/>
  <c r="V73" i="17"/>
  <c r="Y73" i="17" s="1"/>
  <c r="AB72" i="17"/>
  <c r="AA72" i="17"/>
  <c r="Z72" i="17"/>
  <c r="V72" i="17"/>
  <c r="Y72" i="17" s="1"/>
  <c r="AB71" i="17"/>
  <c r="AA71" i="17"/>
  <c r="Z71" i="17"/>
  <c r="V71" i="17"/>
  <c r="Y71" i="17" s="1"/>
  <c r="AB70" i="17"/>
  <c r="AA70" i="17"/>
  <c r="Z70" i="17"/>
  <c r="Y70" i="17"/>
  <c r="V70" i="17"/>
  <c r="X70" i="17" s="1"/>
  <c r="AB63" i="17"/>
  <c r="AA63" i="17"/>
  <c r="Z63" i="17"/>
  <c r="V63" i="17"/>
  <c r="Y63" i="17" s="1"/>
  <c r="AB62" i="17"/>
  <c r="AA62" i="17"/>
  <c r="Z62" i="17"/>
  <c r="V62" i="17"/>
  <c r="Y62" i="17" s="1"/>
  <c r="AB61" i="17"/>
  <c r="AA61" i="17"/>
  <c r="Z61" i="17"/>
  <c r="V61" i="17"/>
  <c r="Y61" i="17" s="1"/>
  <c r="AB60" i="17"/>
  <c r="AA60" i="17"/>
  <c r="Z60" i="17"/>
  <c r="V60" i="17"/>
  <c r="Y60" i="17" s="1"/>
  <c r="AB59" i="17"/>
  <c r="AA59" i="17"/>
  <c r="Z59" i="17"/>
  <c r="V59" i="17"/>
  <c r="Y59" i="17" s="1"/>
  <c r="AB58" i="17"/>
  <c r="AA58" i="17"/>
  <c r="Z58" i="17"/>
  <c r="V58" i="17"/>
  <c r="Y58" i="17" s="1"/>
  <c r="AB57" i="17"/>
  <c r="AA57" i="17"/>
  <c r="Z57" i="17"/>
  <c r="V57" i="17"/>
  <c r="Y57" i="17" s="1"/>
  <c r="AB56" i="17"/>
  <c r="AA56" i="17"/>
  <c r="Z56" i="17"/>
  <c r="V56" i="17"/>
  <c r="Y56" i="17" s="1"/>
  <c r="AB55" i="17"/>
  <c r="AA55" i="17"/>
  <c r="Z55" i="17"/>
  <c r="Y55" i="17"/>
  <c r="V55" i="17"/>
  <c r="X55" i="17" s="1"/>
  <c r="AB54" i="17"/>
  <c r="AA54" i="17"/>
  <c r="Z54" i="17"/>
  <c r="V54" i="17"/>
  <c r="Y54" i="17" s="1"/>
  <c r="AB53" i="17"/>
  <c r="AA53" i="17"/>
  <c r="Z53" i="17"/>
  <c r="X53" i="17"/>
  <c r="V53" i="17"/>
  <c r="Y53" i="17" s="1"/>
  <c r="AB52" i="17"/>
  <c r="AA52" i="17"/>
  <c r="Z52" i="17"/>
  <c r="V52" i="17"/>
  <c r="Y52" i="17" s="1"/>
  <c r="AB51" i="17"/>
  <c r="AA51" i="17"/>
  <c r="Z51" i="17"/>
  <c r="V51" i="17"/>
  <c r="X51" i="17" s="1"/>
  <c r="AB50" i="17"/>
  <c r="AA50" i="17"/>
  <c r="Z50" i="17"/>
  <c r="V50" i="17"/>
  <c r="Y50" i="17" s="1"/>
  <c r="AB43" i="17"/>
  <c r="AA43" i="17"/>
  <c r="Z43" i="17"/>
  <c r="V43" i="17"/>
  <c r="Y43" i="17" s="1"/>
  <c r="AB42" i="17"/>
  <c r="AA42" i="17"/>
  <c r="Z42" i="17"/>
  <c r="V42" i="17"/>
  <c r="X42" i="17" s="1"/>
  <c r="AB41" i="17"/>
  <c r="AA41" i="17"/>
  <c r="Z41" i="17"/>
  <c r="V41" i="17"/>
  <c r="Y41" i="17" s="1"/>
  <c r="AB40" i="17"/>
  <c r="AA40" i="17"/>
  <c r="Z40" i="17"/>
  <c r="V40" i="17"/>
  <c r="Y40" i="17" s="1"/>
  <c r="AB39" i="17"/>
  <c r="AA39" i="17"/>
  <c r="Z39" i="17"/>
  <c r="Y39" i="17"/>
  <c r="X39" i="17"/>
  <c r="V39" i="17"/>
  <c r="W39" i="17" s="1"/>
  <c r="AB38" i="17"/>
  <c r="AA38" i="17"/>
  <c r="Z38" i="17"/>
  <c r="V38" i="17"/>
  <c r="Y38" i="17" s="1"/>
  <c r="AB37" i="17"/>
  <c r="AA37" i="17"/>
  <c r="Z37" i="17"/>
  <c r="V37" i="17"/>
  <c r="X37" i="17" s="1"/>
  <c r="AB36" i="17"/>
  <c r="AA36" i="17"/>
  <c r="Z36" i="17"/>
  <c r="V36" i="17"/>
  <c r="Y36" i="17" s="1"/>
  <c r="AB35" i="17"/>
  <c r="AA35" i="17"/>
  <c r="Z35" i="17"/>
  <c r="V35" i="17"/>
  <c r="Y35" i="17" s="1"/>
  <c r="AB34" i="17"/>
  <c r="AA34" i="17"/>
  <c r="Z34" i="17"/>
  <c r="V34" i="17"/>
  <c r="W34" i="17" s="1"/>
  <c r="AB33" i="17"/>
  <c r="AA33" i="17"/>
  <c r="Z33" i="17"/>
  <c r="V33" i="17"/>
  <c r="Y33" i="17" s="1"/>
  <c r="AB32" i="17"/>
  <c r="AA32" i="17"/>
  <c r="Z32" i="17"/>
  <c r="V32" i="17"/>
  <c r="W32" i="17" s="1"/>
  <c r="AB31" i="17"/>
  <c r="AA31" i="17"/>
  <c r="Z31" i="17"/>
  <c r="Y31" i="17"/>
  <c r="V31" i="17"/>
  <c r="X31" i="17" s="1"/>
  <c r="AB30" i="17"/>
  <c r="AA30" i="17"/>
  <c r="Z30" i="17"/>
  <c r="V30" i="17"/>
  <c r="Y30" i="17" s="1"/>
  <c r="AB29" i="17"/>
  <c r="AA29" i="17"/>
  <c r="Z29" i="17"/>
  <c r="V29" i="17"/>
  <c r="Y29" i="17" s="1"/>
  <c r="AB22" i="17"/>
  <c r="AA22" i="17"/>
  <c r="Z22" i="17"/>
  <c r="V22" i="17"/>
  <c r="Y22" i="17" s="1"/>
  <c r="AB21" i="17"/>
  <c r="AA21" i="17"/>
  <c r="Z21" i="17"/>
  <c r="V21" i="17"/>
  <c r="Y21" i="17" s="1"/>
  <c r="AB20" i="17"/>
  <c r="AA20" i="17"/>
  <c r="Z20" i="17"/>
  <c r="V20" i="17"/>
  <c r="Y20" i="17" s="1"/>
  <c r="AB19" i="17"/>
  <c r="AA19" i="17"/>
  <c r="Z19" i="17"/>
  <c r="V19" i="17"/>
  <c r="Y19" i="17" s="1"/>
  <c r="AB18" i="17"/>
  <c r="AA18" i="17"/>
  <c r="Z18" i="17"/>
  <c r="V18" i="17"/>
  <c r="Y18" i="17" s="1"/>
  <c r="AB17" i="17"/>
  <c r="AA17" i="17"/>
  <c r="Z17" i="17"/>
  <c r="V17" i="17"/>
  <c r="Y17" i="17" s="1"/>
  <c r="AB16" i="17"/>
  <c r="AA16" i="17"/>
  <c r="Z16" i="17"/>
  <c r="V16" i="17"/>
  <c r="Y16" i="17" s="1"/>
  <c r="AB15" i="17"/>
  <c r="AA15" i="17"/>
  <c r="Z15" i="17"/>
  <c r="V15" i="17"/>
  <c r="X15" i="17" s="1"/>
  <c r="AB14" i="17"/>
  <c r="AA14" i="17"/>
  <c r="Z14" i="17"/>
  <c r="V14" i="17"/>
  <c r="W14" i="17" s="1"/>
  <c r="AB13" i="17"/>
  <c r="AA13" i="17"/>
  <c r="Z13" i="17"/>
  <c r="Y13" i="17"/>
  <c r="V13" i="17"/>
  <c r="X13" i="17" s="1"/>
  <c r="AB12" i="17"/>
  <c r="AA12" i="17"/>
  <c r="Z12" i="17"/>
  <c r="V12" i="17"/>
  <c r="X12" i="17" s="1"/>
  <c r="AB11" i="17"/>
  <c r="AA11" i="17"/>
  <c r="Z11" i="17"/>
  <c r="V11" i="17"/>
  <c r="W11" i="17" s="1"/>
  <c r="AB10" i="17"/>
  <c r="AA10" i="17"/>
  <c r="Z10" i="17"/>
  <c r="V10" i="17"/>
  <c r="Y10" i="17" s="1"/>
  <c r="AB9" i="17"/>
  <c r="AA9" i="17"/>
  <c r="Z9" i="17"/>
  <c r="V9" i="17"/>
  <c r="Y9" i="17" s="1"/>
  <c r="AB8" i="17"/>
  <c r="AA8" i="17"/>
  <c r="Z8" i="17"/>
  <c r="V8" i="17"/>
  <c r="Y8" i="17" s="1"/>
  <c r="AB7" i="17"/>
  <c r="AA7" i="17"/>
  <c r="Z7" i="17"/>
  <c r="V7" i="17"/>
  <c r="Y7" i="17" s="1"/>
  <c r="AB6" i="17"/>
  <c r="AA6" i="17"/>
  <c r="Z6" i="17"/>
  <c r="V6" i="17"/>
  <c r="X6" i="17" s="1"/>
  <c r="AB5" i="17"/>
  <c r="AA5" i="17"/>
  <c r="Z5" i="17"/>
  <c r="V5" i="17"/>
  <c r="Y5" i="17" s="1"/>
  <c r="V4" i="17"/>
  <c r="W4" i="17" s="1"/>
  <c r="Z4" i="17"/>
  <c r="AA4" i="17"/>
  <c r="AB4" i="17"/>
  <c r="AB173" i="15"/>
  <c r="AA173" i="15"/>
  <c r="Z173" i="15"/>
  <c r="Y173" i="15"/>
  <c r="X173" i="15"/>
  <c r="W173" i="15"/>
  <c r="V173" i="15"/>
  <c r="AB172" i="15"/>
  <c r="AA172" i="15"/>
  <c r="Z172" i="15"/>
  <c r="Y172" i="15"/>
  <c r="X172" i="15"/>
  <c r="W172" i="15"/>
  <c r="V172" i="15"/>
  <c r="AB171" i="15"/>
  <c r="AA171" i="15"/>
  <c r="Z171" i="15"/>
  <c r="Y171" i="15"/>
  <c r="X171" i="15"/>
  <c r="W171" i="15"/>
  <c r="V171" i="15"/>
  <c r="AB170" i="15"/>
  <c r="AA170" i="15"/>
  <c r="Z170" i="15"/>
  <c r="Y170" i="15"/>
  <c r="X170" i="15"/>
  <c r="W170" i="15"/>
  <c r="V170" i="15"/>
  <c r="AB169" i="15"/>
  <c r="AA169" i="15"/>
  <c r="Z169" i="15"/>
  <c r="Y169" i="15"/>
  <c r="X169" i="15"/>
  <c r="W169" i="15"/>
  <c r="V169" i="15"/>
  <c r="AB168" i="15"/>
  <c r="AA168" i="15"/>
  <c r="Z168" i="15"/>
  <c r="Y168" i="15"/>
  <c r="X168" i="15"/>
  <c r="W168" i="15"/>
  <c r="V168" i="15"/>
  <c r="AB167" i="15"/>
  <c r="AA167" i="15"/>
  <c r="Z167" i="15"/>
  <c r="Y167" i="15"/>
  <c r="X167" i="15"/>
  <c r="W167" i="15"/>
  <c r="V167" i="15"/>
  <c r="AB166" i="15"/>
  <c r="AA166" i="15"/>
  <c r="Z166" i="15"/>
  <c r="Y166" i="15"/>
  <c r="X166" i="15"/>
  <c r="W166" i="15"/>
  <c r="V166" i="15"/>
  <c r="AB165" i="15"/>
  <c r="AA165" i="15"/>
  <c r="Z165" i="15"/>
  <c r="Y165" i="15"/>
  <c r="X165" i="15"/>
  <c r="W165" i="15"/>
  <c r="V165" i="15"/>
  <c r="AB164" i="15"/>
  <c r="AA164" i="15"/>
  <c r="Z164" i="15"/>
  <c r="Y164" i="15"/>
  <c r="X164" i="15"/>
  <c r="W164" i="15"/>
  <c r="V164" i="15"/>
  <c r="AB163" i="15"/>
  <c r="AA163" i="15"/>
  <c r="Z163" i="15"/>
  <c r="Y163" i="15"/>
  <c r="X163" i="15"/>
  <c r="W163" i="15"/>
  <c r="V163" i="15"/>
  <c r="AB162" i="15"/>
  <c r="AA162" i="15"/>
  <c r="Z162" i="15"/>
  <c r="Y162" i="15"/>
  <c r="X162" i="15"/>
  <c r="W162" i="15"/>
  <c r="V162" i="15"/>
  <c r="AB161" i="15"/>
  <c r="AA161" i="15"/>
  <c r="Z161" i="15"/>
  <c r="Y161" i="15"/>
  <c r="X161" i="15"/>
  <c r="W161" i="15"/>
  <c r="V161" i="15"/>
  <c r="AB160" i="15"/>
  <c r="AA160" i="15"/>
  <c r="Z160" i="15"/>
  <c r="Y160" i="15"/>
  <c r="X160" i="15"/>
  <c r="W160" i="15"/>
  <c r="V160" i="15"/>
  <c r="AB159" i="15"/>
  <c r="AA159" i="15"/>
  <c r="Z159" i="15"/>
  <c r="Y159" i="15"/>
  <c r="X159" i="15"/>
  <c r="W159" i="15"/>
  <c r="V159" i="15"/>
  <c r="AB158" i="15"/>
  <c r="AA158" i="15"/>
  <c r="Z158" i="15"/>
  <c r="Y158" i="15"/>
  <c r="X158" i="15"/>
  <c r="W158" i="15"/>
  <c r="V158" i="15"/>
  <c r="AB157" i="15"/>
  <c r="AA157" i="15"/>
  <c r="Z157" i="15"/>
  <c r="Y157" i="15"/>
  <c r="X157" i="15"/>
  <c r="W157" i="15"/>
  <c r="V157" i="15"/>
  <c r="AB156" i="15"/>
  <c r="AA156" i="15"/>
  <c r="Z156" i="15"/>
  <c r="Y156" i="15"/>
  <c r="X156" i="15"/>
  <c r="W156" i="15"/>
  <c r="V156" i="15"/>
  <c r="AB155" i="15"/>
  <c r="AA155" i="15"/>
  <c r="Z155" i="15"/>
  <c r="Y155" i="15"/>
  <c r="X155" i="15"/>
  <c r="W155" i="15"/>
  <c r="V155" i="15"/>
  <c r="AB154" i="15"/>
  <c r="AA154" i="15"/>
  <c r="Z154" i="15"/>
  <c r="Y154" i="15"/>
  <c r="X154" i="15"/>
  <c r="W154" i="15"/>
  <c r="V154" i="15"/>
  <c r="AB153" i="15"/>
  <c r="AA153" i="15"/>
  <c r="Z153" i="15"/>
  <c r="Y153" i="15"/>
  <c r="X153" i="15"/>
  <c r="W153" i="15"/>
  <c r="V153" i="15"/>
  <c r="AB152" i="15"/>
  <c r="AA152" i="15"/>
  <c r="Z152" i="15"/>
  <c r="Y152" i="15"/>
  <c r="X152" i="15"/>
  <c r="W152" i="15"/>
  <c r="V152" i="15"/>
  <c r="AB151" i="15"/>
  <c r="AA151" i="15"/>
  <c r="Z151" i="15"/>
  <c r="Y151" i="15"/>
  <c r="X151" i="15"/>
  <c r="W151" i="15"/>
  <c r="V151" i="15"/>
  <c r="AB150" i="15"/>
  <c r="AA150" i="15"/>
  <c r="Z150" i="15"/>
  <c r="Y150" i="15"/>
  <c r="X150" i="15"/>
  <c r="W150" i="15"/>
  <c r="V150" i="15"/>
  <c r="AB149" i="15"/>
  <c r="AA149" i="15"/>
  <c r="Z149" i="15"/>
  <c r="Y149" i="15"/>
  <c r="X149" i="15"/>
  <c r="W149" i="15"/>
  <c r="V149" i="15"/>
  <c r="AB148" i="15"/>
  <c r="AA148" i="15"/>
  <c r="Z148" i="15"/>
  <c r="Y148" i="15"/>
  <c r="X148" i="15"/>
  <c r="W148" i="15"/>
  <c r="V148" i="15"/>
  <c r="AB147" i="15"/>
  <c r="AA147" i="15"/>
  <c r="Z147" i="15"/>
  <c r="Y147" i="15"/>
  <c r="X147" i="15"/>
  <c r="W147" i="15"/>
  <c r="V147" i="15"/>
  <c r="AB146" i="15"/>
  <c r="AA146" i="15"/>
  <c r="Z146" i="15"/>
  <c r="Y146" i="15"/>
  <c r="X146" i="15"/>
  <c r="W146" i="15"/>
  <c r="V146" i="15"/>
  <c r="AB145" i="15"/>
  <c r="AA145" i="15"/>
  <c r="Z145" i="15"/>
  <c r="Y145" i="15"/>
  <c r="X145" i="15"/>
  <c r="W145" i="15"/>
  <c r="V145" i="15"/>
  <c r="AB144" i="15"/>
  <c r="AA144" i="15"/>
  <c r="Z144" i="15"/>
  <c r="Y144" i="15"/>
  <c r="X144" i="15"/>
  <c r="W144" i="15"/>
  <c r="V144" i="15"/>
  <c r="AB143" i="15"/>
  <c r="AA143" i="15"/>
  <c r="Z143" i="15"/>
  <c r="Y143" i="15"/>
  <c r="X143" i="15"/>
  <c r="W143" i="15"/>
  <c r="V143" i="15"/>
  <c r="AB142" i="15"/>
  <c r="AA142" i="15"/>
  <c r="Z142" i="15"/>
  <c r="Y142" i="15"/>
  <c r="X142" i="15"/>
  <c r="W142" i="15"/>
  <c r="V142" i="15"/>
  <c r="AB141" i="15"/>
  <c r="AA141" i="15"/>
  <c r="Z141" i="15"/>
  <c r="Y141" i="15"/>
  <c r="X141" i="15"/>
  <c r="W141" i="15"/>
  <c r="V141" i="15"/>
  <c r="AB140" i="15"/>
  <c r="AA140" i="15"/>
  <c r="Z140" i="15"/>
  <c r="Y140" i="15"/>
  <c r="X140" i="15"/>
  <c r="W140" i="15"/>
  <c r="V140" i="15"/>
  <c r="AB139" i="15"/>
  <c r="AA139" i="15"/>
  <c r="Z139" i="15"/>
  <c r="Y139" i="15"/>
  <c r="X139" i="15"/>
  <c r="W139" i="15"/>
  <c r="V139" i="15"/>
  <c r="AB138" i="15"/>
  <c r="AA138" i="15"/>
  <c r="Z138" i="15"/>
  <c r="Y138" i="15"/>
  <c r="X138" i="15"/>
  <c r="W138" i="15"/>
  <c r="V138" i="15"/>
  <c r="AB137" i="15"/>
  <c r="AA137" i="15"/>
  <c r="Z137" i="15"/>
  <c r="Y137" i="15"/>
  <c r="X137" i="15"/>
  <c r="W137" i="15"/>
  <c r="V137" i="15"/>
  <c r="AB136" i="15"/>
  <c r="AA136" i="15"/>
  <c r="Z136" i="15"/>
  <c r="Y136" i="15"/>
  <c r="X136" i="15"/>
  <c r="W136" i="15"/>
  <c r="V136" i="15"/>
  <c r="AB135" i="15"/>
  <c r="AA135" i="15"/>
  <c r="Z135" i="15"/>
  <c r="Y135" i="15"/>
  <c r="X135" i="15"/>
  <c r="W135" i="15"/>
  <c r="V135" i="15"/>
  <c r="AB134" i="15"/>
  <c r="AA134" i="15"/>
  <c r="Z134" i="15"/>
  <c r="Y134" i="15"/>
  <c r="X134" i="15"/>
  <c r="W134" i="15"/>
  <c r="V134" i="15"/>
  <c r="AB133" i="15"/>
  <c r="AA133" i="15"/>
  <c r="Z133" i="15"/>
  <c r="Y133" i="15"/>
  <c r="X133" i="15"/>
  <c r="W133" i="15"/>
  <c r="V133" i="15"/>
  <c r="AB132" i="15"/>
  <c r="AA132" i="15"/>
  <c r="Z132" i="15"/>
  <c r="Y132" i="15"/>
  <c r="X132" i="15"/>
  <c r="W132" i="15"/>
  <c r="V132" i="15"/>
  <c r="AB131" i="15"/>
  <c r="AA131" i="15"/>
  <c r="Z131" i="15"/>
  <c r="Y131" i="15"/>
  <c r="X131" i="15"/>
  <c r="W131" i="15"/>
  <c r="V131" i="15"/>
  <c r="AB130" i="15"/>
  <c r="AA130" i="15"/>
  <c r="Z130" i="15"/>
  <c r="Y130" i="15"/>
  <c r="X130" i="15"/>
  <c r="W130" i="15"/>
  <c r="V130" i="15"/>
  <c r="AB129" i="15"/>
  <c r="AA129" i="15"/>
  <c r="Z129" i="15"/>
  <c r="Y129" i="15"/>
  <c r="X129" i="15"/>
  <c r="W129" i="15"/>
  <c r="V129" i="15"/>
  <c r="AB122" i="15"/>
  <c r="AA122" i="15"/>
  <c r="Z122" i="15"/>
  <c r="Y122" i="15"/>
  <c r="X122" i="15"/>
  <c r="W122" i="15"/>
  <c r="V122" i="15"/>
  <c r="AB121" i="15"/>
  <c r="AA121" i="15"/>
  <c r="Z121" i="15"/>
  <c r="Y121" i="15"/>
  <c r="X121" i="15"/>
  <c r="W121" i="15"/>
  <c r="V121" i="15"/>
  <c r="AB120" i="15"/>
  <c r="AA120" i="15"/>
  <c r="Z120" i="15"/>
  <c r="Y120" i="15"/>
  <c r="X120" i="15"/>
  <c r="W120" i="15"/>
  <c r="V120" i="15"/>
  <c r="AB119" i="15"/>
  <c r="AA119" i="15"/>
  <c r="Z119" i="15"/>
  <c r="Y119" i="15"/>
  <c r="X119" i="15"/>
  <c r="W119" i="15"/>
  <c r="V119" i="15"/>
  <c r="AB118" i="15"/>
  <c r="AA118" i="15"/>
  <c r="Z118" i="15"/>
  <c r="Y118" i="15"/>
  <c r="X118" i="15"/>
  <c r="W118" i="15"/>
  <c r="V118" i="15"/>
  <c r="AB117" i="15"/>
  <c r="AA117" i="15"/>
  <c r="Z117" i="15"/>
  <c r="Y117" i="15"/>
  <c r="X117" i="15"/>
  <c r="W117" i="15"/>
  <c r="V117" i="15"/>
  <c r="AB116" i="15"/>
  <c r="AA116" i="15"/>
  <c r="Z116" i="15"/>
  <c r="Y116" i="15"/>
  <c r="X116" i="15"/>
  <c r="W116" i="15"/>
  <c r="V116" i="15"/>
  <c r="AB115" i="15"/>
  <c r="AA115" i="15"/>
  <c r="Z115" i="15"/>
  <c r="Y115" i="15"/>
  <c r="X115" i="15"/>
  <c r="W115" i="15"/>
  <c r="V115" i="15"/>
  <c r="AB114" i="15"/>
  <c r="AA114" i="15"/>
  <c r="Z114" i="15"/>
  <c r="Y114" i="15"/>
  <c r="X114" i="15"/>
  <c r="W114" i="15"/>
  <c r="V114" i="15"/>
  <c r="AB113" i="15"/>
  <c r="AA113" i="15"/>
  <c r="Z113" i="15"/>
  <c r="Y113" i="15"/>
  <c r="X113" i="15"/>
  <c r="W113" i="15"/>
  <c r="V113" i="15"/>
  <c r="AB112" i="15"/>
  <c r="AA112" i="15"/>
  <c r="Z112" i="15"/>
  <c r="Y112" i="15"/>
  <c r="X112" i="15"/>
  <c r="W112" i="15"/>
  <c r="V112" i="15"/>
  <c r="AB111" i="15"/>
  <c r="AA111" i="15"/>
  <c r="Z111" i="15"/>
  <c r="Y111" i="15"/>
  <c r="X111" i="15"/>
  <c r="W111" i="15"/>
  <c r="V111" i="15"/>
  <c r="AB110" i="15"/>
  <c r="AA110" i="15"/>
  <c r="Z110" i="15"/>
  <c r="Y110" i="15"/>
  <c r="X110" i="15"/>
  <c r="W110" i="15"/>
  <c r="V110" i="15"/>
  <c r="AB109" i="15"/>
  <c r="AA109" i="15"/>
  <c r="Z109" i="15"/>
  <c r="Y109" i="15"/>
  <c r="X109" i="15"/>
  <c r="W109" i="15"/>
  <c r="V109" i="15"/>
  <c r="AB108" i="15"/>
  <c r="AA108" i="15"/>
  <c r="Z108" i="15"/>
  <c r="Y108" i="15"/>
  <c r="X108" i="15"/>
  <c r="W108" i="15"/>
  <c r="V108" i="15"/>
  <c r="AB107" i="15"/>
  <c r="AA107" i="15"/>
  <c r="Z107" i="15"/>
  <c r="Y107" i="15"/>
  <c r="X107" i="15"/>
  <c r="W107" i="15"/>
  <c r="V107" i="15"/>
  <c r="AB106" i="15"/>
  <c r="AA106" i="15"/>
  <c r="Z106" i="15"/>
  <c r="Y106" i="15"/>
  <c r="X106" i="15"/>
  <c r="W106" i="15"/>
  <c r="V106" i="15"/>
  <c r="AB105" i="15"/>
  <c r="AA105" i="15"/>
  <c r="Z105" i="15"/>
  <c r="Y105" i="15"/>
  <c r="X105" i="15"/>
  <c r="W105" i="15"/>
  <c r="V105" i="15"/>
  <c r="AB104" i="15"/>
  <c r="AA104" i="15"/>
  <c r="Z104" i="15"/>
  <c r="Y104" i="15"/>
  <c r="X104" i="15"/>
  <c r="W104" i="15"/>
  <c r="V104" i="15"/>
  <c r="AB103" i="15"/>
  <c r="AA103" i="15"/>
  <c r="Z103" i="15"/>
  <c r="Y103" i="15"/>
  <c r="X103" i="15"/>
  <c r="W103" i="15"/>
  <c r="V103" i="15"/>
  <c r="AB102" i="15"/>
  <c r="AA102" i="15"/>
  <c r="Z102" i="15"/>
  <c r="Y102" i="15"/>
  <c r="X102" i="15"/>
  <c r="W102" i="15"/>
  <c r="V102" i="15"/>
  <c r="AB101" i="15"/>
  <c r="AA101" i="15"/>
  <c r="Z101" i="15"/>
  <c r="Y101" i="15"/>
  <c r="X101" i="15"/>
  <c r="W101" i="15"/>
  <c r="V101" i="15"/>
  <c r="AB100" i="15"/>
  <c r="AA100" i="15"/>
  <c r="Z100" i="15"/>
  <c r="Y100" i="15"/>
  <c r="X100" i="15"/>
  <c r="W100" i="15"/>
  <c r="V100" i="15"/>
  <c r="AB99" i="15"/>
  <c r="AA99" i="15"/>
  <c r="Z99" i="15"/>
  <c r="Y99" i="15"/>
  <c r="X99" i="15"/>
  <c r="W99" i="15"/>
  <c r="V99" i="15"/>
  <c r="AB98" i="15"/>
  <c r="AA98" i="15"/>
  <c r="Z98" i="15"/>
  <c r="Y98" i="15"/>
  <c r="X98" i="15"/>
  <c r="W98" i="15"/>
  <c r="V98" i="15"/>
  <c r="AB97" i="15"/>
  <c r="AA97" i="15"/>
  <c r="Z97" i="15"/>
  <c r="Y97" i="15"/>
  <c r="X97" i="15"/>
  <c r="W97" i="15"/>
  <c r="V97" i="15"/>
  <c r="AB96" i="15"/>
  <c r="AA96" i="15"/>
  <c r="Z96" i="15"/>
  <c r="Y96" i="15"/>
  <c r="X96" i="15"/>
  <c r="W96" i="15"/>
  <c r="V96" i="15"/>
  <c r="AB95" i="15"/>
  <c r="AA95" i="15"/>
  <c r="Z95" i="15"/>
  <c r="Y95" i="15"/>
  <c r="X95" i="15"/>
  <c r="W95" i="15"/>
  <c r="V95" i="15"/>
  <c r="AB94" i="15"/>
  <c r="AA94" i="15"/>
  <c r="Z94" i="15"/>
  <c r="Y94" i="15"/>
  <c r="X94" i="15"/>
  <c r="W94" i="15"/>
  <c r="V94" i="15"/>
  <c r="AB93" i="15"/>
  <c r="AA93" i="15"/>
  <c r="Z93" i="15"/>
  <c r="Y93" i="15"/>
  <c r="X93" i="15"/>
  <c r="W93" i="15"/>
  <c r="V93" i="15"/>
  <c r="AB92" i="15"/>
  <c r="AA92" i="15"/>
  <c r="Z92" i="15"/>
  <c r="Y92" i="15"/>
  <c r="X92" i="15"/>
  <c r="W92" i="15"/>
  <c r="V92" i="15"/>
  <c r="AB91" i="15"/>
  <c r="AA91" i="15"/>
  <c r="Z91" i="15"/>
  <c r="Y91" i="15"/>
  <c r="X91" i="15"/>
  <c r="W91" i="15"/>
  <c r="V91" i="15"/>
  <c r="AB90" i="15"/>
  <c r="AA90" i="15"/>
  <c r="Z90" i="15"/>
  <c r="Y90" i="15"/>
  <c r="X90" i="15"/>
  <c r="W90" i="15"/>
  <c r="V90" i="15"/>
  <c r="AB89" i="15"/>
  <c r="AA89" i="15"/>
  <c r="Z89" i="15"/>
  <c r="Y89" i="15"/>
  <c r="X89" i="15"/>
  <c r="W89" i="15"/>
  <c r="V89" i="15"/>
  <c r="AB88" i="15"/>
  <c r="AA88" i="15"/>
  <c r="Z88" i="15"/>
  <c r="Y88" i="15"/>
  <c r="X88" i="15"/>
  <c r="W88" i="15"/>
  <c r="V88" i="15"/>
  <c r="AB81" i="15"/>
  <c r="AA81" i="15"/>
  <c r="Z81" i="15"/>
  <c r="Y81" i="15"/>
  <c r="X81" i="15"/>
  <c r="W81" i="15"/>
  <c r="V81" i="15"/>
  <c r="AB80" i="15"/>
  <c r="AA80" i="15"/>
  <c r="Z80" i="15"/>
  <c r="Y80" i="15"/>
  <c r="X80" i="15"/>
  <c r="W80" i="15"/>
  <c r="V80" i="15"/>
  <c r="AB79" i="15"/>
  <c r="AA79" i="15"/>
  <c r="Z79" i="15"/>
  <c r="Y79" i="15"/>
  <c r="X79" i="15"/>
  <c r="W79" i="15"/>
  <c r="V79" i="15"/>
  <c r="AB78" i="15"/>
  <c r="AA78" i="15"/>
  <c r="Z78" i="15"/>
  <c r="Y78" i="15"/>
  <c r="X78" i="15"/>
  <c r="W78" i="15"/>
  <c r="V78" i="15"/>
  <c r="AB77" i="15"/>
  <c r="AA77" i="15"/>
  <c r="Z77" i="15"/>
  <c r="Y77" i="15"/>
  <c r="X77" i="15"/>
  <c r="W77" i="15"/>
  <c r="V77" i="15"/>
  <c r="AB76" i="15"/>
  <c r="AA76" i="15"/>
  <c r="Z76" i="15"/>
  <c r="Y76" i="15"/>
  <c r="X76" i="15"/>
  <c r="W76" i="15"/>
  <c r="V76" i="15"/>
  <c r="AB75" i="15"/>
  <c r="AA75" i="15"/>
  <c r="Z75" i="15"/>
  <c r="Y75" i="15"/>
  <c r="X75" i="15"/>
  <c r="W75" i="15"/>
  <c r="V75" i="15"/>
  <c r="AB74" i="15"/>
  <c r="AA74" i="15"/>
  <c r="Z74" i="15"/>
  <c r="Y74" i="15"/>
  <c r="X74" i="15"/>
  <c r="W74" i="15"/>
  <c r="V74" i="15"/>
  <c r="AB73" i="15"/>
  <c r="AA73" i="15"/>
  <c r="Z73" i="15"/>
  <c r="Y73" i="15"/>
  <c r="X73" i="15"/>
  <c r="W73" i="15"/>
  <c r="V73" i="15"/>
  <c r="AB72" i="15"/>
  <c r="AA72" i="15"/>
  <c r="Z72" i="15"/>
  <c r="Y72" i="15"/>
  <c r="X72" i="15"/>
  <c r="W72" i="15"/>
  <c r="V72" i="15"/>
  <c r="AB71" i="15"/>
  <c r="AA71" i="15"/>
  <c r="Z71" i="15"/>
  <c r="Y71" i="15"/>
  <c r="X71" i="15"/>
  <c r="W71" i="15"/>
  <c r="V71" i="15"/>
  <c r="AB70" i="15"/>
  <c r="AA70" i="15"/>
  <c r="Z70" i="15"/>
  <c r="Y70" i="15"/>
  <c r="X70" i="15"/>
  <c r="W70" i="15"/>
  <c r="V70" i="15"/>
  <c r="AB69" i="15"/>
  <c r="AA69" i="15"/>
  <c r="Z69" i="15"/>
  <c r="Y69" i="15"/>
  <c r="X69" i="15"/>
  <c r="W69" i="15"/>
  <c r="V69" i="15"/>
  <c r="AB68" i="15"/>
  <c r="AA68" i="15"/>
  <c r="Z68" i="15"/>
  <c r="Y68" i="15"/>
  <c r="X68" i="15"/>
  <c r="W68" i="15"/>
  <c r="V68" i="15"/>
  <c r="AB67" i="15"/>
  <c r="AA67" i="15"/>
  <c r="Z67" i="15"/>
  <c r="Y67" i="15"/>
  <c r="X67" i="15"/>
  <c r="W67" i="15"/>
  <c r="V67" i="15"/>
  <c r="AB66" i="15"/>
  <c r="AA66" i="15"/>
  <c r="Z66" i="15"/>
  <c r="Y66" i="15"/>
  <c r="X66" i="15"/>
  <c r="W66" i="15"/>
  <c r="V66" i="15"/>
  <c r="AB65" i="15"/>
  <c r="AA65" i="15"/>
  <c r="Z65" i="15"/>
  <c r="Y65" i="15"/>
  <c r="X65" i="15"/>
  <c r="W65" i="15"/>
  <c r="V65" i="15"/>
  <c r="AB64" i="15"/>
  <c r="AA64" i="15"/>
  <c r="Z64" i="15"/>
  <c r="Y64" i="15"/>
  <c r="X64" i="15"/>
  <c r="W64" i="15"/>
  <c r="V64" i="15"/>
  <c r="AB63" i="15"/>
  <c r="AA63" i="15"/>
  <c r="Z63" i="15"/>
  <c r="Y63" i="15"/>
  <c r="X63" i="15"/>
  <c r="W63" i="15"/>
  <c r="V63" i="15"/>
  <c r="AB62" i="15"/>
  <c r="AA62" i="15"/>
  <c r="Z62" i="15"/>
  <c r="Y62" i="15"/>
  <c r="X62" i="15"/>
  <c r="W62" i="15"/>
  <c r="V62" i="15"/>
  <c r="AB61" i="15"/>
  <c r="AA61" i="15"/>
  <c r="Z61" i="15"/>
  <c r="Y61" i="15"/>
  <c r="X61" i="15"/>
  <c r="W61" i="15"/>
  <c r="V61" i="15"/>
  <c r="AB60" i="15"/>
  <c r="AA60" i="15"/>
  <c r="Z60" i="15"/>
  <c r="Y60" i="15"/>
  <c r="X60" i="15"/>
  <c r="W60" i="15"/>
  <c r="V60" i="15"/>
  <c r="AB59" i="15"/>
  <c r="AA59" i="15"/>
  <c r="Z59" i="15"/>
  <c r="Y59" i="15"/>
  <c r="X59" i="15"/>
  <c r="W59" i="15"/>
  <c r="V59" i="15"/>
  <c r="AB58" i="15"/>
  <c r="AA58" i="15"/>
  <c r="Z58" i="15"/>
  <c r="Y58" i="15"/>
  <c r="X58" i="15"/>
  <c r="W58" i="15"/>
  <c r="V58" i="15"/>
  <c r="AB57" i="15"/>
  <c r="AA57" i="15"/>
  <c r="Z57" i="15"/>
  <c r="Y57" i="15"/>
  <c r="X57" i="15"/>
  <c r="W57" i="15"/>
  <c r="V57" i="15"/>
  <c r="AB56" i="15"/>
  <c r="AA56" i="15"/>
  <c r="Z56" i="15"/>
  <c r="Y56" i="15"/>
  <c r="X56" i="15"/>
  <c r="W56" i="15"/>
  <c r="V56" i="15"/>
  <c r="AB55" i="15"/>
  <c r="AA55" i="15"/>
  <c r="Z55" i="15"/>
  <c r="Y55" i="15"/>
  <c r="X55" i="15"/>
  <c r="W55" i="15"/>
  <c r="V55" i="15"/>
  <c r="AB54" i="15"/>
  <c r="AA54" i="15"/>
  <c r="Z54" i="15"/>
  <c r="Y54" i="15"/>
  <c r="X54" i="15"/>
  <c r="W54" i="15"/>
  <c r="V54" i="15"/>
  <c r="AB53" i="15"/>
  <c r="AA53" i="15"/>
  <c r="Z53" i="15"/>
  <c r="Y53" i="15"/>
  <c r="X53" i="15"/>
  <c r="W53" i="15"/>
  <c r="V53" i="15"/>
  <c r="AB52" i="15"/>
  <c r="AA52" i="15"/>
  <c r="Z52" i="15"/>
  <c r="Y52" i="15"/>
  <c r="X52" i="15"/>
  <c r="W52" i="15"/>
  <c r="V52" i="15"/>
  <c r="AB51" i="15"/>
  <c r="AA51" i="15"/>
  <c r="Z51" i="15"/>
  <c r="Y51" i="15"/>
  <c r="X51" i="15"/>
  <c r="W51" i="15"/>
  <c r="V51" i="15"/>
  <c r="AB50" i="15"/>
  <c r="AA50" i="15"/>
  <c r="Z50" i="15"/>
  <c r="Y50" i="15"/>
  <c r="X50" i="15"/>
  <c r="W50" i="15"/>
  <c r="V50" i="15"/>
  <c r="AB49" i="15"/>
  <c r="AA49" i="15"/>
  <c r="Z49" i="15"/>
  <c r="Y49" i="15"/>
  <c r="X49" i="15"/>
  <c r="W49" i="15"/>
  <c r="V49" i="15"/>
  <c r="AB48" i="15"/>
  <c r="AA48" i="15"/>
  <c r="Z48" i="15"/>
  <c r="Y48" i="15"/>
  <c r="X48" i="15"/>
  <c r="W48" i="15"/>
  <c r="V48" i="15"/>
  <c r="AB47" i="15"/>
  <c r="AA47" i="15"/>
  <c r="Z47" i="15"/>
  <c r="Y47" i="15"/>
  <c r="X47" i="15"/>
  <c r="W47" i="15"/>
  <c r="V47" i="15"/>
  <c r="AB46" i="15"/>
  <c r="AA46" i="15"/>
  <c r="Z46" i="15"/>
  <c r="Y46" i="15"/>
  <c r="X46" i="15"/>
  <c r="W46" i="15"/>
  <c r="V46" i="15"/>
  <c r="AB45" i="15"/>
  <c r="AA45" i="15"/>
  <c r="Z45" i="15"/>
  <c r="Y45" i="15"/>
  <c r="X45" i="15"/>
  <c r="W45" i="15"/>
  <c r="V45" i="15"/>
  <c r="AB44" i="15"/>
  <c r="AA44" i="15"/>
  <c r="Z44" i="15"/>
  <c r="Y44" i="15"/>
  <c r="X44" i="15"/>
  <c r="W44" i="15"/>
  <c r="V44" i="15"/>
  <c r="AB43" i="15"/>
  <c r="AA43" i="15"/>
  <c r="Z43" i="15"/>
  <c r="Y43" i="15"/>
  <c r="X43" i="15"/>
  <c r="W43" i="15"/>
  <c r="V43" i="15"/>
  <c r="AB42" i="15"/>
  <c r="AA42" i="15"/>
  <c r="Z42" i="15"/>
  <c r="Y42" i="15"/>
  <c r="X42" i="15"/>
  <c r="W42" i="15"/>
  <c r="V42" i="15"/>
  <c r="AB41" i="15"/>
  <c r="AA41" i="15"/>
  <c r="Z41" i="15"/>
  <c r="Y41" i="15"/>
  <c r="X41" i="15"/>
  <c r="W41" i="15"/>
  <c r="V41" i="15"/>
  <c r="AB40" i="15"/>
  <c r="AA40" i="15"/>
  <c r="Z40" i="15"/>
  <c r="Y40" i="15"/>
  <c r="X40" i="15"/>
  <c r="W40" i="15"/>
  <c r="V40" i="15"/>
  <c r="AB39" i="15"/>
  <c r="AA39" i="15"/>
  <c r="Z39" i="15"/>
  <c r="Y39" i="15"/>
  <c r="X39" i="15"/>
  <c r="W39" i="15"/>
  <c r="V39" i="15"/>
  <c r="AB38" i="15"/>
  <c r="AA38" i="15"/>
  <c r="Z38" i="15"/>
  <c r="Y38" i="15"/>
  <c r="X38" i="15"/>
  <c r="W38" i="15"/>
  <c r="V38" i="15"/>
  <c r="AB37" i="15"/>
  <c r="AA37" i="15"/>
  <c r="Z37" i="15"/>
  <c r="Y37" i="15"/>
  <c r="X37" i="15"/>
  <c r="W37" i="15"/>
  <c r="V37" i="15"/>
  <c r="AB36" i="15"/>
  <c r="AA36" i="15"/>
  <c r="Z36" i="15"/>
  <c r="Y36" i="15"/>
  <c r="X36" i="15"/>
  <c r="W36" i="15"/>
  <c r="V36" i="15"/>
  <c r="AB35" i="15"/>
  <c r="AA35" i="15"/>
  <c r="Z35" i="15"/>
  <c r="Y35" i="15"/>
  <c r="X35" i="15"/>
  <c r="W35" i="15"/>
  <c r="V35" i="15"/>
  <c r="AB28" i="15"/>
  <c r="AA28" i="15"/>
  <c r="Z28" i="15"/>
  <c r="Y28" i="15"/>
  <c r="X28" i="15"/>
  <c r="W28" i="15"/>
  <c r="V28" i="15"/>
  <c r="AB27" i="15"/>
  <c r="AA27" i="15"/>
  <c r="Z27" i="15"/>
  <c r="Y27" i="15"/>
  <c r="X27" i="15"/>
  <c r="W27" i="15"/>
  <c r="V27" i="15"/>
  <c r="AB26" i="15"/>
  <c r="AA26" i="15"/>
  <c r="Z26" i="15"/>
  <c r="Y26" i="15"/>
  <c r="X26" i="15"/>
  <c r="W26" i="15"/>
  <c r="V26" i="15"/>
  <c r="AB25" i="15"/>
  <c r="AA25" i="15"/>
  <c r="Z25" i="15"/>
  <c r="Y25" i="15"/>
  <c r="X25" i="15"/>
  <c r="W25" i="15"/>
  <c r="V25" i="15"/>
  <c r="AB24" i="15"/>
  <c r="AA24" i="15"/>
  <c r="Z24" i="15"/>
  <c r="Y24" i="15"/>
  <c r="X24" i="15"/>
  <c r="W24" i="15"/>
  <c r="V24" i="15"/>
  <c r="AB23" i="15"/>
  <c r="AA23" i="15"/>
  <c r="Z23" i="15"/>
  <c r="Y23" i="15"/>
  <c r="X23" i="15"/>
  <c r="W23" i="15"/>
  <c r="V23" i="15"/>
  <c r="AB22" i="15"/>
  <c r="AA22" i="15"/>
  <c r="Z22" i="15"/>
  <c r="Y22" i="15"/>
  <c r="X22" i="15"/>
  <c r="W22" i="15"/>
  <c r="V22" i="15"/>
  <c r="AB21" i="15"/>
  <c r="AA21" i="15"/>
  <c r="Z21" i="15"/>
  <c r="Y21" i="15"/>
  <c r="X21" i="15"/>
  <c r="W21" i="15"/>
  <c r="V21" i="15"/>
  <c r="AB20" i="15"/>
  <c r="AA20" i="15"/>
  <c r="Z20" i="15"/>
  <c r="Y20" i="15"/>
  <c r="X20" i="15"/>
  <c r="W20" i="15"/>
  <c r="V20" i="15"/>
  <c r="AB19" i="15"/>
  <c r="AA19" i="15"/>
  <c r="Z19" i="15"/>
  <c r="Y19" i="15"/>
  <c r="X19" i="15"/>
  <c r="W19" i="15"/>
  <c r="V19" i="15"/>
  <c r="AB18" i="15"/>
  <c r="AA18" i="15"/>
  <c r="Z18" i="15"/>
  <c r="Y18" i="15"/>
  <c r="X18" i="15"/>
  <c r="W18" i="15"/>
  <c r="V18" i="15"/>
  <c r="AB17" i="15"/>
  <c r="AA17" i="15"/>
  <c r="Z17" i="15"/>
  <c r="Y17" i="15"/>
  <c r="X17" i="15"/>
  <c r="W17" i="15"/>
  <c r="V17" i="15"/>
  <c r="AB16" i="15"/>
  <c r="AA16" i="15"/>
  <c r="Z16" i="15"/>
  <c r="Y16" i="15"/>
  <c r="X16" i="15"/>
  <c r="W16" i="15"/>
  <c r="V16" i="15"/>
  <c r="AB15" i="15"/>
  <c r="AA15" i="15"/>
  <c r="Z15" i="15"/>
  <c r="Y15" i="15"/>
  <c r="X15" i="15"/>
  <c r="W15" i="15"/>
  <c r="V15" i="15"/>
  <c r="AB14" i="15"/>
  <c r="AA14" i="15"/>
  <c r="Z14" i="15"/>
  <c r="Y14" i="15"/>
  <c r="X14" i="15"/>
  <c r="W14" i="15"/>
  <c r="V14" i="15"/>
  <c r="AB13" i="15"/>
  <c r="AA13" i="15"/>
  <c r="Z13" i="15"/>
  <c r="Y13" i="15"/>
  <c r="X13" i="15"/>
  <c r="W13" i="15"/>
  <c r="V13" i="15"/>
  <c r="AB12" i="15"/>
  <c r="AA12" i="15"/>
  <c r="Z12" i="15"/>
  <c r="Y12" i="15"/>
  <c r="X12" i="15"/>
  <c r="W12" i="15"/>
  <c r="V12" i="15"/>
  <c r="AB11" i="15"/>
  <c r="AA11" i="15"/>
  <c r="Z11" i="15"/>
  <c r="Y11" i="15"/>
  <c r="X11" i="15"/>
  <c r="W11" i="15"/>
  <c r="V11" i="15"/>
  <c r="AB10" i="15"/>
  <c r="AA10" i="15"/>
  <c r="Z10" i="15"/>
  <c r="Y10" i="15"/>
  <c r="X10" i="15"/>
  <c r="W10" i="15"/>
  <c r="V10" i="15"/>
  <c r="AB9" i="15"/>
  <c r="AA9" i="15"/>
  <c r="Z9" i="15"/>
  <c r="Y9" i="15"/>
  <c r="X9" i="15"/>
  <c r="W9" i="15"/>
  <c r="V9" i="15"/>
  <c r="AB8" i="15"/>
  <c r="AA8" i="15"/>
  <c r="Z8" i="15"/>
  <c r="Y8" i="15"/>
  <c r="X8" i="15"/>
  <c r="W8" i="15"/>
  <c r="V8" i="15"/>
  <c r="AB7" i="15"/>
  <c r="AA7" i="15"/>
  <c r="Z7" i="15"/>
  <c r="Y7" i="15"/>
  <c r="X7" i="15"/>
  <c r="W7" i="15"/>
  <c r="V7" i="15"/>
  <c r="AB6" i="15"/>
  <c r="AA6" i="15"/>
  <c r="Z6" i="15"/>
  <c r="Y6" i="15"/>
  <c r="X6" i="15"/>
  <c r="W6" i="15"/>
  <c r="V6" i="15"/>
  <c r="AB5" i="15"/>
  <c r="AA5" i="15"/>
  <c r="Z5" i="15"/>
  <c r="Y5" i="15"/>
  <c r="X5" i="15"/>
  <c r="W5" i="15"/>
  <c r="V5" i="15"/>
  <c r="AB4" i="15"/>
  <c r="AA4" i="15"/>
  <c r="Z4" i="15"/>
  <c r="Y4" i="15"/>
  <c r="X4" i="15"/>
  <c r="W4" i="15"/>
  <c r="V4" i="15"/>
  <c r="AB155" i="13"/>
  <c r="AA155" i="13"/>
  <c r="Z155" i="13"/>
  <c r="V155" i="13"/>
  <c r="Y155" i="13" s="1"/>
  <c r="AB154" i="13"/>
  <c r="AA154" i="13"/>
  <c r="Z154" i="13"/>
  <c r="V154" i="13"/>
  <c r="X154" i="13" s="1"/>
  <c r="AB153" i="13"/>
  <c r="AA153" i="13"/>
  <c r="Z153" i="13"/>
  <c r="V153" i="13"/>
  <c r="W153" i="13" s="1"/>
  <c r="AB152" i="13"/>
  <c r="AA152" i="13"/>
  <c r="Z152" i="13"/>
  <c r="V152" i="13"/>
  <c r="Y152" i="13" s="1"/>
  <c r="AB151" i="13"/>
  <c r="AA151" i="13"/>
  <c r="Z151" i="13"/>
  <c r="V151" i="13"/>
  <c r="W151" i="13" s="1"/>
  <c r="AB150" i="13"/>
  <c r="AA150" i="13"/>
  <c r="Z150" i="13"/>
  <c r="V150" i="13"/>
  <c r="W150" i="13" s="1"/>
  <c r="AB149" i="13"/>
  <c r="AA149" i="13"/>
  <c r="Z149" i="13"/>
  <c r="V149" i="13"/>
  <c r="Y149" i="13" s="1"/>
  <c r="AB148" i="13"/>
  <c r="AA148" i="13"/>
  <c r="Z148" i="13"/>
  <c r="V148" i="13"/>
  <c r="Y148" i="13" s="1"/>
  <c r="AB147" i="13"/>
  <c r="AA147" i="13"/>
  <c r="Z147" i="13"/>
  <c r="V147" i="13"/>
  <c r="Y147" i="13" s="1"/>
  <c r="AB146" i="13"/>
  <c r="AA146" i="13"/>
  <c r="Z146" i="13"/>
  <c r="V146" i="13"/>
  <c r="W146" i="13" s="1"/>
  <c r="AB145" i="13"/>
  <c r="AA145" i="13"/>
  <c r="Z145" i="13"/>
  <c r="V145" i="13"/>
  <c r="Y145" i="13" s="1"/>
  <c r="AB144" i="13"/>
  <c r="AA144" i="13"/>
  <c r="Z144" i="13"/>
  <c r="V144" i="13"/>
  <c r="X144" i="13" s="1"/>
  <c r="AB143" i="13"/>
  <c r="AA143" i="13"/>
  <c r="Z143" i="13"/>
  <c r="V143" i="13"/>
  <c r="W143" i="13" s="1"/>
  <c r="AB142" i="13"/>
  <c r="AA142" i="13"/>
  <c r="Z142" i="13"/>
  <c r="V142" i="13"/>
  <c r="Y142" i="13" s="1"/>
  <c r="AB141" i="13"/>
  <c r="AA141" i="13"/>
  <c r="Z141" i="13"/>
  <c r="V141" i="13"/>
  <c r="Y141" i="13" s="1"/>
  <c r="AB140" i="13"/>
  <c r="AA140" i="13"/>
  <c r="Z140" i="13"/>
  <c r="V140" i="13"/>
  <c r="Y140" i="13" s="1"/>
  <c r="AB139" i="13"/>
  <c r="AA139" i="13"/>
  <c r="Z139" i="13"/>
  <c r="V139" i="13"/>
  <c r="W139" i="13" s="1"/>
  <c r="AB138" i="13"/>
  <c r="AA138" i="13"/>
  <c r="Z138" i="13"/>
  <c r="V138" i="13"/>
  <c r="W138" i="13" s="1"/>
  <c r="AB137" i="13"/>
  <c r="AA137" i="13"/>
  <c r="Z137" i="13"/>
  <c r="V137" i="13"/>
  <c r="Y137" i="13" s="1"/>
  <c r="AB136" i="13"/>
  <c r="AA136" i="13"/>
  <c r="Z136" i="13"/>
  <c r="V136" i="13"/>
  <c r="Y136" i="13" s="1"/>
  <c r="AB135" i="13"/>
  <c r="AA135" i="13"/>
  <c r="Z135" i="13"/>
  <c r="V135" i="13"/>
  <c r="Y135" i="13" s="1"/>
  <c r="AB134" i="13"/>
  <c r="AA134" i="13"/>
  <c r="Z134" i="13"/>
  <c r="V134" i="13"/>
  <c r="Y134" i="13" s="1"/>
  <c r="AB133" i="13"/>
  <c r="AA133" i="13"/>
  <c r="Z133" i="13"/>
  <c r="V133" i="13"/>
  <c r="Y133" i="13" s="1"/>
  <c r="AB132" i="13"/>
  <c r="AA132" i="13"/>
  <c r="Z132" i="13"/>
  <c r="V132" i="13"/>
  <c r="W132" i="13" s="1"/>
  <c r="AB131" i="13"/>
  <c r="AA131" i="13"/>
  <c r="Z131" i="13"/>
  <c r="V131" i="13"/>
  <c r="X131" i="13" s="1"/>
  <c r="AB130" i="13"/>
  <c r="AA130" i="13"/>
  <c r="Z130" i="13"/>
  <c r="V130" i="13"/>
  <c r="Y130" i="13" s="1"/>
  <c r="AB21" i="10"/>
  <c r="AA21" i="10"/>
  <c r="Z21" i="10"/>
  <c r="Y21" i="10"/>
  <c r="W21" i="10"/>
  <c r="V21" i="10"/>
  <c r="X21" i="10" s="1"/>
  <c r="AB129" i="13"/>
  <c r="AA129" i="13"/>
  <c r="Z129" i="13"/>
  <c r="V129" i="13"/>
  <c r="W129" i="13" s="1"/>
  <c r="AB128" i="13"/>
  <c r="AA128" i="13"/>
  <c r="Z128" i="13"/>
  <c r="V128" i="13"/>
  <c r="W128" i="13" s="1"/>
  <c r="AB127" i="13"/>
  <c r="AA127" i="13"/>
  <c r="Z127" i="13"/>
  <c r="V127" i="13"/>
  <c r="W127" i="13" s="1"/>
  <c r="AB20" i="10"/>
  <c r="AA20" i="10"/>
  <c r="Z20" i="10"/>
  <c r="V20" i="10"/>
  <c r="Y20" i="10" s="1"/>
  <c r="AB126" i="13"/>
  <c r="AA126" i="13"/>
  <c r="Z126" i="13"/>
  <c r="V126" i="13"/>
  <c r="Y126" i="13" s="1"/>
  <c r="AB125" i="13"/>
  <c r="AA125" i="13"/>
  <c r="Z125" i="13"/>
  <c r="V125" i="13"/>
  <c r="Y125" i="13" s="1"/>
  <c r="AB124" i="13"/>
  <c r="AA124" i="13"/>
  <c r="Z124" i="13"/>
  <c r="V124" i="13"/>
  <c r="Y124" i="13" s="1"/>
  <c r="AB123" i="13"/>
  <c r="AA123" i="13"/>
  <c r="Z123" i="13"/>
  <c r="V123" i="13"/>
  <c r="W123" i="13" s="1"/>
  <c r="AB122" i="13"/>
  <c r="AA122" i="13"/>
  <c r="Z122" i="13"/>
  <c r="V122" i="13"/>
  <c r="Y122" i="13" s="1"/>
  <c r="AB121" i="13"/>
  <c r="AA121" i="13"/>
  <c r="Z121" i="13"/>
  <c r="V121" i="13"/>
  <c r="Y121" i="13" s="1"/>
  <c r="AB120" i="13"/>
  <c r="AA120" i="13"/>
  <c r="Z120" i="13"/>
  <c r="V120" i="13"/>
  <c r="Y120" i="13" s="1"/>
  <c r="AB19" i="10"/>
  <c r="AA19" i="10"/>
  <c r="Z19" i="10"/>
  <c r="Y19" i="10"/>
  <c r="X19" i="10"/>
  <c r="W19" i="10"/>
  <c r="V19" i="10"/>
  <c r="AB119" i="13"/>
  <c r="AA119" i="13"/>
  <c r="Z119" i="13"/>
  <c r="V119" i="13"/>
  <c r="W119" i="13" s="1"/>
  <c r="AB118" i="13"/>
  <c r="AA118" i="13"/>
  <c r="Z118" i="13"/>
  <c r="V118" i="13"/>
  <c r="X118" i="13" s="1"/>
  <c r="AB117" i="13"/>
  <c r="AA117" i="13"/>
  <c r="Z117" i="13"/>
  <c r="V117" i="13"/>
  <c r="Y117" i="13" s="1"/>
  <c r="AB18" i="10"/>
  <c r="AA18" i="10"/>
  <c r="Z18" i="10"/>
  <c r="V18" i="10"/>
  <c r="Y18" i="10" s="1"/>
  <c r="AB116" i="13"/>
  <c r="AA116" i="13"/>
  <c r="Z116" i="13"/>
  <c r="V116" i="13"/>
  <c r="Y116" i="13" s="1"/>
  <c r="AB115" i="13"/>
  <c r="AA115" i="13"/>
  <c r="Z115" i="13"/>
  <c r="V115" i="13"/>
  <c r="Y115" i="13" s="1"/>
  <c r="AB114" i="13"/>
  <c r="AA114" i="13"/>
  <c r="Z114" i="13"/>
  <c r="V114" i="13"/>
  <c r="Y114" i="13" s="1"/>
  <c r="AB17" i="10"/>
  <c r="AA17" i="10"/>
  <c r="Z17" i="10"/>
  <c r="Y17" i="10"/>
  <c r="W17" i="10"/>
  <c r="V17" i="10"/>
  <c r="X17" i="10" s="1"/>
  <c r="AB113" i="13"/>
  <c r="AA113" i="13"/>
  <c r="Z113" i="13"/>
  <c r="V113" i="13"/>
  <c r="X113" i="13" s="1"/>
  <c r="AB112" i="13"/>
  <c r="AA112" i="13"/>
  <c r="Z112" i="13"/>
  <c r="V112" i="13"/>
  <c r="Y112" i="13" s="1"/>
  <c r="AB111" i="13"/>
  <c r="AA111" i="13"/>
  <c r="Z111" i="13"/>
  <c r="V111" i="13"/>
  <c r="Y111" i="13" s="1"/>
  <c r="AB110" i="13"/>
  <c r="AA110" i="13"/>
  <c r="Z110" i="13"/>
  <c r="V110" i="13"/>
  <c r="Y110" i="13" s="1"/>
  <c r="AB109" i="13"/>
  <c r="AA109" i="13"/>
  <c r="Z109" i="13"/>
  <c r="V109" i="13"/>
  <c r="W109" i="13" s="1"/>
  <c r="AB108" i="13"/>
  <c r="AA108" i="13"/>
  <c r="Z108" i="13"/>
  <c r="V108" i="13"/>
  <c r="Y108" i="13" s="1"/>
  <c r="AB107" i="13"/>
  <c r="AA107" i="13"/>
  <c r="Z107" i="13"/>
  <c r="V107" i="13"/>
  <c r="W107" i="13" s="1"/>
  <c r="AB106" i="13"/>
  <c r="AA106" i="13"/>
  <c r="Z106" i="13"/>
  <c r="V106" i="13"/>
  <c r="Y106" i="13" s="1"/>
  <c r="AB105" i="13"/>
  <c r="AA105" i="13"/>
  <c r="Z105" i="13"/>
  <c r="V105" i="13"/>
  <c r="Y105" i="13" s="1"/>
  <c r="AB104" i="13"/>
  <c r="AA104" i="13"/>
  <c r="Z104" i="13"/>
  <c r="V104" i="13"/>
  <c r="X104" i="13" s="1"/>
  <c r="AB103" i="13"/>
  <c r="AA103" i="13"/>
  <c r="Z103" i="13"/>
  <c r="V103" i="13"/>
  <c r="Y103" i="13" s="1"/>
  <c r="AB16" i="10"/>
  <c r="AA16" i="10"/>
  <c r="Z16" i="10"/>
  <c r="Y16" i="10"/>
  <c r="W16" i="10"/>
  <c r="V16" i="10"/>
  <c r="X16" i="10" s="1"/>
  <c r="AB15" i="10"/>
  <c r="AA15" i="10"/>
  <c r="Z15" i="10"/>
  <c r="X15" i="10"/>
  <c r="W15" i="10"/>
  <c r="V15" i="10"/>
  <c r="Y15" i="10" s="1"/>
  <c r="AB102" i="13"/>
  <c r="AA102" i="13"/>
  <c r="Z102" i="13"/>
  <c r="V102" i="13"/>
  <c r="X102" i="13" s="1"/>
  <c r="AB101" i="13"/>
  <c r="AA101" i="13"/>
  <c r="Z101" i="13"/>
  <c r="V101" i="13"/>
  <c r="W101" i="13" s="1"/>
  <c r="AB100" i="13"/>
  <c r="AA100" i="13"/>
  <c r="Z100" i="13"/>
  <c r="V100" i="13"/>
  <c r="Y100" i="13" s="1"/>
  <c r="AB99" i="13"/>
  <c r="AA99" i="13"/>
  <c r="Z99" i="13"/>
  <c r="V99" i="13"/>
  <c r="X99" i="13" s="1"/>
  <c r="AB98" i="13"/>
  <c r="AA98" i="13"/>
  <c r="Z98" i="13"/>
  <c r="V98" i="13"/>
  <c r="W98" i="13" s="1"/>
  <c r="AB97" i="13"/>
  <c r="AA97" i="13"/>
  <c r="Z97" i="13"/>
  <c r="V97" i="13"/>
  <c r="Y97" i="13" s="1"/>
  <c r="AB96" i="13"/>
  <c r="AA96" i="13"/>
  <c r="Z96" i="13"/>
  <c r="V96" i="13"/>
  <c r="Y96" i="13" s="1"/>
  <c r="AB95" i="13"/>
  <c r="AA95" i="13"/>
  <c r="Z95" i="13"/>
  <c r="V95" i="13"/>
  <c r="X95" i="13" s="1"/>
  <c r="AB94" i="13"/>
  <c r="AA94" i="13"/>
  <c r="Z94" i="13"/>
  <c r="V94" i="13"/>
  <c r="X94" i="13" s="1"/>
  <c r="AB93" i="13"/>
  <c r="AA93" i="13"/>
  <c r="Z93" i="13"/>
  <c r="V93" i="13"/>
  <c r="Y93" i="13" s="1"/>
  <c r="AB92" i="13"/>
  <c r="AA92" i="13"/>
  <c r="Z92" i="13"/>
  <c r="V92" i="13"/>
  <c r="Y92" i="13" s="1"/>
  <c r="AB91" i="13"/>
  <c r="AA91" i="13"/>
  <c r="Z91" i="13"/>
  <c r="V91" i="13"/>
  <c r="Y91" i="13" s="1"/>
  <c r="AB90" i="13"/>
  <c r="AA90" i="13"/>
  <c r="Z90" i="13"/>
  <c r="V90" i="13"/>
  <c r="W90" i="13" s="1"/>
  <c r="AB89" i="13"/>
  <c r="AA89" i="13"/>
  <c r="Z89" i="13"/>
  <c r="V89" i="13"/>
  <c r="Y89" i="13" s="1"/>
  <c r="AB88" i="13"/>
  <c r="AA88" i="13"/>
  <c r="Z88" i="13"/>
  <c r="V88" i="13"/>
  <c r="Y88" i="13" s="1"/>
  <c r="AB87" i="13"/>
  <c r="AA87" i="13"/>
  <c r="Z87" i="13"/>
  <c r="V87" i="13"/>
  <c r="Y87" i="13" s="1"/>
  <c r="AB86" i="13"/>
  <c r="AA86" i="13"/>
  <c r="Z86" i="13"/>
  <c r="V86" i="13"/>
  <c r="Y86" i="13" s="1"/>
  <c r="AB85" i="13"/>
  <c r="AA85" i="13"/>
  <c r="Z85" i="13"/>
  <c r="V85" i="13"/>
  <c r="Y85" i="13" s="1"/>
  <c r="AB16" i="8"/>
  <c r="AA16" i="8"/>
  <c r="Z16" i="8"/>
  <c r="Y16" i="8"/>
  <c r="V16" i="8"/>
  <c r="X16" i="8" s="1"/>
  <c r="AB14" i="10"/>
  <c r="AA14" i="10"/>
  <c r="Z14" i="10"/>
  <c r="Y14" i="10"/>
  <c r="V14" i="10"/>
  <c r="X14" i="10" s="1"/>
  <c r="AB84" i="13"/>
  <c r="AA84" i="13"/>
  <c r="Z84" i="13"/>
  <c r="V84" i="13"/>
  <c r="W84" i="13" s="1"/>
  <c r="AB83" i="13"/>
  <c r="AA83" i="13"/>
  <c r="Z83" i="13"/>
  <c r="V83" i="13"/>
  <c r="Y83" i="13" s="1"/>
  <c r="AB82" i="13"/>
  <c r="AA82" i="13"/>
  <c r="Z82" i="13"/>
  <c r="V82" i="13"/>
  <c r="X82" i="13" s="1"/>
  <c r="AB81" i="13"/>
  <c r="AA81" i="13"/>
  <c r="Z81" i="13"/>
  <c r="V81" i="13"/>
  <c r="Y81" i="13" s="1"/>
  <c r="AB15" i="8"/>
  <c r="AA15" i="8"/>
  <c r="Z15" i="8"/>
  <c r="V15" i="8"/>
  <c r="Y15" i="8" s="1"/>
  <c r="AB80" i="13"/>
  <c r="AA80" i="13"/>
  <c r="Z80" i="13"/>
  <c r="V80" i="13"/>
  <c r="Y80" i="13" s="1"/>
  <c r="AB14" i="8"/>
  <c r="AA14" i="8"/>
  <c r="Z14" i="8"/>
  <c r="V14" i="8"/>
  <c r="Y14" i="8" s="1"/>
  <c r="AB79" i="13"/>
  <c r="AA79" i="13"/>
  <c r="Z79" i="13"/>
  <c r="V79" i="13"/>
  <c r="W79" i="13" s="1"/>
  <c r="AB13" i="8"/>
  <c r="AA13" i="8"/>
  <c r="Z13" i="8"/>
  <c r="W13" i="8"/>
  <c r="V13" i="8"/>
  <c r="Y13" i="8" s="1"/>
  <c r="AB78" i="13"/>
  <c r="AA78" i="13"/>
  <c r="Z78" i="13"/>
  <c r="V78" i="13"/>
  <c r="Y78" i="13" s="1"/>
  <c r="AB77" i="13"/>
  <c r="AA77" i="13"/>
  <c r="Z77" i="13"/>
  <c r="V77" i="13"/>
  <c r="Y77" i="13" s="1"/>
  <c r="AB76" i="13"/>
  <c r="AA76" i="13"/>
  <c r="Z76" i="13"/>
  <c r="V76" i="13"/>
  <c r="W76" i="13" s="1"/>
  <c r="AB75" i="13"/>
  <c r="AA75" i="13"/>
  <c r="Z75" i="13"/>
  <c r="V75" i="13"/>
  <c r="Y75" i="13" s="1"/>
  <c r="AB13" i="10"/>
  <c r="AA13" i="10"/>
  <c r="Z13" i="10"/>
  <c r="W13" i="10"/>
  <c r="V13" i="10"/>
  <c r="Y13" i="10" s="1"/>
  <c r="AB74" i="13"/>
  <c r="AA74" i="13"/>
  <c r="Z74" i="13"/>
  <c r="V74" i="13"/>
  <c r="Y74" i="13" s="1"/>
  <c r="AB73" i="13"/>
  <c r="AA73" i="13"/>
  <c r="Z73" i="13"/>
  <c r="V73" i="13"/>
  <c r="W73" i="13" s="1"/>
  <c r="AB72" i="13"/>
  <c r="AA72" i="13"/>
  <c r="Z72" i="13"/>
  <c r="V72" i="13"/>
  <c r="Y72" i="13" s="1"/>
  <c r="AB71" i="13"/>
  <c r="AA71" i="13"/>
  <c r="Z71" i="13"/>
  <c r="V71" i="13"/>
  <c r="Y71" i="13" s="1"/>
  <c r="AB70" i="13"/>
  <c r="AA70" i="13"/>
  <c r="Z70" i="13"/>
  <c r="V70" i="13"/>
  <c r="Y70" i="13" s="1"/>
  <c r="AB69" i="13"/>
  <c r="AA69" i="13"/>
  <c r="Z69" i="13"/>
  <c r="V69" i="13"/>
  <c r="Y69" i="13" s="1"/>
  <c r="AB12" i="8"/>
  <c r="AA12" i="8"/>
  <c r="Z12" i="8"/>
  <c r="Y12" i="8"/>
  <c r="W12" i="8"/>
  <c r="V12" i="8"/>
  <c r="X12" i="8" s="1"/>
  <c r="AB68" i="13"/>
  <c r="AA68" i="13"/>
  <c r="Z68" i="13"/>
  <c r="V68" i="13"/>
  <c r="X68" i="13" s="1"/>
  <c r="AB67" i="13"/>
  <c r="AA67" i="13"/>
  <c r="Z67" i="13"/>
  <c r="V67" i="13"/>
  <c r="W67" i="13" s="1"/>
  <c r="AB66" i="13"/>
  <c r="AA66" i="13"/>
  <c r="Z66" i="13"/>
  <c r="V66" i="13"/>
  <c r="Y66" i="13" s="1"/>
  <c r="AB65" i="13"/>
  <c r="AA65" i="13"/>
  <c r="Z65" i="13"/>
  <c r="V65" i="13"/>
  <c r="Y65" i="13" s="1"/>
  <c r="AB64" i="13"/>
  <c r="AA64" i="13"/>
  <c r="Z64" i="13"/>
  <c r="V64" i="13"/>
  <c r="Y64" i="13" s="1"/>
  <c r="AB12" i="10"/>
  <c r="AA12" i="10"/>
  <c r="Z12" i="10"/>
  <c r="V12" i="10"/>
  <c r="Y12" i="10" s="1"/>
  <c r="AB63" i="13"/>
  <c r="AA63" i="13"/>
  <c r="Z63" i="13"/>
  <c r="V63" i="13"/>
  <c r="W63" i="13" s="1"/>
  <c r="AB11" i="10"/>
  <c r="AA11" i="10"/>
  <c r="Z11" i="10"/>
  <c r="V11" i="10"/>
  <c r="Y11" i="10" s="1"/>
  <c r="AB62" i="13"/>
  <c r="AA62" i="13"/>
  <c r="Z62" i="13"/>
  <c r="V62" i="13"/>
  <c r="X62" i="13" s="1"/>
  <c r="AB61" i="13"/>
  <c r="AA61" i="13"/>
  <c r="Z61" i="13"/>
  <c r="V61" i="13"/>
  <c r="Y61" i="13" s="1"/>
  <c r="AB11" i="8"/>
  <c r="AA11" i="8"/>
  <c r="Z11" i="8"/>
  <c r="V11" i="8"/>
  <c r="Y11" i="8" s="1"/>
  <c r="AB10" i="10"/>
  <c r="AA10" i="10"/>
  <c r="Z10" i="10"/>
  <c r="V10" i="10"/>
  <c r="Y10" i="10" s="1"/>
  <c r="AB9" i="10"/>
  <c r="AA9" i="10"/>
  <c r="Z9" i="10"/>
  <c r="V9" i="10"/>
  <c r="Y9" i="10" s="1"/>
  <c r="AB60" i="13"/>
  <c r="AA60" i="13"/>
  <c r="Z60" i="13"/>
  <c r="V60" i="13"/>
  <c r="X60" i="13" s="1"/>
  <c r="AB59" i="13"/>
  <c r="AA59" i="13"/>
  <c r="Z59" i="13"/>
  <c r="V59" i="13"/>
  <c r="Y59" i="13" s="1"/>
  <c r="AB58" i="13"/>
  <c r="AA58" i="13"/>
  <c r="Z58" i="13"/>
  <c r="V58" i="13"/>
  <c r="X58" i="13" s="1"/>
  <c r="AB57" i="13"/>
  <c r="AA57" i="13"/>
  <c r="Z57" i="13"/>
  <c r="V57" i="13"/>
  <c r="Y57" i="13" s="1"/>
  <c r="AB56" i="13"/>
  <c r="AA56" i="13"/>
  <c r="Z56" i="13"/>
  <c r="V56" i="13"/>
  <c r="X56" i="13" s="1"/>
  <c r="AB55" i="13"/>
  <c r="AA55" i="13"/>
  <c r="Z55" i="13"/>
  <c r="V55" i="13"/>
  <c r="Y55" i="13" s="1"/>
  <c r="AB54" i="13"/>
  <c r="AA54" i="13"/>
  <c r="Z54" i="13"/>
  <c r="V54" i="13"/>
  <c r="X54" i="13" s="1"/>
  <c r="AB53" i="13"/>
  <c r="AA53" i="13"/>
  <c r="Z53" i="13"/>
  <c r="V53" i="13"/>
  <c r="Y53" i="13" s="1"/>
  <c r="AB52" i="13"/>
  <c r="AA52" i="13"/>
  <c r="Z52" i="13"/>
  <c r="V52" i="13"/>
  <c r="Y52" i="13" s="1"/>
  <c r="AB51" i="13"/>
  <c r="AA51" i="13"/>
  <c r="Z51" i="13"/>
  <c r="V51" i="13"/>
  <c r="Y51" i="13" s="1"/>
  <c r="AB50" i="13"/>
  <c r="AA50" i="13"/>
  <c r="Z50" i="13"/>
  <c r="V50" i="13"/>
  <c r="Y50" i="13" s="1"/>
  <c r="AB49" i="13"/>
  <c r="AA49" i="13"/>
  <c r="Z49" i="13"/>
  <c r="V49" i="13"/>
  <c r="Y49" i="13" s="1"/>
  <c r="AB48" i="13"/>
  <c r="AA48" i="13"/>
  <c r="Z48" i="13"/>
  <c r="V48" i="13"/>
  <c r="Y48" i="13" s="1"/>
  <c r="AB47" i="13"/>
  <c r="AA47" i="13"/>
  <c r="Z47" i="13"/>
  <c r="V47" i="13"/>
  <c r="Y47" i="13" s="1"/>
  <c r="AB46" i="13"/>
  <c r="AA46" i="13"/>
  <c r="Z46" i="13"/>
  <c r="V46" i="13"/>
  <c r="Y46" i="13" s="1"/>
  <c r="AB45" i="13"/>
  <c r="AA45" i="13"/>
  <c r="Z45" i="13"/>
  <c r="V45" i="13"/>
  <c r="Y45" i="13" s="1"/>
  <c r="AB44" i="13"/>
  <c r="AA44" i="13"/>
  <c r="Z44" i="13"/>
  <c r="V44" i="13"/>
  <c r="Y44" i="13" s="1"/>
  <c r="AB43" i="13"/>
  <c r="AA43" i="13"/>
  <c r="Z43" i="13"/>
  <c r="V43" i="13"/>
  <c r="Y43" i="13" s="1"/>
  <c r="AB42" i="13"/>
  <c r="AA42" i="13"/>
  <c r="Z42" i="13"/>
  <c r="V42" i="13"/>
  <c r="Y42" i="13" s="1"/>
  <c r="AB41" i="13"/>
  <c r="AA41" i="13"/>
  <c r="Z41" i="13"/>
  <c r="V41" i="13"/>
  <c r="Y41" i="13" s="1"/>
  <c r="AB40" i="13"/>
  <c r="AA40" i="13"/>
  <c r="Z40" i="13"/>
  <c r="V40" i="13"/>
  <c r="W40" i="13" s="1"/>
  <c r="AB10" i="8"/>
  <c r="AA10" i="8"/>
  <c r="Z10" i="8"/>
  <c r="X10" i="8"/>
  <c r="V10" i="8"/>
  <c r="Y10" i="8" s="1"/>
  <c r="AB39" i="13"/>
  <c r="AA39" i="13"/>
  <c r="Z39" i="13"/>
  <c r="V39" i="13"/>
  <c r="Y39" i="13" s="1"/>
  <c r="AB38" i="13"/>
  <c r="AA38" i="13"/>
  <c r="Z38" i="13"/>
  <c r="V38" i="13"/>
  <c r="Y38" i="13" s="1"/>
  <c r="AB37" i="13"/>
  <c r="AA37" i="13"/>
  <c r="Z37" i="13"/>
  <c r="V37" i="13"/>
  <c r="X37" i="13" s="1"/>
  <c r="AB36" i="13"/>
  <c r="AA36" i="13"/>
  <c r="Z36" i="13"/>
  <c r="V36" i="13"/>
  <c r="Y36" i="13" s="1"/>
  <c r="AB8" i="10"/>
  <c r="AA8" i="10"/>
  <c r="Z8" i="10"/>
  <c r="Y8" i="10"/>
  <c r="V8" i="10"/>
  <c r="X8" i="10" s="1"/>
  <c r="AB35" i="13"/>
  <c r="AA35" i="13"/>
  <c r="Z35" i="13"/>
  <c r="V35" i="13"/>
  <c r="X35" i="13" s="1"/>
  <c r="AB34" i="13"/>
  <c r="AA34" i="13"/>
  <c r="Z34" i="13"/>
  <c r="V34" i="13"/>
  <c r="Y34" i="13" s="1"/>
  <c r="AB33" i="13"/>
  <c r="AA33" i="13"/>
  <c r="Z33" i="13"/>
  <c r="V33" i="13"/>
  <c r="Y33" i="13" s="1"/>
  <c r="AB7" i="10"/>
  <c r="AA7" i="10"/>
  <c r="Z7" i="10"/>
  <c r="Y7" i="10"/>
  <c r="V7" i="10"/>
  <c r="X7" i="10" s="1"/>
  <c r="AB32" i="13"/>
  <c r="AA32" i="13"/>
  <c r="Z32" i="13"/>
  <c r="V32" i="13"/>
  <c r="Y32" i="13" s="1"/>
  <c r="AB31" i="13"/>
  <c r="AA31" i="13"/>
  <c r="Z31" i="13"/>
  <c r="V31" i="13"/>
  <c r="Y31" i="13" s="1"/>
  <c r="AB30" i="13"/>
  <c r="AA30" i="13"/>
  <c r="Z30" i="13"/>
  <c r="V30" i="13"/>
  <c r="Y30" i="13" s="1"/>
  <c r="AB29" i="13"/>
  <c r="AA29" i="13"/>
  <c r="Z29" i="13"/>
  <c r="V29" i="13"/>
  <c r="Y29" i="13" s="1"/>
  <c r="AB28" i="13"/>
  <c r="AA28" i="13"/>
  <c r="Z28" i="13"/>
  <c r="V28" i="13"/>
  <c r="W28" i="13" s="1"/>
  <c r="AB27" i="13"/>
  <c r="AA27" i="13"/>
  <c r="Z27" i="13"/>
  <c r="V27" i="13"/>
  <c r="W27" i="13" s="1"/>
  <c r="AB9" i="8"/>
  <c r="AA9" i="8"/>
  <c r="Z9" i="8"/>
  <c r="Y9" i="8"/>
  <c r="X9" i="8"/>
  <c r="V9" i="8"/>
  <c r="W9" i="8" s="1"/>
  <c r="AB6" i="10"/>
  <c r="AA6" i="10"/>
  <c r="Z6" i="10"/>
  <c r="V6" i="10"/>
  <c r="Y6" i="10" s="1"/>
  <c r="AB26" i="13"/>
  <c r="AA26" i="13"/>
  <c r="Z26" i="13"/>
  <c r="V26" i="13"/>
  <c r="W26" i="13" s="1"/>
  <c r="AB25" i="13"/>
  <c r="AA25" i="13"/>
  <c r="Z25" i="13"/>
  <c r="V25" i="13"/>
  <c r="Y25" i="13" s="1"/>
  <c r="AB24" i="13"/>
  <c r="AA24" i="13"/>
  <c r="Z24" i="13"/>
  <c r="V24" i="13"/>
  <c r="Y24" i="13" s="1"/>
  <c r="AB23" i="13"/>
  <c r="AA23" i="13"/>
  <c r="Z23" i="13"/>
  <c r="V23" i="13"/>
  <c r="Y23" i="13" s="1"/>
  <c r="AB22" i="13"/>
  <c r="AA22" i="13"/>
  <c r="Z22" i="13"/>
  <c r="V22" i="13"/>
  <c r="Y22" i="13" s="1"/>
  <c r="AB21" i="13"/>
  <c r="AA21" i="13"/>
  <c r="Z21" i="13"/>
  <c r="V21" i="13"/>
  <c r="Y21" i="13" s="1"/>
  <c r="AB20" i="13"/>
  <c r="AA20" i="13"/>
  <c r="Z20" i="13"/>
  <c r="V20" i="13"/>
  <c r="Y20" i="13" s="1"/>
  <c r="AB19" i="13"/>
  <c r="AA19" i="13"/>
  <c r="Z19" i="13"/>
  <c r="V19" i="13"/>
  <c r="Y19" i="13" s="1"/>
  <c r="AB18" i="13"/>
  <c r="AA18" i="13"/>
  <c r="Z18" i="13"/>
  <c r="V18" i="13"/>
  <c r="Y18" i="13" s="1"/>
  <c r="AB8" i="8"/>
  <c r="AA8" i="8"/>
  <c r="Z8" i="8"/>
  <c r="V8" i="8"/>
  <c r="Y8" i="8" s="1"/>
  <c r="AB7" i="8"/>
  <c r="AA7" i="8"/>
  <c r="Z7" i="8"/>
  <c r="V7" i="8"/>
  <c r="Y7" i="8" s="1"/>
  <c r="AB17" i="13"/>
  <c r="AA17" i="13"/>
  <c r="Z17" i="13"/>
  <c r="V17" i="13"/>
  <c r="Y17" i="13" s="1"/>
  <c r="AB6" i="8"/>
  <c r="AA6" i="8"/>
  <c r="Z6" i="8"/>
  <c r="X6" i="8"/>
  <c r="V6" i="8"/>
  <c r="Y6" i="8" s="1"/>
  <c r="AB16" i="13"/>
  <c r="AA16" i="13"/>
  <c r="Z16" i="13"/>
  <c r="V16" i="13"/>
  <c r="Y16" i="13" s="1"/>
  <c r="AB15" i="13"/>
  <c r="AA15" i="13"/>
  <c r="Z15" i="13"/>
  <c r="V15" i="13"/>
  <c r="X15" i="13" s="1"/>
  <c r="AB14" i="13"/>
  <c r="AA14" i="13"/>
  <c r="Z14" i="13"/>
  <c r="V14" i="13"/>
  <c r="Y14" i="13" s="1"/>
  <c r="AB13" i="13"/>
  <c r="AA13" i="13"/>
  <c r="Z13" i="13"/>
  <c r="V13" i="13"/>
  <c r="W13" i="13" s="1"/>
  <c r="AB5" i="10"/>
  <c r="AA5" i="10"/>
  <c r="Z5" i="10"/>
  <c r="Y5" i="10"/>
  <c r="V5" i="10"/>
  <c r="X5" i="10" s="1"/>
  <c r="AB12" i="13"/>
  <c r="AA12" i="13"/>
  <c r="Z12" i="13"/>
  <c r="V12" i="13"/>
  <c r="Y12" i="13" s="1"/>
  <c r="AB11" i="13"/>
  <c r="AA11" i="13"/>
  <c r="Z11" i="13"/>
  <c r="V11" i="13"/>
  <c r="X11" i="13" s="1"/>
  <c r="AB10" i="13"/>
  <c r="AA10" i="13"/>
  <c r="Z10" i="13"/>
  <c r="V10" i="13"/>
  <c r="W10" i="13" s="1"/>
  <c r="AB9" i="13"/>
  <c r="AA9" i="13"/>
  <c r="Z9" i="13"/>
  <c r="V9" i="13"/>
  <c r="Y9" i="13" s="1"/>
  <c r="AB8" i="13"/>
  <c r="AA8" i="13"/>
  <c r="Z8" i="13"/>
  <c r="V8" i="13"/>
  <c r="Y8" i="13" s="1"/>
  <c r="AB5" i="8"/>
  <c r="AA5" i="8"/>
  <c r="Z5" i="8"/>
  <c r="V5" i="8"/>
  <c r="Y5" i="8" s="1"/>
  <c r="AB7" i="13"/>
  <c r="AA7" i="13"/>
  <c r="Z7" i="13"/>
  <c r="V7" i="13"/>
  <c r="W7" i="13" s="1"/>
  <c r="V4" i="8"/>
  <c r="W4" i="8"/>
  <c r="X4" i="8"/>
  <c r="Y4" i="8"/>
  <c r="Z4" i="8"/>
  <c r="AA4" i="8"/>
  <c r="AB4" i="8"/>
  <c r="AB4" i="10"/>
  <c r="AA4" i="10"/>
  <c r="Z4" i="10"/>
  <c r="Y4" i="10"/>
  <c r="W4" i="10"/>
  <c r="V4" i="10"/>
  <c r="X4" i="10" s="1"/>
  <c r="AB6" i="13"/>
  <c r="AA6" i="13"/>
  <c r="Z6" i="13"/>
  <c r="V6" i="13"/>
  <c r="W6" i="13" s="1"/>
  <c r="AB5" i="13"/>
  <c r="AA5" i="13"/>
  <c r="Z5" i="13"/>
  <c r="V5" i="13"/>
  <c r="Y5" i="13" s="1"/>
  <c r="V4" i="13"/>
  <c r="W4" i="13" s="1"/>
  <c r="Z4" i="13"/>
  <c r="AA4" i="13"/>
  <c r="AB4" i="13"/>
  <c r="AB73" i="3"/>
  <c r="AA73" i="3"/>
  <c r="Z73" i="3"/>
  <c r="V73" i="3"/>
  <c r="Y73" i="3" s="1"/>
  <c r="AB72" i="3"/>
  <c r="AA72" i="3"/>
  <c r="Z72" i="3"/>
  <c r="V72" i="3"/>
  <c r="Y72" i="3" s="1"/>
  <c r="AB71" i="3"/>
  <c r="AA71" i="3"/>
  <c r="Z71" i="3"/>
  <c r="Y71" i="3"/>
  <c r="X71" i="3"/>
  <c r="W71" i="3"/>
  <c r="V71" i="3"/>
  <c r="AB70" i="3"/>
  <c r="AA70" i="3"/>
  <c r="Z70" i="3"/>
  <c r="V70" i="3"/>
  <c r="Y70" i="3" s="1"/>
  <c r="AB69" i="3"/>
  <c r="AA69" i="3"/>
  <c r="Z69" i="3"/>
  <c r="V69" i="3"/>
  <c r="Y69" i="3" s="1"/>
  <c r="AB68" i="3"/>
  <c r="AA68" i="3"/>
  <c r="Z68" i="3"/>
  <c r="V68" i="3"/>
  <c r="Y68" i="3" s="1"/>
  <c r="AB67" i="3"/>
  <c r="AA67" i="3"/>
  <c r="Z67" i="3"/>
  <c r="V67" i="3"/>
  <c r="Y67" i="3" s="1"/>
  <c r="AB66" i="3"/>
  <c r="AA66" i="3"/>
  <c r="Z66" i="3"/>
  <c r="W66" i="3"/>
  <c r="V66" i="3"/>
  <c r="Y66" i="3" s="1"/>
  <c r="AB65" i="3"/>
  <c r="AA65" i="3"/>
  <c r="Z65" i="3"/>
  <c r="X65" i="3"/>
  <c r="W65" i="3"/>
  <c r="V65" i="3"/>
  <c r="Y65" i="3" s="1"/>
  <c r="AB64" i="3"/>
  <c r="AA64" i="3"/>
  <c r="Z64" i="3"/>
  <c r="Y64" i="3"/>
  <c r="W64" i="3"/>
  <c r="V64" i="3"/>
  <c r="X64" i="3" s="1"/>
  <c r="AB63" i="3"/>
  <c r="AA63" i="3"/>
  <c r="Z63" i="3"/>
  <c r="Y63" i="3"/>
  <c r="X63" i="3"/>
  <c r="V63" i="3"/>
  <c r="W63" i="3" s="1"/>
  <c r="AB62" i="3"/>
  <c r="AA62" i="3"/>
  <c r="Z62" i="3"/>
  <c r="V62" i="3"/>
  <c r="Y62" i="3" s="1"/>
  <c r="AB61" i="3"/>
  <c r="AA61" i="3"/>
  <c r="Z61" i="3"/>
  <c r="Y61" i="3"/>
  <c r="X61" i="3"/>
  <c r="W61" i="3"/>
  <c r="V61" i="3"/>
  <c r="AB60" i="3"/>
  <c r="AA60" i="3"/>
  <c r="Z60" i="3"/>
  <c r="X60" i="3"/>
  <c r="V60" i="3"/>
  <c r="Y60" i="3" s="1"/>
  <c r="AB59" i="3"/>
  <c r="AA59" i="3"/>
  <c r="Z59" i="3"/>
  <c r="V59" i="3"/>
  <c r="Y59" i="3" s="1"/>
  <c r="AB52" i="3"/>
  <c r="AA52" i="3"/>
  <c r="Z52" i="3"/>
  <c r="V52" i="3"/>
  <c r="Y52" i="3" s="1"/>
  <c r="AB51" i="3"/>
  <c r="AA51" i="3"/>
  <c r="Z51" i="3"/>
  <c r="Y51" i="3"/>
  <c r="V51" i="3"/>
  <c r="X51" i="3" s="1"/>
  <c r="AB50" i="3"/>
  <c r="AA50" i="3"/>
  <c r="Z50" i="3"/>
  <c r="V50" i="3"/>
  <c r="Y50" i="3" s="1"/>
  <c r="AB49" i="3"/>
  <c r="AA49" i="3"/>
  <c r="Z49" i="3"/>
  <c r="V49" i="3"/>
  <c r="Y49" i="3" s="1"/>
  <c r="AB48" i="3"/>
  <c r="AA48" i="3"/>
  <c r="Z48" i="3"/>
  <c r="Y48" i="3"/>
  <c r="V48" i="3"/>
  <c r="X48" i="3" s="1"/>
  <c r="AB47" i="3"/>
  <c r="AA47" i="3"/>
  <c r="Z47" i="3"/>
  <c r="Y47" i="3"/>
  <c r="W47" i="3"/>
  <c r="V47" i="3"/>
  <c r="X47" i="3" s="1"/>
  <c r="AB46" i="3"/>
  <c r="AA46" i="3"/>
  <c r="Z46" i="3"/>
  <c r="W46" i="3"/>
  <c r="V46" i="3"/>
  <c r="Y46" i="3" s="1"/>
  <c r="AB45" i="3"/>
  <c r="AA45" i="3"/>
  <c r="Z45" i="3"/>
  <c r="Y45" i="3"/>
  <c r="V45" i="3"/>
  <c r="X45" i="3" s="1"/>
  <c r="AB44" i="3"/>
  <c r="AA44" i="3"/>
  <c r="Z44" i="3"/>
  <c r="Y44" i="3"/>
  <c r="V44" i="3"/>
  <c r="X44" i="3" s="1"/>
  <c r="AB43" i="3"/>
  <c r="AA43" i="3"/>
  <c r="Z43" i="3"/>
  <c r="V43" i="3"/>
  <c r="Y43" i="3" s="1"/>
  <c r="AB42" i="3"/>
  <c r="AA42" i="3"/>
  <c r="Z42" i="3"/>
  <c r="V42" i="3"/>
  <c r="Y42" i="3" s="1"/>
  <c r="AB41" i="3"/>
  <c r="AA41" i="3"/>
  <c r="Z41" i="3"/>
  <c r="V41" i="3"/>
  <c r="Y41" i="3" s="1"/>
  <c r="AB40" i="3"/>
  <c r="AA40" i="3"/>
  <c r="Z40" i="3"/>
  <c r="Y40" i="3"/>
  <c r="V40" i="3"/>
  <c r="X40" i="3" s="1"/>
  <c r="AB39" i="3"/>
  <c r="AA39" i="3"/>
  <c r="Z39" i="3"/>
  <c r="Y39" i="3"/>
  <c r="X39" i="3"/>
  <c r="W39" i="3"/>
  <c r="V39" i="3"/>
  <c r="AB38" i="3"/>
  <c r="AA38" i="3"/>
  <c r="Z38" i="3"/>
  <c r="Y38" i="3"/>
  <c r="V38" i="3"/>
  <c r="X38" i="3" s="1"/>
  <c r="AB37" i="3"/>
  <c r="AA37" i="3"/>
  <c r="Z37" i="3"/>
  <c r="V37" i="3"/>
  <c r="Y37" i="3" s="1"/>
  <c r="AB36" i="3"/>
  <c r="AA36" i="3"/>
  <c r="Z36" i="3"/>
  <c r="Y36" i="3"/>
  <c r="W36" i="3"/>
  <c r="V36" i="3"/>
  <c r="X36" i="3" s="1"/>
  <c r="AB35" i="3"/>
  <c r="AA35" i="3"/>
  <c r="Z35" i="3"/>
  <c r="V35" i="3"/>
  <c r="Y35" i="3" s="1"/>
  <c r="AB34" i="3"/>
  <c r="AA34" i="3"/>
  <c r="Z34" i="3"/>
  <c r="V34" i="3"/>
  <c r="Y34" i="3" s="1"/>
  <c r="AB33" i="3"/>
  <c r="AA33" i="3"/>
  <c r="Z33" i="3"/>
  <c r="V33" i="3"/>
  <c r="Y33" i="3" s="1"/>
  <c r="AB32" i="3"/>
  <c r="AA32" i="3"/>
  <c r="Z32" i="3"/>
  <c r="Y32" i="3"/>
  <c r="V32" i="3"/>
  <c r="X32" i="3" s="1"/>
  <c r="AB31" i="3"/>
  <c r="AA31" i="3"/>
  <c r="Z31" i="3"/>
  <c r="V31" i="3"/>
  <c r="Y31" i="3" s="1"/>
  <c r="AB30" i="3"/>
  <c r="AA30" i="3"/>
  <c r="Z30" i="3"/>
  <c r="V30" i="3"/>
  <c r="Y30" i="3" s="1"/>
  <c r="AB29" i="3"/>
  <c r="AA29" i="3"/>
  <c r="Z29" i="3"/>
  <c r="V29" i="3"/>
  <c r="Y29" i="3" s="1"/>
  <c r="AB28" i="3"/>
  <c r="AA28" i="3"/>
  <c r="Z28" i="3"/>
  <c r="V28" i="3"/>
  <c r="Y28" i="3" s="1"/>
  <c r="AB27" i="3"/>
  <c r="AA27" i="3"/>
  <c r="Z27" i="3"/>
  <c r="V27" i="3"/>
  <c r="Y27" i="3" s="1"/>
  <c r="AB26" i="3"/>
  <c r="AA26" i="3"/>
  <c r="Z26" i="3"/>
  <c r="V26" i="3"/>
  <c r="Y26" i="3" s="1"/>
  <c r="AB25" i="3"/>
  <c r="AA25" i="3"/>
  <c r="Z25" i="3"/>
  <c r="V25" i="3"/>
  <c r="Y25" i="3" s="1"/>
  <c r="AB24" i="3"/>
  <c r="AA24" i="3"/>
  <c r="Z24" i="3"/>
  <c r="Y24" i="3"/>
  <c r="V24" i="3"/>
  <c r="X24" i="3" s="1"/>
  <c r="AB23" i="3"/>
  <c r="AA23" i="3"/>
  <c r="Z23" i="3"/>
  <c r="V23" i="3"/>
  <c r="Y23" i="3" s="1"/>
  <c r="AB127" i="15"/>
  <c r="AA127" i="15"/>
  <c r="Z127" i="15"/>
  <c r="V127" i="15"/>
  <c r="Y127" i="15" s="1"/>
  <c r="AB86" i="15"/>
  <c r="AA86" i="15"/>
  <c r="Z86" i="15"/>
  <c r="V86" i="15"/>
  <c r="Y86" i="15" s="1"/>
  <c r="AB33" i="15"/>
  <c r="AA33" i="15"/>
  <c r="Z33" i="15"/>
  <c r="V33" i="15"/>
  <c r="Y33" i="15" s="1"/>
  <c r="X13" i="19" l="1"/>
  <c r="W23" i="19"/>
  <c r="W40" i="19"/>
  <c r="X68" i="19"/>
  <c r="X10" i="19"/>
  <c r="Y13" i="19"/>
  <c r="X40" i="19"/>
  <c r="X54" i="19"/>
  <c r="W79" i="19"/>
  <c r="X82" i="19"/>
  <c r="X129" i="19"/>
  <c r="X62" i="19"/>
  <c r="X11" i="19"/>
  <c r="X21" i="19"/>
  <c r="X80" i="19"/>
  <c r="W127" i="19"/>
  <c r="W52" i="19"/>
  <c r="W77" i="19"/>
  <c r="Y80" i="19"/>
  <c r="Y127" i="19"/>
  <c r="Y77" i="19"/>
  <c r="X124" i="19"/>
  <c r="W42" i="19"/>
  <c r="W12" i="19"/>
  <c r="W39" i="19"/>
  <c r="X42" i="19"/>
  <c r="W121" i="19"/>
  <c r="X53" i="19"/>
  <c r="Y81" i="19"/>
  <c r="W88" i="19"/>
  <c r="X128" i="19"/>
  <c r="X61" i="19"/>
  <c r="X12" i="19"/>
  <c r="Y15" i="19"/>
  <c r="Y18" i="19"/>
  <c r="W24" i="19"/>
  <c r="X31" i="19"/>
  <c r="X43" i="19"/>
  <c r="W83" i="19"/>
  <c r="W109" i="19"/>
  <c r="W115" i="19"/>
  <c r="W10" i="19"/>
  <c r="Y24" i="19"/>
  <c r="Y43" i="19"/>
  <c r="W53" i="19"/>
  <c r="X83" i="19"/>
  <c r="Y109" i="19"/>
  <c r="W112" i="19"/>
  <c r="X115" i="19"/>
  <c r="W124" i="19"/>
  <c r="W56" i="19"/>
  <c r="W78" i="19"/>
  <c r="W86" i="19"/>
  <c r="X121" i="19"/>
  <c r="W22" i="19"/>
  <c r="W41" i="19"/>
  <c r="Y63" i="19"/>
  <c r="W72" i="19"/>
  <c r="X78" i="19"/>
  <c r="W81" i="19"/>
  <c r="X86" i="19"/>
  <c r="W95" i="19"/>
  <c r="W100" i="19"/>
  <c r="W118" i="19"/>
  <c r="X4" i="19"/>
  <c r="X22" i="19"/>
  <c r="X66" i="19"/>
  <c r="Y72" i="19"/>
  <c r="W89" i="19"/>
  <c r="X118" i="19"/>
  <c r="W76" i="19"/>
  <c r="W84" i="19"/>
  <c r="W98" i="19"/>
  <c r="W116" i="19"/>
  <c r="W125" i="19"/>
  <c r="W11" i="19"/>
  <c r="X48" i="19"/>
  <c r="W54" i="19"/>
  <c r="W61" i="19"/>
  <c r="W70" i="19"/>
  <c r="X76" i="19"/>
  <c r="W128" i="19"/>
  <c r="X135" i="19"/>
  <c r="X45" i="19"/>
  <c r="Y67" i="19"/>
  <c r="W73" i="19"/>
  <c r="Y45" i="19"/>
  <c r="X6" i="19"/>
  <c r="X52" i="19"/>
  <c r="Y90" i="19"/>
  <c r="X111" i="19"/>
  <c r="Y6" i="19"/>
  <c r="W136" i="19"/>
  <c r="Y136" i="19"/>
  <c r="W74" i="17"/>
  <c r="Y74" i="17"/>
  <c r="W12" i="17"/>
  <c r="X33" i="17"/>
  <c r="Y12" i="17"/>
  <c r="Y37" i="17"/>
  <c r="AG8" i="17"/>
  <c r="AI8" i="17" s="1"/>
  <c r="AJ8" i="17" s="1"/>
  <c r="AG10" i="17"/>
  <c r="AI10" i="17" s="1"/>
  <c r="AJ10" i="17" s="1"/>
  <c r="AG11" i="17"/>
  <c r="AI11" i="17" s="1"/>
  <c r="AJ11" i="17" s="1"/>
  <c r="Y51" i="17"/>
  <c r="Y42" i="17"/>
  <c r="AG9" i="17"/>
  <c r="AI9" i="17" s="1"/>
  <c r="AJ9" i="17" s="1"/>
  <c r="W42" i="17"/>
  <c r="W33" i="17"/>
  <c r="AG7" i="17"/>
  <c r="AI7" i="17" s="1"/>
  <c r="AJ7" i="17" s="1"/>
  <c r="W7" i="17"/>
  <c r="X7" i="17"/>
  <c r="Y4" i="17"/>
  <c r="X4" i="17"/>
  <c r="X43" i="17"/>
  <c r="X14" i="17"/>
  <c r="Y11" i="17"/>
  <c r="Y34" i="17"/>
  <c r="X32" i="17"/>
  <c r="AG6" i="17"/>
  <c r="AI6" i="17" s="1"/>
  <c r="AJ6" i="17" s="1"/>
  <c r="Y6" i="17"/>
  <c r="Y15" i="17"/>
  <c r="Y32" i="17"/>
  <c r="Y14" i="17"/>
  <c r="X34" i="17"/>
  <c r="W6" i="17"/>
  <c r="X11" i="17"/>
  <c r="X41" i="17"/>
  <c r="X141" i="13"/>
  <c r="W172" i="19"/>
  <c r="X172" i="19"/>
  <c r="W171" i="19"/>
  <c r="X171" i="19"/>
  <c r="W169" i="19"/>
  <c r="W167" i="19"/>
  <c r="X167" i="19"/>
  <c r="W166" i="19"/>
  <c r="X166" i="19"/>
  <c r="X7" i="13"/>
  <c r="Y10" i="13"/>
  <c r="X123" i="13"/>
  <c r="W158" i="19"/>
  <c r="X158" i="19"/>
  <c r="W156" i="19"/>
  <c r="X156" i="19"/>
  <c r="W155" i="19"/>
  <c r="X155" i="19"/>
  <c r="W154" i="19"/>
  <c r="X154" i="19"/>
  <c r="W153" i="19"/>
  <c r="X153" i="19"/>
  <c r="W152" i="19"/>
  <c r="X152" i="19"/>
  <c r="W151" i="19"/>
  <c r="X151" i="19"/>
  <c r="W149" i="19"/>
  <c r="X149" i="19"/>
  <c r="X119" i="13"/>
  <c r="Y56" i="13"/>
  <c r="X84" i="13"/>
  <c r="X139" i="13"/>
  <c r="W17" i="13"/>
  <c r="Y139" i="13"/>
  <c r="W53" i="13"/>
  <c r="X74" i="13"/>
  <c r="Y6" i="13"/>
  <c r="Y82" i="13"/>
  <c r="W78" i="13"/>
  <c r="W141" i="13"/>
  <c r="W138" i="19"/>
  <c r="X138" i="19"/>
  <c r="W137" i="19"/>
  <c r="X137" i="19"/>
  <c r="W135" i="19"/>
  <c r="W134" i="19"/>
  <c r="X134" i="19"/>
  <c r="W133" i="19"/>
  <c r="X133" i="19"/>
  <c r="W132" i="19"/>
  <c r="X132" i="19"/>
  <c r="W131" i="19"/>
  <c r="X131" i="19"/>
  <c r="W130" i="19"/>
  <c r="X130" i="19"/>
  <c r="W126" i="19"/>
  <c r="X126" i="19"/>
  <c r="W123" i="19"/>
  <c r="X123" i="19"/>
  <c r="W122" i="19"/>
  <c r="X122" i="19"/>
  <c r="W120" i="19"/>
  <c r="X120" i="19"/>
  <c r="W119" i="19"/>
  <c r="X119" i="19"/>
  <c r="W114" i="19"/>
  <c r="X114" i="19"/>
  <c r="W113" i="19"/>
  <c r="X113" i="19"/>
  <c r="W111" i="19"/>
  <c r="W108" i="19"/>
  <c r="W107" i="19"/>
  <c r="X107" i="19"/>
  <c r="W106" i="19"/>
  <c r="X106" i="19"/>
  <c r="W104" i="19"/>
  <c r="X104" i="19"/>
  <c r="W103" i="19"/>
  <c r="X103" i="19"/>
  <c r="W102" i="19"/>
  <c r="X102" i="19"/>
  <c r="X97" i="19"/>
  <c r="X94" i="19"/>
  <c r="W92" i="19"/>
  <c r="X92" i="19"/>
  <c r="W91" i="19"/>
  <c r="X91" i="19"/>
  <c r="W87" i="19"/>
  <c r="X87" i="19"/>
  <c r="W85" i="19"/>
  <c r="W82" i="19"/>
  <c r="X79" i="19"/>
  <c r="W75" i="19"/>
  <c r="X75" i="19"/>
  <c r="W74" i="19"/>
  <c r="X74" i="19"/>
  <c r="X73" i="19"/>
  <c r="X71" i="19"/>
  <c r="W69" i="19"/>
  <c r="X69" i="19"/>
  <c r="W68" i="19"/>
  <c r="W67" i="19"/>
  <c r="W66" i="19"/>
  <c r="W63" i="19"/>
  <c r="W62" i="19"/>
  <c r="W60" i="19"/>
  <c r="X60" i="19"/>
  <c r="W59" i="19"/>
  <c r="X59" i="19"/>
  <c r="W58" i="19"/>
  <c r="X58" i="19"/>
  <c r="W57" i="19"/>
  <c r="X57" i="19"/>
  <c r="X56" i="19"/>
  <c r="W55" i="19"/>
  <c r="X55" i="19"/>
  <c r="W51" i="19"/>
  <c r="X51" i="19"/>
  <c r="W50" i="19"/>
  <c r="X50" i="19"/>
  <c r="W48" i="19"/>
  <c r="W47" i="19"/>
  <c r="X47" i="19"/>
  <c r="W46" i="19"/>
  <c r="X46" i="19"/>
  <c r="W44" i="19"/>
  <c r="X44" i="19"/>
  <c r="X41" i="19"/>
  <c r="X39" i="19"/>
  <c r="W38" i="19"/>
  <c r="X38" i="19"/>
  <c r="X4" i="13"/>
  <c r="W71" i="13"/>
  <c r="X79" i="13"/>
  <c r="Y84" i="13"/>
  <c r="W112" i="13"/>
  <c r="W114" i="13"/>
  <c r="X26" i="13"/>
  <c r="X27" i="13"/>
  <c r="X42" i="13"/>
  <c r="Y79" i="13"/>
  <c r="X114" i="13"/>
  <c r="X17" i="13"/>
  <c r="W46" i="13"/>
  <c r="X53" i="13"/>
  <c r="W60" i="13"/>
  <c r="X63" i="13"/>
  <c r="X90" i="13"/>
  <c r="X153" i="13"/>
  <c r="Y27" i="13"/>
  <c r="Y60" i="13"/>
  <c r="Y63" i="13"/>
  <c r="Y90" i="13"/>
  <c r="Y101" i="13"/>
  <c r="Y123" i="13"/>
  <c r="Y132" i="13"/>
  <c r="X146" i="13"/>
  <c r="X6" i="13"/>
  <c r="W66" i="13"/>
  <c r="Y94" i="13"/>
  <c r="Y113" i="13"/>
  <c r="X150" i="13"/>
  <c r="Y26" i="13"/>
  <c r="Y28" i="13"/>
  <c r="Y37" i="13"/>
  <c r="Y98" i="13"/>
  <c r="X110" i="13"/>
  <c r="W140" i="13"/>
  <c r="W35" i="13"/>
  <c r="X51" i="13"/>
  <c r="Y54" i="13"/>
  <c r="W62" i="13"/>
  <c r="X73" i="13"/>
  <c r="X107" i="13"/>
  <c r="W124" i="13"/>
  <c r="X140" i="13"/>
  <c r="Y7" i="13"/>
  <c r="X10" i="13"/>
  <c r="W44" i="13"/>
  <c r="Y62" i="13"/>
  <c r="Y73" i="13"/>
  <c r="Y95" i="13"/>
  <c r="Y107" i="13"/>
  <c r="Y151" i="13"/>
  <c r="W155" i="13"/>
  <c r="W48" i="13"/>
  <c r="Y76" i="13"/>
  <c r="X138" i="13"/>
  <c r="W31" i="19"/>
  <c r="W30" i="19"/>
  <c r="X30" i="19"/>
  <c r="W29" i="19"/>
  <c r="X29" i="19"/>
  <c r="W27" i="19"/>
  <c r="X27" i="19"/>
  <c r="W26" i="19"/>
  <c r="X26" i="19"/>
  <c r="W25" i="19"/>
  <c r="X25" i="19"/>
  <c r="X23" i="19"/>
  <c r="W20" i="19"/>
  <c r="X20" i="19"/>
  <c r="W19" i="19"/>
  <c r="X19" i="19"/>
  <c r="W18" i="19"/>
  <c r="W16" i="19"/>
  <c r="X16" i="19"/>
  <c r="W15" i="19"/>
  <c r="W14" i="19"/>
  <c r="X14" i="19"/>
  <c r="W9" i="19"/>
  <c r="X9" i="19"/>
  <c r="W7" i="19"/>
  <c r="X7" i="19"/>
  <c r="W5" i="19"/>
  <c r="X5" i="19"/>
  <c r="Y4" i="19"/>
  <c r="Y4" i="13"/>
  <c r="Y68" i="13"/>
  <c r="Y118" i="13"/>
  <c r="X28" i="13"/>
  <c r="W42" i="13"/>
  <c r="W51" i="13"/>
  <c r="W74" i="13"/>
  <c r="X76" i="13"/>
  <c r="W83" i="13"/>
  <c r="X98" i="13"/>
  <c r="X101" i="13"/>
  <c r="X13" i="13"/>
  <c r="W45" i="13"/>
  <c r="X48" i="13"/>
  <c r="X129" i="13"/>
  <c r="W131" i="13"/>
  <c r="X143" i="13"/>
  <c r="Y146" i="13"/>
  <c r="Y143" i="13"/>
  <c r="Y11" i="13"/>
  <c r="Y58" i="13"/>
  <c r="X92" i="13"/>
  <c r="X109" i="13"/>
  <c r="X112" i="13"/>
  <c r="Y119" i="13"/>
  <c r="W121" i="13"/>
  <c r="Y131" i="13"/>
  <c r="Y138" i="13"/>
  <c r="Y150" i="13"/>
  <c r="Y153" i="13"/>
  <c r="Y129" i="13"/>
  <c r="Y109" i="13"/>
  <c r="X121" i="13"/>
  <c r="W38" i="13"/>
  <c r="X40" i="13"/>
  <c r="W55" i="13"/>
  <c r="X67" i="13"/>
  <c r="X77" i="13"/>
  <c r="W99" i="13"/>
  <c r="W102" i="13"/>
  <c r="X127" i="13"/>
  <c r="X38" i="13"/>
  <c r="Y40" i="13"/>
  <c r="Y67" i="13"/>
  <c r="Y99" i="13"/>
  <c r="Y102" i="13"/>
  <c r="Y127" i="13"/>
  <c r="Y13" i="13"/>
  <c r="W9" i="13"/>
  <c r="Y144" i="13"/>
  <c r="X9" i="13"/>
  <c r="W93" i="13"/>
  <c r="X132" i="13"/>
  <c r="X151" i="13"/>
  <c r="Y154" i="13"/>
  <c r="Y15" i="13"/>
  <c r="X44" i="13"/>
  <c r="W47" i="13"/>
  <c r="X65" i="13"/>
  <c r="W68" i="13"/>
  <c r="W104" i="13"/>
  <c r="W118" i="13"/>
  <c r="X128" i="13"/>
  <c r="Y104" i="13"/>
  <c r="Y128" i="13"/>
  <c r="W78" i="17"/>
  <c r="X78" i="17"/>
  <c r="W77" i="17"/>
  <c r="X77" i="17"/>
  <c r="W76" i="17"/>
  <c r="X76" i="17"/>
  <c r="W75" i="17"/>
  <c r="X75" i="17"/>
  <c r="W73" i="17"/>
  <c r="X73" i="17"/>
  <c r="W72" i="17"/>
  <c r="X72" i="17"/>
  <c r="W71" i="17"/>
  <c r="X71" i="17"/>
  <c r="W70" i="17"/>
  <c r="W63" i="17"/>
  <c r="X63" i="17"/>
  <c r="W62" i="17"/>
  <c r="X62" i="17"/>
  <c r="W61" i="17"/>
  <c r="X61" i="17"/>
  <c r="W60" i="17"/>
  <c r="X60" i="17"/>
  <c r="W59" i="17"/>
  <c r="X59" i="17"/>
  <c r="W58" i="17"/>
  <c r="X58" i="17"/>
  <c r="W57" i="17"/>
  <c r="X57" i="17"/>
  <c r="W56" i="17"/>
  <c r="X56" i="17"/>
  <c r="W55" i="17"/>
  <c r="W54" i="17"/>
  <c r="X54" i="17"/>
  <c r="W53" i="17"/>
  <c r="W52" i="17"/>
  <c r="X52" i="17"/>
  <c r="W51" i="17"/>
  <c r="W50" i="17"/>
  <c r="X50" i="17"/>
  <c r="W43" i="17"/>
  <c r="W41" i="17"/>
  <c r="W40" i="17"/>
  <c r="X40" i="17"/>
  <c r="W38" i="17"/>
  <c r="X38" i="17"/>
  <c r="W37" i="17"/>
  <c r="W36" i="17"/>
  <c r="X36" i="17"/>
  <c r="W35" i="17"/>
  <c r="X35" i="17"/>
  <c r="W31" i="17"/>
  <c r="W30" i="17"/>
  <c r="X30" i="17"/>
  <c r="W29" i="17"/>
  <c r="X29" i="17"/>
  <c r="W22" i="17"/>
  <c r="X22" i="17"/>
  <c r="W21" i="17"/>
  <c r="X21" i="17"/>
  <c r="W20" i="17"/>
  <c r="X20" i="17"/>
  <c r="W19" i="17"/>
  <c r="X19" i="17"/>
  <c r="W18" i="17"/>
  <c r="X18" i="17"/>
  <c r="W17" i="17"/>
  <c r="X17" i="17"/>
  <c r="W16" i="17"/>
  <c r="X16" i="17"/>
  <c r="W15" i="17"/>
  <c r="W13" i="17"/>
  <c r="W10" i="17"/>
  <c r="X10" i="17"/>
  <c r="W9" i="17"/>
  <c r="X9" i="17"/>
  <c r="W8" i="17"/>
  <c r="X8" i="17"/>
  <c r="W5" i="17"/>
  <c r="X5" i="17"/>
  <c r="X155" i="13"/>
  <c r="W154" i="13"/>
  <c r="W152" i="13"/>
  <c r="X152" i="13"/>
  <c r="W149" i="13"/>
  <c r="X149" i="13"/>
  <c r="W148" i="13"/>
  <c r="X148" i="13"/>
  <c r="W147" i="13"/>
  <c r="X147" i="13"/>
  <c r="W145" i="13"/>
  <c r="X145" i="13"/>
  <c r="W144" i="13"/>
  <c r="W142" i="13"/>
  <c r="X142" i="13"/>
  <c r="W137" i="13"/>
  <c r="X137" i="13"/>
  <c r="W136" i="13"/>
  <c r="X136" i="13"/>
  <c r="W135" i="13"/>
  <c r="X135" i="13"/>
  <c r="W134" i="13"/>
  <c r="X134" i="13"/>
  <c r="W133" i="13"/>
  <c r="X133" i="13"/>
  <c r="W130" i="13"/>
  <c r="X130" i="13"/>
  <c r="W20" i="10"/>
  <c r="X20" i="10"/>
  <c r="W126" i="13"/>
  <c r="X126" i="13"/>
  <c r="W125" i="13"/>
  <c r="X125" i="13"/>
  <c r="X124" i="13"/>
  <c r="W122" i="13"/>
  <c r="X122" i="13"/>
  <c r="W120" i="13"/>
  <c r="X120" i="13"/>
  <c r="W117" i="13"/>
  <c r="X117" i="13"/>
  <c r="W18" i="10"/>
  <c r="X18" i="10"/>
  <c r="W116" i="13"/>
  <c r="X116" i="13"/>
  <c r="W115" i="13"/>
  <c r="X115" i="13"/>
  <c r="W113" i="13"/>
  <c r="W111" i="13"/>
  <c r="X111" i="13"/>
  <c r="W110" i="13"/>
  <c r="W108" i="13"/>
  <c r="X108" i="13"/>
  <c r="W106" i="13"/>
  <c r="X106" i="13"/>
  <c r="W105" i="13"/>
  <c r="X105" i="13"/>
  <c r="W103" i="13"/>
  <c r="X103" i="13"/>
  <c r="W100" i="13"/>
  <c r="X100" i="13"/>
  <c r="W97" i="13"/>
  <c r="X97" i="13"/>
  <c r="W96" i="13"/>
  <c r="X96" i="13"/>
  <c r="W95" i="13"/>
  <c r="W94" i="13"/>
  <c r="X93" i="13"/>
  <c r="W92" i="13"/>
  <c r="W91" i="13"/>
  <c r="X91" i="13"/>
  <c r="W89" i="13"/>
  <c r="X89" i="13"/>
  <c r="W88" i="13"/>
  <c r="X88" i="13"/>
  <c r="W87" i="13"/>
  <c r="X87" i="13"/>
  <c r="W86" i="13"/>
  <c r="X86" i="13"/>
  <c r="W85" i="13"/>
  <c r="X85" i="13"/>
  <c r="W16" i="8"/>
  <c r="W14" i="10"/>
  <c r="X83" i="13"/>
  <c r="W82" i="13"/>
  <c r="W81" i="13"/>
  <c r="X81" i="13"/>
  <c r="W15" i="8"/>
  <c r="X15" i="8"/>
  <c r="W80" i="13"/>
  <c r="X80" i="13"/>
  <c r="W14" i="8"/>
  <c r="X14" i="8"/>
  <c r="X13" i="8"/>
  <c r="X78" i="13"/>
  <c r="W77" i="13"/>
  <c r="W75" i="13"/>
  <c r="X75" i="13"/>
  <c r="X13" i="10"/>
  <c r="W72" i="13"/>
  <c r="X72" i="13"/>
  <c r="X71" i="13"/>
  <c r="W70" i="13"/>
  <c r="X70" i="13"/>
  <c r="W69" i="13"/>
  <c r="X69" i="13"/>
  <c r="X66" i="13"/>
  <c r="W65" i="13"/>
  <c r="W64" i="13"/>
  <c r="X64" i="13"/>
  <c r="W12" i="10"/>
  <c r="X12" i="10"/>
  <c r="W11" i="10"/>
  <c r="X11" i="10"/>
  <c r="W61" i="13"/>
  <c r="X61" i="13"/>
  <c r="W11" i="8"/>
  <c r="X11" i="8"/>
  <c r="W10" i="10"/>
  <c r="X10" i="10"/>
  <c r="W9" i="10"/>
  <c r="X9" i="10"/>
  <c r="W59" i="13"/>
  <c r="X59" i="13"/>
  <c r="W58" i="13"/>
  <c r="W57" i="13"/>
  <c r="X57" i="13"/>
  <c r="W56" i="13"/>
  <c r="X55" i="13"/>
  <c r="W54" i="13"/>
  <c r="W52" i="13"/>
  <c r="X52" i="13"/>
  <c r="W50" i="13"/>
  <c r="X50" i="13"/>
  <c r="W49" i="13"/>
  <c r="X49" i="13"/>
  <c r="X47" i="13"/>
  <c r="X46" i="13"/>
  <c r="X45" i="13"/>
  <c r="W43" i="13"/>
  <c r="X43" i="13"/>
  <c r="W41" i="13"/>
  <c r="X41" i="13"/>
  <c r="W10" i="8"/>
  <c r="W39" i="13"/>
  <c r="X39" i="13"/>
  <c r="W37" i="13"/>
  <c r="W36" i="13"/>
  <c r="X36" i="13"/>
  <c r="W8" i="10"/>
  <c r="Y35" i="13"/>
  <c r="W34" i="13"/>
  <c r="X34" i="13"/>
  <c r="W33" i="13"/>
  <c r="X33" i="13"/>
  <c r="W7" i="10"/>
  <c r="W32" i="13"/>
  <c r="X32" i="13"/>
  <c r="W31" i="13"/>
  <c r="X31" i="13"/>
  <c r="W30" i="13"/>
  <c r="X30" i="13"/>
  <c r="W29" i="13"/>
  <c r="X29" i="13"/>
  <c r="W6" i="10"/>
  <c r="X6" i="10"/>
  <c r="W25" i="13"/>
  <c r="X25" i="13"/>
  <c r="W24" i="13"/>
  <c r="X24" i="13"/>
  <c r="W23" i="13"/>
  <c r="X23" i="13"/>
  <c r="W22" i="13"/>
  <c r="X22" i="13"/>
  <c r="W21" i="13"/>
  <c r="X21" i="13"/>
  <c r="W20" i="13"/>
  <c r="X20" i="13"/>
  <c r="W19" i="13"/>
  <c r="X19" i="13"/>
  <c r="W18" i="13"/>
  <c r="X18" i="13"/>
  <c r="W8" i="8"/>
  <c r="X8" i="8"/>
  <c r="W7" i="8"/>
  <c r="X7" i="8"/>
  <c r="W6" i="8"/>
  <c r="W16" i="13"/>
  <c r="X16" i="13"/>
  <c r="W15" i="13"/>
  <c r="W14" i="13"/>
  <c r="X14" i="13"/>
  <c r="W5" i="10"/>
  <c r="W12" i="13"/>
  <c r="X12" i="13"/>
  <c r="W11" i="13"/>
  <c r="W8" i="13"/>
  <c r="X8" i="13"/>
  <c r="W5" i="8"/>
  <c r="X5" i="8"/>
  <c r="W5" i="13"/>
  <c r="X5" i="13"/>
  <c r="W73" i="3"/>
  <c r="X73" i="3"/>
  <c r="W72" i="3"/>
  <c r="X72" i="3"/>
  <c r="W70" i="3"/>
  <c r="X70" i="3"/>
  <c r="W69" i="3"/>
  <c r="X69" i="3"/>
  <c r="W68" i="3"/>
  <c r="X68" i="3"/>
  <c r="W67" i="3"/>
  <c r="X67" i="3"/>
  <c r="X66" i="3"/>
  <c r="W62" i="3"/>
  <c r="X62" i="3"/>
  <c r="W60" i="3"/>
  <c r="W59" i="3"/>
  <c r="X59" i="3"/>
  <c r="W52" i="3"/>
  <c r="X52" i="3"/>
  <c r="W51" i="3"/>
  <c r="W50" i="3"/>
  <c r="X50" i="3"/>
  <c r="W49" i="3"/>
  <c r="X49" i="3"/>
  <c r="W48" i="3"/>
  <c r="X46" i="3"/>
  <c r="W45" i="3"/>
  <c r="W44" i="3"/>
  <c r="W43" i="3"/>
  <c r="X43" i="3"/>
  <c r="W42" i="3"/>
  <c r="X42" i="3"/>
  <c r="W41" i="3"/>
  <c r="X41" i="3"/>
  <c r="W40" i="3"/>
  <c r="W38" i="3"/>
  <c r="W37" i="3"/>
  <c r="X37" i="3"/>
  <c r="W35" i="3"/>
  <c r="X35" i="3"/>
  <c r="W34" i="3"/>
  <c r="X34" i="3"/>
  <c r="W33" i="3"/>
  <c r="X33" i="3"/>
  <c r="W32" i="3"/>
  <c r="W31" i="3"/>
  <c r="X31" i="3"/>
  <c r="W30" i="3"/>
  <c r="X30" i="3"/>
  <c r="W29" i="3"/>
  <c r="X29" i="3"/>
  <c r="W28" i="3"/>
  <c r="X28" i="3"/>
  <c r="W27" i="3"/>
  <c r="X27" i="3"/>
  <c r="W26" i="3"/>
  <c r="X26" i="3"/>
  <c r="W25" i="3"/>
  <c r="X25" i="3"/>
  <c r="W24" i="3"/>
  <c r="W23" i="3"/>
  <c r="X23" i="3"/>
  <c r="W86" i="15"/>
  <c r="X86" i="15"/>
  <c r="W127" i="15"/>
  <c r="X127" i="15"/>
  <c r="W33" i="15"/>
  <c r="X33" i="15"/>
  <c r="AB125" i="15"/>
  <c r="AA125" i="15"/>
  <c r="Z125" i="15"/>
  <c r="AB124" i="15"/>
  <c r="AA124" i="15"/>
  <c r="Z124" i="15"/>
  <c r="AB123" i="15"/>
  <c r="AA123" i="15"/>
  <c r="Z123" i="15"/>
  <c r="AB84" i="15"/>
  <c r="AA84" i="15"/>
  <c r="Z84" i="15"/>
  <c r="AB83" i="15"/>
  <c r="AA83" i="15"/>
  <c r="Z83" i="15"/>
  <c r="AB82" i="15"/>
  <c r="AA82" i="15"/>
  <c r="Z82" i="15"/>
  <c r="AB31" i="15"/>
  <c r="AA31" i="15"/>
  <c r="Z31" i="15"/>
  <c r="AB30" i="15"/>
  <c r="AA30" i="15"/>
  <c r="Z30" i="15"/>
  <c r="AB29" i="15"/>
  <c r="AA29" i="15"/>
  <c r="Z29" i="15"/>
  <c r="V150" i="1"/>
  <c r="X150" i="1" s="1"/>
  <c r="Z150" i="1"/>
  <c r="AA150" i="1"/>
  <c r="AB150" i="1"/>
  <c r="V151" i="1"/>
  <c r="X151" i="1" s="1"/>
  <c r="Z151" i="1"/>
  <c r="AA151" i="1"/>
  <c r="AB151" i="1"/>
  <c r="V152" i="1"/>
  <c r="X152" i="1" s="1"/>
  <c r="Z152" i="1"/>
  <c r="AA152" i="1"/>
  <c r="AB152" i="1"/>
  <c r="V153" i="1"/>
  <c r="Y153" i="1" s="1"/>
  <c r="Z153" i="1"/>
  <c r="AA153" i="1"/>
  <c r="AB153" i="1"/>
  <c r="V154" i="1"/>
  <c r="W154" i="1" s="1"/>
  <c r="Z154" i="1"/>
  <c r="AA154" i="1"/>
  <c r="AB154" i="1"/>
  <c r="V155" i="1"/>
  <c r="W155" i="1" s="1"/>
  <c r="Z155" i="1"/>
  <c r="AA155" i="1"/>
  <c r="AB155" i="1"/>
  <c r="V156" i="1"/>
  <c r="W156" i="1" s="1"/>
  <c r="Z156" i="1"/>
  <c r="AA156" i="1"/>
  <c r="AB156" i="1"/>
  <c r="V157" i="1"/>
  <c r="W157" i="1" s="1"/>
  <c r="Z157" i="1"/>
  <c r="AA157" i="1"/>
  <c r="AB157" i="1"/>
  <c r="V158" i="1"/>
  <c r="W158" i="1" s="1"/>
  <c r="Z158" i="1"/>
  <c r="AA158" i="1"/>
  <c r="AB158" i="1"/>
  <c r="V159" i="1"/>
  <c r="W159" i="1" s="1"/>
  <c r="Z159" i="1"/>
  <c r="AA159" i="1"/>
  <c r="AB159" i="1"/>
  <c r="V160" i="1"/>
  <c r="W160" i="1" s="1"/>
  <c r="Z160" i="1"/>
  <c r="AA160" i="1"/>
  <c r="AB160" i="1"/>
  <c r="V161" i="1"/>
  <c r="Y161" i="1" s="1"/>
  <c r="Z161" i="1"/>
  <c r="AA161" i="1"/>
  <c r="AB161" i="1"/>
  <c r="V162" i="1"/>
  <c r="W162" i="1" s="1"/>
  <c r="Z162" i="1"/>
  <c r="AA162" i="1"/>
  <c r="AB162" i="1"/>
  <c r="V163" i="1"/>
  <c r="Y163" i="1" s="1"/>
  <c r="Z163" i="1"/>
  <c r="AA163" i="1"/>
  <c r="AB163" i="1"/>
  <c r="V164" i="1"/>
  <c r="Y164" i="1" s="1"/>
  <c r="Z164" i="1"/>
  <c r="AA164" i="1"/>
  <c r="AB164" i="1"/>
  <c r="V165" i="1"/>
  <c r="W165" i="1" s="1"/>
  <c r="Z165" i="1"/>
  <c r="AA165" i="1"/>
  <c r="AB165" i="1"/>
  <c r="V166" i="1"/>
  <c r="Y166" i="1" s="1"/>
  <c r="Z166" i="1"/>
  <c r="AA166" i="1"/>
  <c r="AB166" i="1"/>
  <c r="V167" i="1"/>
  <c r="X167" i="1" s="1"/>
  <c r="Z167" i="1"/>
  <c r="AA167" i="1"/>
  <c r="AB167" i="1"/>
  <c r="V168" i="1"/>
  <c r="X168" i="1" s="1"/>
  <c r="Z168" i="1"/>
  <c r="AA168" i="1"/>
  <c r="AB168" i="1"/>
  <c r="V169" i="1"/>
  <c r="W169" i="1" s="1"/>
  <c r="Z169" i="1"/>
  <c r="AA169" i="1"/>
  <c r="AB169" i="1"/>
  <c r="V170" i="1"/>
  <c r="W170" i="1" s="1"/>
  <c r="Z170" i="1"/>
  <c r="AA170" i="1"/>
  <c r="AB170" i="1"/>
  <c r="V171" i="1"/>
  <c r="W171" i="1" s="1"/>
  <c r="Z171" i="1"/>
  <c r="AA171" i="1"/>
  <c r="AB171" i="1"/>
  <c r="V172" i="1"/>
  <c r="W172" i="1" s="1"/>
  <c r="Z172" i="1"/>
  <c r="AA172" i="1"/>
  <c r="AB172" i="1"/>
  <c r="V173" i="1"/>
  <c r="W173" i="1" s="1"/>
  <c r="Z173" i="1"/>
  <c r="AA173" i="1"/>
  <c r="AB173" i="1"/>
  <c r="V174" i="1"/>
  <c r="W174" i="1" s="1"/>
  <c r="Z174" i="1"/>
  <c r="AA174" i="1"/>
  <c r="AB174" i="1"/>
  <c r="V175" i="1"/>
  <c r="W175" i="1" s="1"/>
  <c r="Z175" i="1"/>
  <c r="AA175" i="1"/>
  <c r="AB175" i="1"/>
  <c r="V176" i="1"/>
  <c r="W176" i="1" s="1"/>
  <c r="Z176" i="1"/>
  <c r="AA176" i="1"/>
  <c r="AB176" i="1"/>
  <c r="V177" i="1"/>
  <c r="Y177" i="1" s="1"/>
  <c r="Z177" i="1"/>
  <c r="AA177" i="1"/>
  <c r="AB177" i="1"/>
  <c r="V178" i="1"/>
  <c r="W178" i="1" s="1"/>
  <c r="Z178" i="1"/>
  <c r="AA178" i="1"/>
  <c r="AB178" i="1"/>
  <c r="V179" i="1"/>
  <c r="X179" i="1" s="1"/>
  <c r="Z179" i="1"/>
  <c r="AA179" i="1"/>
  <c r="AB179" i="1"/>
  <c r="V180" i="1"/>
  <c r="W180" i="1" s="1"/>
  <c r="Z180" i="1"/>
  <c r="AA180" i="1"/>
  <c r="AB180" i="1"/>
  <c r="V181" i="1"/>
  <c r="W181" i="1" s="1"/>
  <c r="Z181" i="1"/>
  <c r="AA181" i="1"/>
  <c r="AB181" i="1"/>
  <c r="V182" i="1"/>
  <c r="X182" i="1" s="1"/>
  <c r="Z182" i="1"/>
  <c r="AA182" i="1"/>
  <c r="AB182" i="1"/>
  <c r="V183" i="1"/>
  <c r="X183" i="1" s="1"/>
  <c r="Z183" i="1"/>
  <c r="AA183" i="1"/>
  <c r="AB183" i="1"/>
  <c r="V184" i="1"/>
  <c r="X184" i="1" s="1"/>
  <c r="Z184" i="1"/>
  <c r="AA184" i="1"/>
  <c r="AB184" i="1"/>
  <c r="V185" i="1"/>
  <c r="W185" i="1" s="1"/>
  <c r="Z185" i="1"/>
  <c r="AA185" i="1"/>
  <c r="AB185" i="1"/>
  <c r="V186" i="1"/>
  <c r="W186" i="1" s="1"/>
  <c r="Z186" i="1"/>
  <c r="AA186" i="1"/>
  <c r="AB186" i="1"/>
  <c r="V187" i="1"/>
  <c r="W187" i="1" s="1"/>
  <c r="Z187" i="1"/>
  <c r="AA187" i="1"/>
  <c r="AB187" i="1"/>
  <c r="V188" i="1"/>
  <c r="W188" i="1" s="1"/>
  <c r="X188" i="1"/>
  <c r="Z188" i="1"/>
  <c r="AA188" i="1"/>
  <c r="AB188" i="1"/>
  <c r="V189" i="1"/>
  <c r="W189" i="1" s="1"/>
  <c r="Z189" i="1"/>
  <c r="AA189" i="1"/>
  <c r="AB189" i="1"/>
  <c r="V190" i="1"/>
  <c r="W190" i="1" s="1"/>
  <c r="X190" i="1"/>
  <c r="Z190" i="1"/>
  <c r="AA190" i="1"/>
  <c r="AB190" i="1"/>
  <c r="V191" i="1"/>
  <c r="W191" i="1" s="1"/>
  <c r="Z191" i="1"/>
  <c r="AA191" i="1"/>
  <c r="AB191" i="1"/>
  <c r="V192" i="1"/>
  <c r="W192" i="1" s="1"/>
  <c r="Z192" i="1"/>
  <c r="AA192" i="1"/>
  <c r="AB192" i="1"/>
  <c r="V193" i="1"/>
  <c r="Y193" i="1" s="1"/>
  <c r="W193" i="1"/>
  <c r="X193" i="1"/>
  <c r="Z193" i="1"/>
  <c r="AA193" i="1"/>
  <c r="AB193" i="1"/>
  <c r="V194" i="1"/>
  <c r="W194" i="1" s="1"/>
  <c r="X194" i="1"/>
  <c r="Z194" i="1"/>
  <c r="AA194" i="1"/>
  <c r="AB194" i="1"/>
  <c r="V195" i="1"/>
  <c r="W195" i="1"/>
  <c r="X195" i="1"/>
  <c r="Y195" i="1"/>
  <c r="Z195" i="1"/>
  <c r="AA195" i="1"/>
  <c r="AB195" i="1"/>
  <c r="V196" i="1"/>
  <c r="W196" i="1"/>
  <c r="X196" i="1"/>
  <c r="Y196" i="1"/>
  <c r="Z196" i="1"/>
  <c r="AA196" i="1"/>
  <c r="AB196" i="1"/>
  <c r="V197" i="1"/>
  <c r="W197" i="1"/>
  <c r="X197" i="1"/>
  <c r="Y197" i="1"/>
  <c r="Z197" i="1"/>
  <c r="AA197" i="1"/>
  <c r="AB197" i="1"/>
  <c r="V198" i="1"/>
  <c r="W198" i="1"/>
  <c r="X198" i="1"/>
  <c r="Y198" i="1"/>
  <c r="Z198" i="1"/>
  <c r="AA198" i="1"/>
  <c r="AB198" i="1"/>
  <c r="V199" i="1"/>
  <c r="X199" i="1" s="1"/>
  <c r="W199" i="1"/>
  <c r="Y199" i="1"/>
  <c r="Z199" i="1"/>
  <c r="AA199" i="1"/>
  <c r="AB199" i="1"/>
  <c r="V200" i="1"/>
  <c r="X200" i="1" s="1"/>
  <c r="W200" i="1"/>
  <c r="Z200" i="1"/>
  <c r="AA200" i="1"/>
  <c r="AB200" i="1"/>
  <c r="V201" i="1"/>
  <c r="W201" i="1"/>
  <c r="X201" i="1"/>
  <c r="Y201" i="1"/>
  <c r="Z201" i="1"/>
  <c r="AA201" i="1"/>
  <c r="AB201" i="1"/>
  <c r="V202" i="1"/>
  <c r="W202" i="1" s="1"/>
  <c r="X202" i="1"/>
  <c r="Y202" i="1"/>
  <c r="Z202" i="1"/>
  <c r="AA202" i="1"/>
  <c r="AB202" i="1"/>
  <c r="V203" i="1"/>
  <c r="W203" i="1" s="1"/>
  <c r="Y203" i="1"/>
  <c r="Z203" i="1"/>
  <c r="AA203" i="1"/>
  <c r="AB203" i="1"/>
  <c r="V204" i="1"/>
  <c r="W204" i="1" s="1"/>
  <c r="X204" i="1"/>
  <c r="Z204" i="1"/>
  <c r="AA204" i="1"/>
  <c r="AB204" i="1"/>
  <c r="V205" i="1"/>
  <c r="W205" i="1" s="1"/>
  <c r="Z205" i="1"/>
  <c r="AA205" i="1"/>
  <c r="AB205" i="1"/>
  <c r="V206" i="1"/>
  <c r="W206" i="1" s="1"/>
  <c r="X206" i="1"/>
  <c r="Z206" i="1"/>
  <c r="AA206" i="1"/>
  <c r="AB206" i="1"/>
  <c r="V207" i="1"/>
  <c r="W207" i="1" s="1"/>
  <c r="Z207" i="1"/>
  <c r="AA207" i="1"/>
  <c r="AB207" i="1"/>
  <c r="V208" i="1"/>
  <c r="W208" i="1" s="1"/>
  <c r="Z208" i="1"/>
  <c r="AA208" i="1"/>
  <c r="AB208" i="1"/>
  <c r="V209" i="1"/>
  <c r="Y209" i="1" s="1"/>
  <c r="W209" i="1"/>
  <c r="X209" i="1"/>
  <c r="Z209" i="1"/>
  <c r="AA209" i="1"/>
  <c r="AB209" i="1"/>
  <c r="V210" i="1"/>
  <c r="W210" i="1" s="1"/>
  <c r="X210" i="1"/>
  <c r="Z210" i="1"/>
  <c r="AA210" i="1"/>
  <c r="AB210" i="1"/>
  <c r="V211" i="1"/>
  <c r="W211" i="1"/>
  <c r="X211" i="1"/>
  <c r="Y211" i="1"/>
  <c r="Z211" i="1"/>
  <c r="AA211" i="1"/>
  <c r="AB211" i="1"/>
  <c r="V212" i="1"/>
  <c r="W212" i="1"/>
  <c r="X212" i="1"/>
  <c r="Y212" i="1"/>
  <c r="Z212" i="1"/>
  <c r="AA212" i="1"/>
  <c r="AB212" i="1"/>
  <c r="V213" i="1"/>
  <c r="W213" i="1"/>
  <c r="X213" i="1"/>
  <c r="Y213" i="1"/>
  <c r="Z213" i="1"/>
  <c r="AA213" i="1"/>
  <c r="AB213" i="1"/>
  <c r="V214" i="1"/>
  <c r="W214" i="1"/>
  <c r="X214" i="1"/>
  <c r="Y214" i="1"/>
  <c r="Z214" i="1"/>
  <c r="AA214" i="1"/>
  <c r="AB214" i="1"/>
  <c r="V215" i="1"/>
  <c r="X215" i="1" s="1"/>
  <c r="W215" i="1"/>
  <c r="Y215" i="1"/>
  <c r="Z215" i="1"/>
  <c r="AA215" i="1"/>
  <c r="AB215" i="1"/>
  <c r="V216" i="1"/>
  <c r="X216" i="1" s="1"/>
  <c r="W216" i="1"/>
  <c r="Z216" i="1"/>
  <c r="AA216" i="1"/>
  <c r="AB216" i="1"/>
  <c r="V217" i="1"/>
  <c r="X217" i="1" s="1"/>
  <c r="W217" i="1"/>
  <c r="Y217" i="1"/>
  <c r="Z217" i="1"/>
  <c r="AA217" i="1"/>
  <c r="AB217" i="1"/>
  <c r="V218" i="1"/>
  <c r="W218" i="1" s="1"/>
  <c r="X218" i="1"/>
  <c r="Y218" i="1"/>
  <c r="Z218" i="1"/>
  <c r="AA218" i="1"/>
  <c r="AB218" i="1"/>
  <c r="V219" i="1"/>
  <c r="W219" i="1" s="1"/>
  <c r="Y219" i="1"/>
  <c r="Z219" i="1"/>
  <c r="AA219" i="1"/>
  <c r="AB219" i="1"/>
  <c r="V220" i="1"/>
  <c r="W220" i="1" s="1"/>
  <c r="X220" i="1"/>
  <c r="Z220" i="1"/>
  <c r="AA220" i="1"/>
  <c r="AB220" i="1"/>
  <c r="V221" i="1"/>
  <c r="W221" i="1" s="1"/>
  <c r="Z221" i="1"/>
  <c r="AA221" i="1"/>
  <c r="AB221" i="1"/>
  <c r="V222" i="1"/>
  <c r="W222" i="1" s="1"/>
  <c r="X222" i="1"/>
  <c r="Z222" i="1"/>
  <c r="AA222" i="1"/>
  <c r="AB222" i="1"/>
  <c r="V223" i="1"/>
  <c r="W223" i="1" s="1"/>
  <c r="Z223" i="1"/>
  <c r="AA223" i="1"/>
  <c r="AB223" i="1"/>
  <c r="V224" i="1"/>
  <c r="W224" i="1" s="1"/>
  <c r="Z224" i="1"/>
  <c r="AA224" i="1"/>
  <c r="AB224" i="1"/>
  <c r="V225" i="1"/>
  <c r="Y225" i="1" s="1"/>
  <c r="W225" i="1"/>
  <c r="X225" i="1"/>
  <c r="Z225" i="1"/>
  <c r="AA225" i="1"/>
  <c r="AB225" i="1"/>
  <c r="V226" i="1"/>
  <c r="W226" i="1" s="1"/>
  <c r="X226" i="1"/>
  <c r="Z226" i="1"/>
  <c r="AA226" i="1"/>
  <c r="AB226" i="1"/>
  <c r="V227" i="1"/>
  <c r="W227" i="1"/>
  <c r="X227" i="1"/>
  <c r="Y227" i="1"/>
  <c r="Z227" i="1"/>
  <c r="AA227" i="1"/>
  <c r="AB227" i="1"/>
  <c r="V228" i="1"/>
  <c r="W228" i="1"/>
  <c r="X228" i="1"/>
  <c r="Y228" i="1"/>
  <c r="Z228" i="1"/>
  <c r="AA228" i="1"/>
  <c r="AB228" i="1"/>
  <c r="V229" i="1"/>
  <c r="W229" i="1"/>
  <c r="X229" i="1"/>
  <c r="Y229" i="1"/>
  <c r="Z229" i="1"/>
  <c r="AA229" i="1"/>
  <c r="AB229" i="1"/>
  <c r="V230" i="1"/>
  <c r="W230" i="1"/>
  <c r="X230" i="1"/>
  <c r="Y230" i="1"/>
  <c r="Z230" i="1"/>
  <c r="AA230" i="1"/>
  <c r="AB230" i="1"/>
  <c r="V231" i="1"/>
  <c r="X231" i="1" s="1"/>
  <c r="W231" i="1"/>
  <c r="Y231" i="1"/>
  <c r="Z231" i="1"/>
  <c r="AA231" i="1"/>
  <c r="AB231" i="1"/>
  <c r="V232" i="1"/>
  <c r="X232" i="1" s="1"/>
  <c r="W232" i="1"/>
  <c r="Z232" i="1"/>
  <c r="AA232" i="1"/>
  <c r="AB232" i="1"/>
  <c r="V233" i="1"/>
  <c r="X233" i="1" s="1"/>
  <c r="W233" i="1"/>
  <c r="Y233" i="1"/>
  <c r="Z233" i="1"/>
  <c r="AA233" i="1"/>
  <c r="AB233" i="1"/>
  <c r="V234" i="1"/>
  <c r="W234" i="1" s="1"/>
  <c r="X234" i="1"/>
  <c r="Y234" i="1"/>
  <c r="Z234" i="1"/>
  <c r="AA234" i="1"/>
  <c r="AB234" i="1"/>
  <c r="V235" i="1"/>
  <c r="X235" i="1" s="1"/>
  <c r="W235" i="1"/>
  <c r="Y235" i="1"/>
  <c r="Z235" i="1"/>
  <c r="AA235" i="1"/>
  <c r="AB235" i="1"/>
  <c r="V236" i="1"/>
  <c r="W236" i="1" s="1"/>
  <c r="X236" i="1"/>
  <c r="Z236" i="1"/>
  <c r="AA236" i="1"/>
  <c r="AB236" i="1"/>
  <c r="V237" i="1"/>
  <c r="W237" i="1" s="1"/>
  <c r="Z237" i="1"/>
  <c r="AA237" i="1"/>
  <c r="AB237" i="1"/>
  <c r="V238" i="1"/>
  <c r="W238" i="1" s="1"/>
  <c r="X238" i="1"/>
  <c r="Z238" i="1"/>
  <c r="AA238" i="1"/>
  <c r="AB238" i="1"/>
  <c r="V239" i="1"/>
  <c r="W239" i="1" s="1"/>
  <c r="Z239" i="1"/>
  <c r="AA239" i="1"/>
  <c r="AB239" i="1"/>
  <c r="V240" i="1"/>
  <c r="W240" i="1" s="1"/>
  <c r="Z240" i="1"/>
  <c r="AA240" i="1"/>
  <c r="AB240" i="1"/>
  <c r="V241" i="1"/>
  <c r="Y241" i="1" s="1"/>
  <c r="W241" i="1"/>
  <c r="X241" i="1"/>
  <c r="Z241" i="1"/>
  <c r="AA241" i="1"/>
  <c r="AB241" i="1"/>
  <c r="V242" i="1"/>
  <c r="W242" i="1" s="1"/>
  <c r="X242" i="1"/>
  <c r="Z242" i="1"/>
  <c r="AA242" i="1"/>
  <c r="AB242" i="1"/>
  <c r="V243" i="1"/>
  <c r="W243" i="1"/>
  <c r="X243" i="1"/>
  <c r="Y243" i="1"/>
  <c r="Z243" i="1"/>
  <c r="AA243" i="1"/>
  <c r="AB243" i="1"/>
  <c r="V244" i="1"/>
  <c r="W244" i="1"/>
  <c r="X244" i="1"/>
  <c r="Y244" i="1"/>
  <c r="Z244" i="1"/>
  <c r="AA244" i="1"/>
  <c r="AB244" i="1"/>
  <c r="V245" i="1"/>
  <c r="W245" i="1"/>
  <c r="X245" i="1"/>
  <c r="Y245" i="1"/>
  <c r="Z245" i="1"/>
  <c r="AA245" i="1"/>
  <c r="AB245" i="1"/>
  <c r="V246" i="1"/>
  <c r="W246" i="1"/>
  <c r="X246" i="1"/>
  <c r="Y246" i="1"/>
  <c r="Z246" i="1"/>
  <c r="AA246" i="1"/>
  <c r="AB246" i="1"/>
  <c r="V247" i="1"/>
  <c r="X247" i="1" s="1"/>
  <c r="W247" i="1"/>
  <c r="Y247" i="1"/>
  <c r="Z247" i="1"/>
  <c r="AA247" i="1"/>
  <c r="AB247" i="1"/>
  <c r="V248" i="1"/>
  <c r="X248" i="1" s="1"/>
  <c r="W248" i="1"/>
  <c r="Z248" i="1"/>
  <c r="AA248" i="1"/>
  <c r="AB248" i="1"/>
  <c r="V249" i="1"/>
  <c r="X249" i="1" s="1"/>
  <c r="W249" i="1"/>
  <c r="Y249" i="1"/>
  <c r="Z249" i="1"/>
  <c r="AA249" i="1"/>
  <c r="AB249" i="1"/>
  <c r="V250" i="1"/>
  <c r="W250" i="1" s="1"/>
  <c r="X250" i="1"/>
  <c r="Y250" i="1"/>
  <c r="Z250" i="1"/>
  <c r="AA250" i="1"/>
  <c r="AB250" i="1"/>
  <c r="V251" i="1"/>
  <c r="X251" i="1" s="1"/>
  <c r="W251" i="1"/>
  <c r="Y251" i="1"/>
  <c r="Z251" i="1"/>
  <c r="AA251" i="1"/>
  <c r="AB251" i="1"/>
  <c r="V252" i="1"/>
  <c r="W252" i="1" s="1"/>
  <c r="X252" i="1"/>
  <c r="Z252" i="1"/>
  <c r="AA252" i="1"/>
  <c r="AB252" i="1"/>
  <c r="V253" i="1"/>
  <c r="W253" i="1" s="1"/>
  <c r="Y253" i="1"/>
  <c r="Z253" i="1"/>
  <c r="AA253" i="1"/>
  <c r="AB253" i="1"/>
  <c r="V254" i="1"/>
  <c r="W254" i="1" s="1"/>
  <c r="X254" i="1"/>
  <c r="Z254" i="1"/>
  <c r="AA254" i="1"/>
  <c r="AB254" i="1"/>
  <c r="V255" i="1"/>
  <c r="W255" i="1" s="1"/>
  <c r="Z255" i="1"/>
  <c r="AA255" i="1"/>
  <c r="AB255" i="1"/>
  <c r="V256" i="1"/>
  <c r="W256" i="1" s="1"/>
  <c r="Z256" i="1"/>
  <c r="AA256" i="1"/>
  <c r="AB256" i="1"/>
  <c r="V257" i="1"/>
  <c r="Y257" i="1" s="1"/>
  <c r="W257" i="1"/>
  <c r="X257" i="1"/>
  <c r="Z257" i="1"/>
  <c r="AA257" i="1"/>
  <c r="AB257" i="1"/>
  <c r="V258" i="1"/>
  <c r="W258" i="1" s="1"/>
  <c r="X258" i="1"/>
  <c r="Z258" i="1"/>
  <c r="AA258" i="1"/>
  <c r="AB258" i="1"/>
  <c r="V259" i="1"/>
  <c r="W259" i="1"/>
  <c r="X259" i="1"/>
  <c r="Y259" i="1"/>
  <c r="Z259" i="1"/>
  <c r="AA259" i="1"/>
  <c r="AB259" i="1"/>
  <c r="V260" i="1"/>
  <c r="W260" i="1"/>
  <c r="X260" i="1"/>
  <c r="Y260" i="1"/>
  <c r="Z260" i="1"/>
  <c r="AA260" i="1"/>
  <c r="AB260" i="1"/>
  <c r="V261" i="1"/>
  <c r="W261" i="1"/>
  <c r="X261" i="1"/>
  <c r="Y261" i="1"/>
  <c r="Z261" i="1"/>
  <c r="AA261" i="1"/>
  <c r="AB261" i="1"/>
  <c r="V262" i="1"/>
  <c r="W262" i="1"/>
  <c r="X262" i="1"/>
  <c r="Y262" i="1"/>
  <c r="Z262" i="1"/>
  <c r="AA262" i="1"/>
  <c r="AB262" i="1"/>
  <c r="V263" i="1"/>
  <c r="X263" i="1" s="1"/>
  <c r="W263" i="1"/>
  <c r="Y263" i="1"/>
  <c r="Z263" i="1"/>
  <c r="AA263" i="1"/>
  <c r="AB263" i="1"/>
  <c r="V264" i="1"/>
  <c r="X264" i="1" s="1"/>
  <c r="W264" i="1"/>
  <c r="Z264" i="1"/>
  <c r="AA264" i="1"/>
  <c r="AB264" i="1"/>
  <c r="V265" i="1"/>
  <c r="X265" i="1" s="1"/>
  <c r="W265" i="1"/>
  <c r="Y265" i="1"/>
  <c r="Z265" i="1"/>
  <c r="AA265" i="1"/>
  <c r="AB265" i="1"/>
  <c r="V266" i="1"/>
  <c r="W266" i="1" s="1"/>
  <c r="X266" i="1"/>
  <c r="Y266" i="1"/>
  <c r="Z266" i="1"/>
  <c r="AA266" i="1"/>
  <c r="AB266" i="1"/>
  <c r="V267" i="1"/>
  <c r="X267" i="1" s="1"/>
  <c r="W267" i="1"/>
  <c r="Y267" i="1"/>
  <c r="Z267" i="1"/>
  <c r="AA267" i="1"/>
  <c r="AB267" i="1"/>
  <c r="V268" i="1"/>
  <c r="W268" i="1" s="1"/>
  <c r="X268" i="1"/>
  <c r="Z268" i="1"/>
  <c r="AA268" i="1"/>
  <c r="AB268" i="1"/>
  <c r="V269" i="1"/>
  <c r="W269" i="1" s="1"/>
  <c r="Y269" i="1"/>
  <c r="Z269" i="1"/>
  <c r="AA269" i="1"/>
  <c r="AB269" i="1"/>
  <c r="V270" i="1"/>
  <c r="W270" i="1" s="1"/>
  <c r="X270" i="1"/>
  <c r="Z270" i="1"/>
  <c r="AA270" i="1"/>
  <c r="AB270" i="1"/>
  <c r="V271" i="1"/>
  <c r="W271" i="1" s="1"/>
  <c r="Z271" i="1"/>
  <c r="AA271" i="1"/>
  <c r="AB271" i="1"/>
  <c r="V272" i="1"/>
  <c r="W272" i="1" s="1"/>
  <c r="Z272" i="1"/>
  <c r="AA272" i="1"/>
  <c r="AB272" i="1"/>
  <c r="V273" i="1"/>
  <c r="Y273" i="1" s="1"/>
  <c r="W273" i="1"/>
  <c r="X273" i="1"/>
  <c r="Z273" i="1"/>
  <c r="AA273" i="1"/>
  <c r="AB273" i="1"/>
  <c r="V274" i="1"/>
  <c r="W274" i="1" s="1"/>
  <c r="X274" i="1"/>
  <c r="Z274" i="1"/>
  <c r="AA274" i="1"/>
  <c r="AB274" i="1"/>
  <c r="V275" i="1"/>
  <c r="W275" i="1"/>
  <c r="X275" i="1"/>
  <c r="Y275" i="1"/>
  <c r="Z275" i="1"/>
  <c r="AA275" i="1"/>
  <c r="AB275" i="1"/>
  <c r="V276" i="1"/>
  <c r="W276" i="1"/>
  <c r="X276" i="1"/>
  <c r="Y276" i="1"/>
  <c r="Z276" i="1"/>
  <c r="AA276" i="1"/>
  <c r="AB276" i="1"/>
  <c r="V277" i="1"/>
  <c r="W277" i="1"/>
  <c r="X277" i="1"/>
  <c r="Y277" i="1"/>
  <c r="Z277" i="1"/>
  <c r="AA277" i="1"/>
  <c r="AB277" i="1"/>
  <c r="V278" i="1"/>
  <c r="W278" i="1"/>
  <c r="X278" i="1"/>
  <c r="Y278" i="1"/>
  <c r="Z278" i="1"/>
  <c r="AA278" i="1"/>
  <c r="AB278" i="1"/>
  <c r="V279" i="1"/>
  <c r="X279" i="1" s="1"/>
  <c r="W279" i="1"/>
  <c r="Y279" i="1"/>
  <c r="Z279" i="1"/>
  <c r="AA279" i="1"/>
  <c r="AB279" i="1"/>
  <c r="V280" i="1"/>
  <c r="X280" i="1" s="1"/>
  <c r="W280" i="1"/>
  <c r="Z280" i="1"/>
  <c r="AA280" i="1"/>
  <c r="AB280" i="1"/>
  <c r="V281" i="1"/>
  <c r="X281" i="1" s="1"/>
  <c r="W281" i="1"/>
  <c r="Y281" i="1"/>
  <c r="Z281" i="1"/>
  <c r="AA281" i="1"/>
  <c r="AB281" i="1"/>
  <c r="V282" i="1"/>
  <c r="W282" i="1" s="1"/>
  <c r="X282" i="1"/>
  <c r="Y282" i="1"/>
  <c r="Z282" i="1"/>
  <c r="AA282" i="1"/>
  <c r="AB282" i="1"/>
  <c r="V283" i="1"/>
  <c r="X283" i="1" s="1"/>
  <c r="W283" i="1"/>
  <c r="Y283" i="1"/>
  <c r="Z283" i="1"/>
  <c r="AA283" i="1"/>
  <c r="AB283" i="1"/>
  <c r="V284" i="1"/>
  <c r="W284" i="1" s="1"/>
  <c r="X284" i="1"/>
  <c r="Z284" i="1"/>
  <c r="AA284" i="1"/>
  <c r="AB284" i="1"/>
  <c r="V285" i="1"/>
  <c r="W285" i="1" s="1"/>
  <c r="Y285" i="1"/>
  <c r="Z285" i="1"/>
  <c r="AA285" i="1"/>
  <c r="AB285" i="1"/>
  <c r="V286" i="1"/>
  <c r="W286" i="1" s="1"/>
  <c r="X286" i="1"/>
  <c r="Z286" i="1"/>
  <c r="AA286" i="1"/>
  <c r="AB286" i="1"/>
  <c r="V287" i="1"/>
  <c r="W287" i="1" s="1"/>
  <c r="Z287" i="1"/>
  <c r="AA287" i="1"/>
  <c r="AB287" i="1"/>
  <c r="V288" i="1"/>
  <c r="W288" i="1" s="1"/>
  <c r="Z288" i="1"/>
  <c r="AA288" i="1"/>
  <c r="AB288" i="1"/>
  <c r="V289" i="1"/>
  <c r="Y289" i="1" s="1"/>
  <c r="W289" i="1"/>
  <c r="X289" i="1"/>
  <c r="Z289" i="1"/>
  <c r="AA289" i="1"/>
  <c r="AB289" i="1"/>
  <c r="V290" i="1"/>
  <c r="W290" i="1" s="1"/>
  <c r="X290" i="1"/>
  <c r="Z290" i="1"/>
  <c r="AA290" i="1"/>
  <c r="AB290" i="1"/>
  <c r="V291" i="1"/>
  <c r="W291" i="1"/>
  <c r="X291" i="1"/>
  <c r="Y291" i="1"/>
  <c r="Z291" i="1"/>
  <c r="AA291" i="1"/>
  <c r="AB291" i="1"/>
  <c r="V292" i="1"/>
  <c r="W292" i="1"/>
  <c r="X292" i="1"/>
  <c r="Y292" i="1"/>
  <c r="Z292" i="1"/>
  <c r="AA292" i="1"/>
  <c r="AB292" i="1"/>
  <c r="Y187" i="1" l="1"/>
  <c r="Y186" i="1"/>
  <c r="X186" i="1"/>
  <c r="Y185" i="1"/>
  <c r="X185" i="1"/>
  <c r="W184" i="1"/>
  <c r="Y183" i="1"/>
  <c r="W183" i="1"/>
  <c r="Y182" i="1"/>
  <c r="W182" i="1"/>
  <c r="Y181" i="1"/>
  <c r="X181" i="1"/>
  <c r="Y180" i="1"/>
  <c r="X180" i="1"/>
  <c r="W179" i="1"/>
  <c r="Y179" i="1"/>
  <c r="X178" i="1"/>
  <c r="X177" i="1"/>
  <c r="W177" i="1"/>
  <c r="X174" i="1"/>
  <c r="X172" i="1"/>
  <c r="Y171" i="1"/>
  <c r="Y170" i="1"/>
  <c r="X170" i="1"/>
  <c r="Y169" i="1"/>
  <c r="X169" i="1"/>
  <c r="W168" i="1"/>
  <c r="W167" i="1"/>
  <c r="Y167" i="1"/>
  <c r="X166" i="1"/>
  <c r="W166" i="1"/>
  <c r="Y165" i="1"/>
  <c r="X165" i="1"/>
  <c r="X164" i="1"/>
  <c r="W164" i="1"/>
  <c r="W163" i="1"/>
  <c r="X163" i="1"/>
  <c r="X162" i="1"/>
  <c r="X161" i="1"/>
  <c r="W161" i="1"/>
  <c r="X158" i="1"/>
  <c r="X156" i="1"/>
  <c r="Y155" i="1"/>
  <c r="Y154" i="1"/>
  <c r="X154" i="1"/>
  <c r="X153" i="1"/>
  <c r="W153" i="1"/>
  <c r="W152" i="1"/>
  <c r="Y151" i="1"/>
  <c r="W151" i="1"/>
  <c r="W150" i="1"/>
  <c r="Y150" i="1"/>
  <c r="Y284" i="1"/>
  <c r="Y268" i="1"/>
  <c r="Y252" i="1"/>
  <c r="Y236" i="1"/>
  <c r="Y220" i="1"/>
  <c r="Y204" i="1"/>
  <c r="Y188" i="1"/>
  <c r="Y172" i="1"/>
  <c r="Y156" i="1"/>
  <c r="Y286" i="1"/>
  <c r="Y270" i="1"/>
  <c r="Y254" i="1"/>
  <c r="Y238" i="1"/>
  <c r="Y222" i="1"/>
  <c r="Y206" i="1"/>
  <c r="Y190" i="1"/>
  <c r="Y174" i="1"/>
  <c r="Y158" i="1"/>
  <c r="Y288" i="1"/>
  <c r="Y272" i="1"/>
  <c r="Y256" i="1"/>
  <c r="Y240" i="1"/>
  <c r="Y224" i="1"/>
  <c r="Y208" i="1"/>
  <c r="Y192" i="1"/>
  <c r="Y176" i="1"/>
  <c r="Y160" i="1"/>
  <c r="X288" i="1"/>
  <c r="X272" i="1"/>
  <c r="X256" i="1"/>
  <c r="X240" i="1"/>
  <c r="X224" i="1"/>
  <c r="X208" i="1"/>
  <c r="X192" i="1"/>
  <c r="X176" i="1"/>
  <c r="X160" i="1"/>
  <c r="Y290" i="1"/>
  <c r="Y274" i="1"/>
  <c r="Y258" i="1"/>
  <c r="Y242" i="1"/>
  <c r="Y226" i="1"/>
  <c r="Y210" i="1"/>
  <c r="Y194" i="1"/>
  <c r="Y178" i="1"/>
  <c r="Y162" i="1"/>
  <c r="X219" i="1"/>
  <c r="X203" i="1"/>
  <c r="X187" i="1"/>
  <c r="X171" i="1"/>
  <c r="X155" i="1"/>
  <c r="Y237" i="1"/>
  <c r="Y221" i="1"/>
  <c r="Y205" i="1"/>
  <c r="Y189" i="1"/>
  <c r="Y173" i="1"/>
  <c r="Y157" i="1"/>
  <c r="X285" i="1"/>
  <c r="X269" i="1"/>
  <c r="X237" i="1"/>
  <c r="X221" i="1"/>
  <c r="X205" i="1"/>
  <c r="X173" i="1"/>
  <c r="X157" i="1"/>
  <c r="X253" i="1"/>
  <c r="X189" i="1"/>
  <c r="Y287" i="1"/>
  <c r="Y271" i="1"/>
  <c r="Y255" i="1"/>
  <c r="Y239" i="1"/>
  <c r="Y223" i="1"/>
  <c r="Y207" i="1"/>
  <c r="Y191" i="1"/>
  <c r="Y175" i="1"/>
  <c r="Y159" i="1"/>
  <c r="X271" i="1"/>
  <c r="Y264" i="1"/>
  <c r="X239" i="1"/>
  <c r="Y232" i="1"/>
  <c r="X223" i="1"/>
  <c r="Y216" i="1"/>
  <c r="Y200" i="1"/>
  <c r="X191" i="1"/>
  <c r="X287" i="1"/>
  <c r="Y280" i="1"/>
  <c r="X255" i="1"/>
  <c r="Y248" i="1"/>
  <c r="X207" i="1"/>
  <c r="Y184" i="1"/>
  <c r="X175" i="1"/>
  <c r="Y168" i="1"/>
  <c r="X159" i="1"/>
  <c r="Y152" i="1"/>
  <c r="V5" i="1" l="1"/>
  <c r="W5" i="1" s="1"/>
  <c r="Z5" i="1"/>
  <c r="AA5" i="1"/>
  <c r="AB5" i="1"/>
  <c r="V6" i="1"/>
  <c r="W6" i="1" s="1"/>
  <c r="Z6" i="1"/>
  <c r="AA6" i="1"/>
  <c r="AB6" i="1"/>
  <c r="V7" i="1"/>
  <c r="W7" i="1" s="1"/>
  <c r="Z7" i="1"/>
  <c r="AA7" i="1"/>
  <c r="AB7" i="1"/>
  <c r="V8" i="1"/>
  <c r="W8" i="1" s="1"/>
  <c r="Z8" i="1"/>
  <c r="AA8" i="1"/>
  <c r="AB8" i="1"/>
  <c r="V9" i="1"/>
  <c r="W9" i="1" s="1"/>
  <c r="Z9" i="1"/>
  <c r="AA9" i="1"/>
  <c r="AB9" i="1"/>
  <c r="V10" i="1"/>
  <c r="W10" i="1" s="1"/>
  <c r="Z10" i="1"/>
  <c r="AA10" i="1"/>
  <c r="AB10" i="1"/>
  <c r="V11" i="1"/>
  <c r="Y11" i="1" s="1"/>
  <c r="Z11" i="1"/>
  <c r="AA11" i="1"/>
  <c r="AB11" i="1"/>
  <c r="V12" i="1"/>
  <c r="W12" i="1" s="1"/>
  <c r="Z12" i="1"/>
  <c r="AA12" i="1"/>
  <c r="AB12" i="1"/>
  <c r="V13" i="1"/>
  <c r="X13" i="1" s="1"/>
  <c r="Z13" i="1"/>
  <c r="AA13" i="1"/>
  <c r="AB13" i="1"/>
  <c r="V14" i="1"/>
  <c r="W14" i="1" s="1"/>
  <c r="Z14" i="1"/>
  <c r="AA14" i="1"/>
  <c r="AB14" i="1"/>
  <c r="V15" i="1"/>
  <c r="W15" i="1" s="1"/>
  <c r="Z15" i="1"/>
  <c r="AA15" i="1"/>
  <c r="AB15" i="1"/>
  <c r="V16" i="1"/>
  <c r="W16" i="1" s="1"/>
  <c r="Z16" i="1"/>
  <c r="AA16" i="1"/>
  <c r="AB16" i="1"/>
  <c r="V17" i="1"/>
  <c r="X17" i="1" s="1"/>
  <c r="Z17" i="1"/>
  <c r="AA17" i="1"/>
  <c r="AB17" i="1"/>
  <c r="V18" i="1"/>
  <c r="W18" i="1" s="1"/>
  <c r="Z18" i="1"/>
  <c r="AA18" i="1"/>
  <c r="AB18" i="1"/>
  <c r="V19" i="1"/>
  <c r="W19" i="1" s="1"/>
  <c r="Z19" i="1"/>
  <c r="AA19" i="1"/>
  <c r="AB19" i="1"/>
  <c r="V20" i="1"/>
  <c r="W20" i="1" s="1"/>
  <c r="Z20" i="1"/>
  <c r="AA20" i="1"/>
  <c r="AB20" i="1"/>
  <c r="V21" i="1"/>
  <c r="W21" i="1" s="1"/>
  <c r="Z21" i="1"/>
  <c r="AA21" i="1"/>
  <c r="AB21" i="1"/>
  <c r="V22" i="1"/>
  <c r="W22" i="1" s="1"/>
  <c r="Z22" i="1"/>
  <c r="AA22" i="1"/>
  <c r="AB22" i="1"/>
  <c r="V23" i="1"/>
  <c r="W23" i="1" s="1"/>
  <c r="Z23" i="1"/>
  <c r="AA23" i="1"/>
  <c r="AB23" i="1"/>
  <c r="V24" i="1"/>
  <c r="W24" i="1" s="1"/>
  <c r="Z24" i="1"/>
  <c r="AA24" i="1"/>
  <c r="AB24" i="1"/>
  <c r="V25" i="1"/>
  <c r="W25" i="1" s="1"/>
  <c r="Z25" i="1"/>
  <c r="AA25" i="1"/>
  <c r="AB25" i="1"/>
  <c r="V26" i="1"/>
  <c r="W26" i="1" s="1"/>
  <c r="Z26" i="1"/>
  <c r="AA26" i="1"/>
  <c r="AB26" i="1"/>
  <c r="V27" i="1"/>
  <c r="X27" i="1" s="1"/>
  <c r="Z27" i="1"/>
  <c r="AA27" i="1"/>
  <c r="AB27" i="1"/>
  <c r="V28" i="1"/>
  <c r="W28" i="1" s="1"/>
  <c r="Z28" i="1"/>
  <c r="AA28" i="1"/>
  <c r="AB28" i="1"/>
  <c r="V29" i="1"/>
  <c r="X29" i="1" s="1"/>
  <c r="Z29" i="1"/>
  <c r="AA29" i="1"/>
  <c r="AB29" i="1"/>
  <c r="V30" i="1"/>
  <c r="W30" i="1" s="1"/>
  <c r="Z30" i="1"/>
  <c r="AA30" i="1"/>
  <c r="AB30" i="1"/>
  <c r="V31" i="1"/>
  <c r="W31" i="1" s="1"/>
  <c r="Z31" i="1"/>
  <c r="AA31" i="1"/>
  <c r="AB31" i="1"/>
  <c r="V32" i="1"/>
  <c r="W32" i="1" s="1"/>
  <c r="Z32" i="1"/>
  <c r="AA32" i="1"/>
  <c r="AB32" i="1"/>
  <c r="V33" i="1"/>
  <c r="X33" i="1" s="1"/>
  <c r="Z33" i="1"/>
  <c r="AA33" i="1"/>
  <c r="AB33" i="1"/>
  <c r="V34" i="1"/>
  <c r="W34" i="1" s="1"/>
  <c r="Z34" i="1"/>
  <c r="AA34" i="1"/>
  <c r="AB34" i="1"/>
  <c r="V35" i="1"/>
  <c r="W35" i="1" s="1"/>
  <c r="Z35" i="1"/>
  <c r="AA35" i="1"/>
  <c r="AB35" i="1"/>
  <c r="V36" i="1"/>
  <c r="W36" i="1" s="1"/>
  <c r="Z36" i="1"/>
  <c r="AA36" i="1"/>
  <c r="AB36" i="1"/>
  <c r="V37" i="1"/>
  <c r="W37" i="1" s="1"/>
  <c r="Z37" i="1"/>
  <c r="AA37" i="1"/>
  <c r="AB37" i="1"/>
  <c r="V38" i="1"/>
  <c r="W38" i="1" s="1"/>
  <c r="Z38" i="1"/>
  <c r="AA38" i="1"/>
  <c r="AB38" i="1"/>
  <c r="V39" i="1"/>
  <c r="W39" i="1" s="1"/>
  <c r="Z39" i="1"/>
  <c r="AA39" i="1"/>
  <c r="AB39" i="1"/>
  <c r="V40" i="1"/>
  <c r="W40" i="1" s="1"/>
  <c r="Z40" i="1"/>
  <c r="AA40" i="1"/>
  <c r="AB40" i="1"/>
  <c r="V41" i="1"/>
  <c r="W41" i="1" s="1"/>
  <c r="Z41" i="1"/>
  <c r="AA41" i="1"/>
  <c r="AB41" i="1"/>
  <c r="V42" i="1"/>
  <c r="W42" i="1" s="1"/>
  <c r="Z42" i="1"/>
  <c r="AA42" i="1"/>
  <c r="AB42" i="1"/>
  <c r="V43" i="1"/>
  <c r="W43" i="1" s="1"/>
  <c r="Z43" i="1"/>
  <c r="AA43" i="1"/>
  <c r="AB43" i="1"/>
  <c r="V44" i="1"/>
  <c r="W44" i="1" s="1"/>
  <c r="Z44" i="1"/>
  <c r="AA44" i="1"/>
  <c r="AB44" i="1"/>
  <c r="V45" i="1"/>
  <c r="X45" i="1" s="1"/>
  <c r="Z45" i="1"/>
  <c r="AA45" i="1"/>
  <c r="AB45" i="1"/>
  <c r="V46" i="1"/>
  <c r="W46" i="1" s="1"/>
  <c r="Z46" i="1"/>
  <c r="AA46" i="1"/>
  <c r="AB46" i="1"/>
  <c r="V47" i="1"/>
  <c r="Y47" i="1" s="1"/>
  <c r="Z47" i="1"/>
  <c r="AA47" i="1"/>
  <c r="AB47" i="1"/>
  <c r="V48" i="1"/>
  <c r="W48" i="1" s="1"/>
  <c r="Z48" i="1"/>
  <c r="AA48" i="1"/>
  <c r="AB48" i="1"/>
  <c r="V49" i="1"/>
  <c r="X49" i="1" s="1"/>
  <c r="Z49" i="1"/>
  <c r="AA49" i="1"/>
  <c r="AB49" i="1"/>
  <c r="V50" i="1"/>
  <c r="W50" i="1" s="1"/>
  <c r="Z50" i="1"/>
  <c r="AA50" i="1"/>
  <c r="AB50" i="1"/>
  <c r="V51" i="1"/>
  <c r="W51" i="1" s="1"/>
  <c r="Z51" i="1"/>
  <c r="AA51" i="1"/>
  <c r="AB51" i="1"/>
  <c r="V52" i="1"/>
  <c r="W52" i="1" s="1"/>
  <c r="Z52" i="1"/>
  <c r="AA52" i="1"/>
  <c r="AB52" i="1"/>
  <c r="V53" i="1"/>
  <c r="W53" i="1" s="1"/>
  <c r="Z53" i="1"/>
  <c r="AA53" i="1"/>
  <c r="AB53" i="1"/>
  <c r="V54" i="1"/>
  <c r="W54" i="1" s="1"/>
  <c r="Z54" i="1"/>
  <c r="AA54" i="1"/>
  <c r="AB54" i="1"/>
  <c r="V55" i="1"/>
  <c r="X55" i="1" s="1"/>
  <c r="Z55" i="1"/>
  <c r="AA55" i="1"/>
  <c r="AB55" i="1"/>
  <c r="V56" i="1"/>
  <c r="W56" i="1" s="1"/>
  <c r="Z56" i="1"/>
  <c r="AA56" i="1"/>
  <c r="AB56" i="1"/>
  <c r="V57" i="1"/>
  <c r="W57" i="1" s="1"/>
  <c r="Z57" i="1"/>
  <c r="AA57" i="1"/>
  <c r="AB57" i="1"/>
  <c r="V58" i="1"/>
  <c r="W58" i="1" s="1"/>
  <c r="Z58" i="1"/>
  <c r="AA58" i="1"/>
  <c r="AB58" i="1"/>
  <c r="V59" i="1"/>
  <c r="W59" i="1" s="1"/>
  <c r="Z59" i="1"/>
  <c r="AA59" i="1"/>
  <c r="AB59" i="1"/>
  <c r="V60" i="1"/>
  <c r="W60" i="1" s="1"/>
  <c r="Z60" i="1"/>
  <c r="AA60" i="1"/>
  <c r="AB60" i="1"/>
  <c r="V61" i="1"/>
  <c r="X61" i="1" s="1"/>
  <c r="Z61" i="1"/>
  <c r="AA61" i="1"/>
  <c r="AB61" i="1"/>
  <c r="V62" i="1"/>
  <c r="W62" i="1" s="1"/>
  <c r="Z62" i="1"/>
  <c r="AA62" i="1"/>
  <c r="AB62" i="1"/>
  <c r="V63" i="1"/>
  <c r="W63" i="1" s="1"/>
  <c r="Z63" i="1"/>
  <c r="AA63" i="1"/>
  <c r="AB63" i="1"/>
  <c r="V64" i="1"/>
  <c r="W64" i="1" s="1"/>
  <c r="Z64" i="1"/>
  <c r="AA64" i="1"/>
  <c r="AB64" i="1"/>
  <c r="V65" i="1"/>
  <c r="X65" i="1" s="1"/>
  <c r="Z65" i="1"/>
  <c r="AA65" i="1"/>
  <c r="AB65" i="1"/>
  <c r="V66" i="1"/>
  <c r="W66" i="1" s="1"/>
  <c r="Z66" i="1"/>
  <c r="AA66" i="1"/>
  <c r="AB66" i="1"/>
  <c r="V67" i="1"/>
  <c r="W67" i="1" s="1"/>
  <c r="Z67" i="1"/>
  <c r="AA67" i="1"/>
  <c r="AB67" i="1"/>
  <c r="V68" i="1"/>
  <c r="W68" i="1" s="1"/>
  <c r="Z68" i="1"/>
  <c r="AA68" i="1"/>
  <c r="AB68" i="1"/>
  <c r="V69" i="1"/>
  <c r="W69" i="1" s="1"/>
  <c r="Z69" i="1"/>
  <c r="AA69" i="1"/>
  <c r="AB69" i="1"/>
  <c r="V70" i="1"/>
  <c r="W70" i="1" s="1"/>
  <c r="Z70" i="1"/>
  <c r="AA70" i="1"/>
  <c r="AB70" i="1"/>
  <c r="V71" i="1"/>
  <c r="Y71" i="1" s="1"/>
  <c r="Z71" i="1"/>
  <c r="AA71" i="1"/>
  <c r="AB71" i="1"/>
  <c r="V72" i="1"/>
  <c r="W72" i="1" s="1"/>
  <c r="Z72" i="1"/>
  <c r="AA72" i="1"/>
  <c r="AB72" i="1"/>
  <c r="V73" i="1"/>
  <c r="W73" i="1" s="1"/>
  <c r="Z73" i="1"/>
  <c r="AA73" i="1"/>
  <c r="AB73" i="1"/>
  <c r="V74" i="1"/>
  <c r="W74" i="1" s="1"/>
  <c r="Z74" i="1"/>
  <c r="AA74" i="1"/>
  <c r="AB74" i="1"/>
  <c r="V75" i="1"/>
  <c r="W75" i="1" s="1"/>
  <c r="Z75" i="1"/>
  <c r="AA75" i="1"/>
  <c r="AB75" i="1"/>
  <c r="V76" i="1"/>
  <c r="X76" i="1" s="1"/>
  <c r="Z76" i="1"/>
  <c r="AA76" i="1"/>
  <c r="AB76" i="1"/>
  <c r="V77" i="1"/>
  <c r="X77" i="1" s="1"/>
  <c r="Z77" i="1"/>
  <c r="AA77" i="1"/>
  <c r="AB77" i="1"/>
  <c r="V78" i="1"/>
  <c r="W78" i="1" s="1"/>
  <c r="Z78" i="1"/>
  <c r="AA78" i="1"/>
  <c r="AB78" i="1"/>
  <c r="V79" i="1"/>
  <c r="W79" i="1" s="1"/>
  <c r="Z79" i="1"/>
  <c r="AA79" i="1"/>
  <c r="AB79" i="1"/>
  <c r="V80" i="1"/>
  <c r="W80" i="1" s="1"/>
  <c r="Z80" i="1"/>
  <c r="AA80" i="1"/>
  <c r="AB80" i="1"/>
  <c r="V81" i="1"/>
  <c r="X81" i="1" s="1"/>
  <c r="Z81" i="1"/>
  <c r="AA81" i="1"/>
  <c r="AB81" i="1"/>
  <c r="V82" i="1"/>
  <c r="W82" i="1" s="1"/>
  <c r="Z82" i="1"/>
  <c r="AA82" i="1"/>
  <c r="AB82" i="1"/>
  <c r="V83" i="1"/>
  <c r="W83" i="1" s="1"/>
  <c r="Z83" i="1"/>
  <c r="AA83" i="1"/>
  <c r="AB83" i="1"/>
  <c r="V84" i="1"/>
  <c r="W84" i="1" s="1"/>
  <c r="Z84" i="1"/>
  <c r="AA84" i="1"/>
  <c r="AB84" i="1"/>
  <c r="V85" i="1"/>
  <c r="W85" i="1" s="1"/>
  <c r="Z85" i="1"/>
  <c r="AA85" i="1"/>
  <c r="AB85" i="1"/>
  <c r="V86" i="1"/>
  <c r="W86" i="1" s="1"/>
  <c r="Z86" i="1"/>
  <c r="AA86" i="1"/>
  <c r="AB86" i="1"/>
  <c r="V87" i="1"/>
  <c r="W87" i="1" s="1"/>
  <c r="Z87" i="1"/>
  <c r="AA87" i="1"/>
  <c r="AB87" i="1"/>
  <c r="V88" i="1"/>
  <c r="W88" i="1" s="1"/>
  <c r="Z88" i="1"/>
  <c r="AA88" i="1"/>
  <c r="AB88" i="1"/>
  <c r="V89" i="1"/>
  <c r="Y89" i="1" s="1"/>
  <c r="Z89" i="1"/>
  <c r="AA89" i="1"/>
  <c r="AB89" i="1"/>
  <c r="V90" i="1"/>
  <c r="W90" i="1" s="1"/>
  <c r="Z90" i="1"/>
  <c r="AA90" i="1"/>
  <c r="AB90" i="1"/>
  <c r="V91" i="1"/>
  <c r="X91" i="1" s="1"/>
  <c r="Z91" i="1"/>
  <c r="AA91" i="1"/>
  <c r="AB91" i="1"/>
  <c r="V92" i="1"/>
  <c r="X92" i="1" s="1"/>
  <c r="Z92" i="1"/>
  <c r="AA92" i="1"/>
  <c r="AB92" i="1"/>
  <c r="V93" i="1"/>
  <c r="X93" i="1" s="1"/>
  <c r="Z93" i="1"/>
  <c r="AA93" i="1"/>
  <c r="AB93" i="1"/>
  <c r="V94" i="1"/>
  <c r="W94" i="1" s="1"/>
  <c r="Z94" i="1"/>
  <c r="AA94" i="1"/>
  <c r="AB94" i="1"/>
  <c r="V95" i="1"/>
  <c r="Y95" i="1" s="1"/>
  <c r="Z95" i="1"/>
  <c r="AA95" i="1"/>
  <c r="AB95" i="1"/>
  <c r="V96" i="1"/>
  <c r="W96" i="1" s="1"/>
  <c r="Z96" i="1"/>
  <c r="AA96" i="1"/>
  <c r="AB96" i="1"/>
  <c r="V97" i="1"/>
  <c r="X97" i="1" s="1"/>
  <c r="Z97" i="1"/>
  <c r="AA97" i="1"/>
  <c r="AB97" i="1"/>
  <c r="V98" i="1"/>
  <c r="W98" i="1" s="1"/>
  <c r="Z98" i="1"/>
  <c r="AA98" i="1"/>
  <c r="AB98" i="1"/>
  <c r="V99" i="1"/>
  <c r="W99" i="1" s="1"/>
  <c r="Z99" i="1"/>
  <c r="AA99" i="1"/>
  <c r="AB99" i="1"/>
  <c r="V100" i="1"/>
  <c r="W100" i="1" s="1"/>
  <c r="Z100" i="1"/>
  <c r="AA100" i="1"/>
  <c r="AB100" i="1"/>
  <c r="V101" i="1"/>
  <c r="W101" i="1" s="1"/>
  <c r="Z101" i="1"/>
  <c r="AA101" i="1"/>
  <c r="AB101" i="1"/>
  <c r="V102" i="1"/>
  <c r="W102" i="1" s="1"/>
  <c r="Z102" i="1"/>
  <c r="AA102" i="1"/>
  <c r="AB102" i="1"/>
  <c r="V103" i="1"/>
  <c r="W103" i="1" s="1"/>
  <c r="Z103" i="1"/>
  <c r="AA103" i="1"/>
  <c r="AB103" i="1"/>
  <c r="V104" i="1"/>
  <c r="W104" i="1" s="1"/>
  <c r="Z104" i="1"/>
  <c r="AA104" i="1"/>
  <c r="AB104" i="1"/>
  <c r="V105" i="1"/>
  <c r="W105" i="1" s="1"/>
  <c r="Z105" i="1"/>
  <c r="AA105" i="1"/>
  <c r="AB105" i="1"/>
  <c r="V106" i="1"/>
  <c r="X106" i="1" s="1"/>
  <c r="Z106" i="1"/>
  <c r="AA106" i="1"/>
  <c r="AB106" i="1"/>
  <c r="V107" i="1"/>
  <c r="X107" i="1" s="1"/>
  <c r="Z107" i="1"/>
  <c r="AA107" i="1"/>
  <c r="AB107" i="1"/>
  <c r="V108" i="1"/>
  <c r="X108" i="1" s="1"/>
  <c r="Z108" i="1"/>
  <c r="AA108" i="1"/>
  <c r="AB108" i="1"/>
  <c r="V109" i="1"/>
  <c r="X109" i="1" s="1"/>
  <c r="Z109" i="1"/>
  <c r="AA109" i="1"/>
  <c r="AB109" i="1"/>
  <c r="V110" i="1"/>
  <c r="W110" i="1" s="1"/>
  <c r="Z110" i="1"/>
  <c r="AA110" i="1"/>
  <c r="AB110" i="1"/>
  <c r="V111" i="1"/>
  <c r="W111" i="1" s="1"/>
  <c r="Z111" i="1"/>
  <c r="AA111" i="1"/>
  <c r="AB111" i="1"/>
  <c r="V112" i="1"/>
  <c r="W112" i="1" s="1"/>
  <c r="Z112" i="1"/>
  <c r="AA112" i="1"/>
  <c r="AB112" i="1"/>
  <c r="V113" i="1"/>
  <c r="X113" i="1" s="1"/>
  <c r="Z113" i="1"/>
  <c r="AA113" i="1"/>
  <c r="AB113" i="1"/>
  <c r="V114" i="1"/>
  <c r="W114" i="1" s="1"/>
  <c r="Z114" i="1"/>
  <c r="AA114" i="1"/>
  <c r="AB114" i="1"/>
  <c r="V115" i="1"/>
  <c r="W115" i="1" s="1"/>
  <c r="Z115" i="1"/>
  <c r="AA115" i="1"/>
  <c r="AB115" i="1"/>
  <c r="V116" i="1"/>
  <c r="W116" i="1" s="1"/>
  <c r="Z116" i="1"/>
  <c r="AA116" i="1"/>
  <c r="AB116" i="1"/>
  <c r="V117" i="1"/>
  <c r="W117" i="1" s="1"/>
  <c r="Z117" i="1"/>
  <c r="AA117" i="1"/>
  <c r="AB117" i="1"/>
  <c r="V118" i="1"/>
  <c r="W118" i="1" s="1"/>
  <c r="Z118" i="1"/>
  <c r="AA118" i="1"/>
  <c r="AB118" i="1"/>
  <c r="V119" i="1"/>
  <c r="W119" i="1" s="1"/>
  <c r="Z119" i="1"/>
  <c r="AA119" i="1"/>
  <c r="AB119" i="1"/>
  <c r="V120" i="1"/>
  <c r="W120" i="1" s="1"/>
  <c r="Z120" i="1"/>
  <c r="AA120" i="1"/>
  <c r="AB120" i="1"/>
  <c r="V121" i="1"/>
  <c r="W121" i="1" s="1"/>
  <c r="Z121" i="1"/>
  <c r="AA121" i="1"/>
  <c r="AB121" i="1"/>
  <c r="V122" i="1"/>
  <c r="W122" i="1" s="1"/>
  <c r="Z122" i="1"/>
  <c r="AA122" i="1"/>
  <c r="AB122" i="1"/>
  <c r="V123" i="1"/>
  <c r="W123" i="1" s="1"/>
  <c r="Z123" i="1"/>
  <c r="AA123" i="1"/>
  <c r="AB123" i="1"/>
  <c r="V124" i="1"/>
  <c r="X124" i="1" s="1"/>
  <c r="Z124" i="1"/>
  <c r="AA124" i="1"/>
  <c r="AB124" i="1"/>
  <c r="V125" i="1"/>
  <c r="X125" i="1" s="1"/>
  <c r="Z125" i="1"/>
  <c r="AA125" i="1"/>
  <c r="AB125" i="1"/>
  <c r="V126" i="1"/>
  <c r="W126" i="1" s="1"/>
  <c r="Z126" i="1"/>
  <c r="AA126" i="1"/>
  <c r="AB126" i="1"/>
  <c r="V127" i="1"/>
  <c r="W127" i="1" s="1"/>
  <c r="Z127" i="1"/>
  <c r="AA127" i="1"/>
  <c r="AB127" i="1"/>
  <c r="V128" i="1"/>
  <c r="W128" i="1" s="1"/>
  <c r="Z128" i="1"/>
  <c r="AA128" i="1"/>
  <c r="AB128" i="1"/>
  <c r="V129" i="1"/>
  <c r="X129" i="1" s="1"/>
  <c r="Z129" i="1"/>
  <c r="AA129" i="1"/>
  <c r="AB129" i="1"/>
  <c r="V130" i="1"/>
  <c r="W130" i="1" s="1"/>
  <c r="Z130" i="1"/>
  <c r="AA130" i="1"/>
  <c r="AB130" i="1"/>
  <c r="V131" i="1"/>
  <c r="W131" i="1" s="1"/>
  <c r="Z131" i="1"/>
  <c r="AA131" i="1"/>
  <c r="AB131" i="1"/>
  <c r="V132" i="1"/>
  <c r="W132" i="1" s="1"/>
  <c r="Z132" i="1"/>
  <c r="AA132" i="1"/>
  <c r="AB132" i="1"/>
  <c r="V133" i="1"/>
  <c r="W133" i="1" s="1"/>
  <c r="Z133" i="1"/>
  <c r="AA133" i="1"/>
  <c r="AB133" i="1"/>
  <c r="V134" i="1"/>
  <c r="W134" i="1" s="1"/>
  <c r="Z134" i="1"/>
  <c r="AA134" i="1"/>
  <c r="AB134" i="1"/>
  <c r="V135" i="1"/>
  <c r="W135" i="1" s="1"/>
  <c r="Z135" i="1"/>
  <c r="AA135" i="1"/>
  <c r="AB135" i="1"/>
  <c r="V136" i="1"/>
  <c r="W136" i="1" s="1"/>
  <c r="Z136" i="1"/>
  <c r="AA136" i="1"/>
  <c r="AB136" i="1"/>
  <c r="V137" i="1"/>
  <c r="X137" i="1" s="1"/>
  <c r="Z137" i="1"/>
  <c r="AA137" i="1"/>
  <c r="AB137" i="1"/>
  <c r="V138" i="1"/>
  <c r="W138" i="1" s="1"/>
  <c r="Z138" i="1"/>
  <c r="AA138" i="1"/>
  <c r="AB138" i="1"/>
  <c r="V139" i="1"/>
  <c r="W139" i="1" s="1"/>
  <c r="Z139" i="1"/>
  <c r="AA139" i="1"/>
  <c r="AB139" i="1"/>
  <c r="V140" i="1"/>
  <c r="X140" i="1" s="1"/>
  <c r="Z140" i="1"/>
  <c r="AA140" i="1"/>
  <c r="AB140" i="1"/>
  <c r="V141" i="1"/>
  <c r="X141" i="1" s="1"/>
  <c r="Z141" i="1"/>
  <c r="AA141" i="1"/>
  <c r="AB141" i="1"/>
  <c r="X56" i="1" l="1"/>
  <c r="Y75" i="1"/>
  <c r="W47" i="1"/>
  <c r="X134" i="1"/>
  <c r="W137" i="1"/>
  <c r="X47" i="1"/>
  <c r="W27" i="1"/>
  <c r="Y50" i="1"/>
  <c r="W61" i="1"/>
  <c r="Y127" i="1"/>
  <c r="X127" i="1"/>
  <c r="W124" i="1"/>
  <c r="Y58" i="1"/>
  <c r="W55" i="1"/>
  <c r="Y64" i="1"/>
  <c r="Y57" i="1"/>
  <c r="W91" i="1"/>
  <c r="X64" i="1"/>
  <c r="X57" i="1"/>
  <c r="X38" i="1"/>
  <c r="Y139" i="1"/>
  <c r="X121" i="1"/>
  <c r="X139" i="1"/>
  <c r="X25" i="1"/>
  <c r="W89" i="1"/>
  <c r="Y121" i="1"/>
  <c r="X79" i="1"/>
  <c r="Y130" i="1"/>
  <c r="Y112" i="1"/>
  <c r="X85" i="1"/>
  <c r="X70" i="1"/>
  <c r="Y34" i="1"/>
  <c r="Y136" i="1"/>
  <c r="X136" i="1"/>
  <c r="Y129" i="1"/>
  <c r="Y126" i="1"/>
  <c r="X73" i="1"/>
  <c r="Y48" i="1"/>
  <c r="X22" i="1"/>
  <c r="Y91" i="1"/>
  <c r="Y51" i="1"/>
  <c r="X135" i="1"/>
  <c r="Y31" i="1"/>
  <c r="Y15" i="1"/>
  <c r="X59" i="1"/>
  <c r="X11" i="1"/>
  <c r="Y123" i="1"/>
  <c r="X120" i="1"/>
  <c r="X86" i="1"/>
  <c r="W71" i="1"/>
  <c r="X54" i="1"/>
  <c r="Y111" i="1"/>
  <c r="Y63" i="1"/>
  <c r="X111" i="1"/>
  <c r="X63" i="1"/>
  <c r="Y73" i="1"/>
  <c r="X24" i="1"/>
  <c r="W108" i="1"/>
  <c r="X98" i="1"/>
  <c r="W95" i="1"/>
  <c r="Y81" i="1"/>
  <c r="X40" i="1"/>
  <c r="W33" i="1"/>
  <c r="X104" i="1"/>
  <c r="W11" i="1"/>
  <c r="Y7" i="1"/>
  <c r="Y97" i="1"/>
  <c r="W97" i="1"/>
  <c r="X7" i="1"/>
  <c r="X123" i="1"/>
  <c r="X69" i="1"/>
  <c r="W17" i="1"/>
  <c r="X103" i="1"/>
  <c r="Y27" i="1"/>
  <c r="Y103" i="1"/>
  <c r="Y96" i="1"/>
  <c r="X89" i="1"/>
  <c r="X82" i="1"/>
  <c r="X122" i="1"/>
  <c r="Y105" i="1"/>
  <c r="Y16" i="1"/>
  <c r="Y119" i="1"/>
  <c r="X105" i="1"/>
  <c r="X119" i="1"/>
  <c r="X74" i="1"/>
  <c r="Y33" i="1"/>
  <c r="W125" i="1"/>
  <c r="Y122" i="1"/>
  <c r="W107" i="1"/>
  <c r="X95" i="1"/>
  <c r="X80" i="1"/>
  <c r="X71" i="1"/>
  <c r="Y25" i="1"/>
  <c r="X8" i="1"/>
  <c r="X112" i="1"/>
  <c r="W106" i="1"/>
  <c r="Y79" i="1"/>
  <c r="X34" i="1"/>
  <c r="W129" i="1"/>
  <c r="X114" i="1"/>
  <c r="X96" i="1"/>
  <c r="W93" i="1"/>
  <c r="W81" i="1"/>
  <c r="X72" i="1"/>
  <c r="Y90" i="1"/>
  <c r="Y39" i="1"/>
  <c r="Y23" i="1"/>
  <c r="Y138" i="1"/>
  <c r="X90" i="1"/>
  <c r="Y87" i="1"/>
  <c r="Y65" i="1"/>
  <c r="X39" i="1"/>
  <c r="X23" i="1"/>
  <c r="X138" i="1"/>
  <c r="Y135" i="1"/>
  <c r="Y120" i="1"/>
  <c r="X117" i="1"/>
  <c r="Y98" i="1"/>
  <c r="X87" i="1"/>
  <c r="Y74" i="1"/>
  <c r="W65" i="1"/>
  <c r="W49" i="1"/>
  <c r="Y107" i="1"/>
  <c r="X128" i="1"/>
  <c r="Y113" i="1"/>
  <c r="W92" i="1"/>
  <c r="Y80" i="1"/>
  <c r="W77" i="1"/>
  <c r="Y35" i="1"/>
  <c r="Y41" i="1"/>
  <c r="X42" i="1"/>
  <c r="X31" i="1"/>
  <c r="X130" i="1"/>
  <c r="Y82" i="1"/>
  <c r="Y59" i="1"/>
  <c r="X48" i="1"/>
  <c r="W45" i="1"/>
  <c r="Y42" i="1"/>
  <c r="Y19" i="1"/>
  <c r="W113" i="1"/>
  <c r="X88" i="1"/>
  <c r="W76" i="1"/>
  <c r="X16" i="1"/>
  <c r="W13" i="1"/>
  <c r="X10" i="1"/>
  <c r="Y110" i="1"/>
  <c r="X102" i="1"/>
  <c r="X50" i="1"/>
  <c r="Y18" i="1"/>
  <c r="X18" i="1"/>
  <c r="Y9" i="1"/>
  <c r="X75" i="1"/>
  <c r="X58" i="1"/>
  <c r="X41" i="1"/>
  <c r="Y32" i="1"/>
  <c r="X15" i="1"/>
  <c r="X9" i="1"/>
  <c r="X118" i="1"/>
  <c r="W109" i="1"/>
  <c r="X101" i="1"/>
  <c r="Y49" i="1"/>
  <c r="Y43" i="1"/>
  <c r="X32" i="1"/>
  <c r="W29" i="1"/>
  <c r="Y26" i="1"/>
  <c r="Y137" i="1"/>
  <c r="Y106" i="1"/>
  <c r="Y66" i="1"/>
  <c r="Y55" i="1"/>
  <c r="X43" i="1"/>
  <c r="X26" i="1"/>
  <c r="Y128" i="1"/>
  <c r="Y114" i="1"/>
  <c r="X66" i="1"/>
  <c r="Y17" i="1"/>
  <c r="W141" i="1"/>
  <c r="W140" i="1"/>
  <c r="Y132" i="1"/>
  <c r="Y116" i="1"/>
  <c r="Y100" i="1"/>
  <c r="Y84" i="1"/>
  <c r="Y68" i="1"/>
  <c r="Y52" i="1"/>
  <c r="Y36" i="1"/>
  <c r="Y20" i="1"/>
  <c r="Y141" i="1"/>
  <c r="X116" i="1"/>
  <c r="X100" i="1"/>
  <c r="Y93" i="1"/>
  <c r="X84" i="1"/>
  <c r="Y77" i="1"/>
  <c r="Y61" i="1"/>
  <c r="X52" i="1"/>
  <c r="Y45" i="1"/>
  <c r="X36" i="1"/>
  <c r="Y29" i="1"/>
  <c r="X20" i="1"/>
  <c r="Y13" i="1"/>
  <c r="X132" i="1"/>
  <c r="Y125" i="1"/>
  <c r="Y109" i="1"/>
  <c r="X68" i="1"/>
  <c r="Y134" i="1"/>
  <c r="Y118" i="1"/>
  <c r="Y102" i="1"/>
  <c r="Y86" i="1"/>
  <c r="Y70" i="1"/>
  <c r="Y54" i="1"/>
  <c r="Y38" i="1"/>
  <c r="Y22" i="1"/>
  <c r="Y6" i="1"/>
  <c r="X6" i="1"/>
  <c r="Y104" i="1"/>
  <c r="Y88" i="1"/>
  <c r="Y72" i="1"/>
  <c r="Y56" i="1"/>
  <c r="Y40" i="1"/>
  <c r="Y24" i="1"/>
  <c r="Y8" i="1"/>
  <c r="Y10" i="1"/>
  <c r="Y99" i="1"/>
  <c r="Y115" i="1"/>
  <c r="Y67" i="1"/>
  <c r="Y140" i="1"/>
  <c r="X131" i="1"/>
  <c r="Y124" i="1"/>
  <c r="X115" i="1"/>
  <c r="Y108" i="1"/>
  <c r="X99" i="1"/>
  <c r="Y92" i="1"/>
  <c r="X83" i="1"/>
  <c r="Y76" i="1"/>
  <c r="X67" i="1"/>
  <c r="Y60" i="1"/>
  <c r="X51" i="1"/>
  <c r="Y44" i="1"/>
  <c r="X35" i="1"/>
  <c r="Y28" i="1"/>
  <c r="X19" i="1"/>
  <c r="Y12" i="1"/>
  <c r="Y131" i="1"/>
  <c r="Y83" i="1"/>
  <c r="Y133" i="1"/>
  <c r="Y117" i="1"/>
  <c r="Y101" i="1"/>
  <c r="Y85" i="1"/>
  <c r="Y69" i="1"/>
  <c r="X60" i="1"/>
  <c r="Y53" i="1"/>
  <c r="X44" i="1"/>
  <c r="Y37" i="1"/>
  <c r="X28" i="1"/>
  <c r="Y21" i="1"/>
  <c r="X12" i="1"/>
  <c r="Y5" i="1"/>
  <c r="Y94" i="1"/>
  <c r="Y62" i="1"/>
  <c r="X53" i="1"/>
  <c r="Y46" i="1"/>
  <c r="X37" i="1"/>
  <c r="Y30" i="1"/>
  <c r="X21" i="1"/>
  <c r="Y14" i="1"/>
  <c r="X5" i="1"/>
  <c r="X133" i="1"/>
  <c r="Y78" i="1"/>
  <c r="X126" i="1"/>
  <c r="X110" i="1"/>
  <c r="X94" i="1"/>
  <c r="X78" i="1"/>
  <c r="X62" i="1"/>
  <c r="X46" i="1"/>
  <c r="X30" i="1"/>
  <c r="X14" i="1"/>
  <c r="V4" i="1" l="1"/>
  <c r="W4" i="1" s="1"/>
  <c r="V142" i="1"/>
  <c r="W142" i="1" s="1"/>
  <c r="V143" i="1"/>
  <c r="X143" i="1" s="1"/>
  <c r="V144" i="1"/>
  <c r="Y144" i="1" s="1"/>
  <c r="V145" i="1"/>
  <c r="Y145" i="1" s="1"/>
  <c r="V146" i="1"/>
  <c r="X146" i="1" s="1"/>
  <c r="V147" i="1"/>
  <c r="W147" i="1" s="1"/>
  <c r="V148" i="1"/>
  <c r="X148" i="1" s="1"/>
  <c r="V149" i="1"/>
  <c r="W149" i="1" s="1"/>
  <c r="AB4" i="1"/>
  <c r="AB142" i="1"/>
  <c r="AB143" i="1"/>
  <c r="AB144" i="1"/>
  <c r="AB145" i="1"/>
  <c r="AB146" i="1"/>
  <c r="AB147" i="1"/>
  <c r="AB148" i="1"/>
  <c r="AB149" i="1"/>
  <c r="Z4" i="1"/>
  <c r="Z142" i="1"/>
  <c r="Z143" i="1"/>
  <c r="Z144" i="1"/>
  <c r="Z145" i="1"/>
  <c r="Z146" i="1"/>
  <c r="Z147" i="1"/>
  <c r="Z148" i="1"/>
  <c r="Z149" i="1"/>
  <c r="AA4" i="1"/>
  <c r="AA142" i="1"/>
  <c r="AA143" i="1"/>
  <c r="AA144" i="1"/>
  <c r="AA145" i="1"/>
  <c r="AA146" i="1"/>
  <c r="AA147" i="1"/>
  <c r="AA148" i="1"/>
  <c r="AA149" i="1"/>
  <c r="X145" i="1" l="1"/>
  <c r="X144" i="1"/>
  <c r="Y146" i="1"/>
  <c r="Y143" i="1"/>
  <c r="Y142" i="1"/>
  <c r="Y4" i="1"/>
  <c r="Y149" i="1"/>
  <c r="Y148" i="1"/>
  <c r="Y147" i="1"/>
  <c r="W148" i="1"/>
  <c r="W146" i="1"/>
  <c r="X142" i="1"/>
  <c r="W145" i="1"/>
  <c r="W144" i="1"/>
  <c r="X4" i="1"/>
  <c r="W143" i="1"/>
  <c r="X149" i="1"/>
  <c r="X147" i="1"/>
</calcChain>
</file>

<file path=xl/sharedStrings.xml><?xml version="1.0" encoding="utf-8"?>
<sst xmlns="http://schemas.openxmlformats.org/spreadsheetml/2006/main" count="6753" uniqueCount="297">
  <si>
    <t>ÖZ BÜKME</t>
  </si>
  <si>
    <t>Kılıf parti</t>
  </si>
  <si>
    <t>Boy</t>
  </si>
  <si>
    <t>Tarih</t>
  </si>
  <si>
    <t>KILIF</t>
  </si>
  <si>
    <t>CAT 6S</t>
  </si>
  <si>
    <t>İshak</t>
  </si>
  <si>
    <t>L13-02</t>
  </si>
  <si>
    <t>Osman</t>
  </si>
  <si>
    <t>Makine</t>
  </si>
  <si>
    <t>Operatör</t>
  </si>
  <si>
    <t>Çekilen Makara Adet</t>
  </si>
  <si>
    <t>Çekilen Kutu Adet</t>
  </si>
  <si>
    <t>Artan Boy(m)</t>
  </si>
  <si>
    <t>Kangal</t>
  </si>
  <si>
    <t>Ahmet</t>
  </si>
  <si>
    <t>Ayhan</t>
  </si>
  <si>
    <t>L14-01</t>
  </si>
  <si>
    <t>Erdem</t>
  </si>
  <si>
    <t>L08-02</t>
  </si>
  <si>
    <t>L08-01</t>
  </si>
  <si>
    <t>L08-04</t>
  </si>
  <si>
    <t>01-28-18-2</t>
  </si>
  <si>
    <t>04-28-24-2</t>
  </si>
  <si>
    <t>L08-03</t>
  </si>
  <si>
    <t>Hasan</t>
  </si>
  <si>
    <t>02-28-27-1</t>
  </si>
  <si>
    <t>Rasim</t>
  </si>
  <si>
    <t>CAT 6R</t>
  </si>
  <si>
    <t>02-28-26-1</t>
  </si>
  <si>
    <t>Mevlüt</t>
  </si>
  <si>
    <t>L13-01</t>
  </si>
  <si>
    <t>Cevat</t>
  </si>
  <si>
    <t>01-28-18-1</t>
  </si>
  <si>
    <t>03-28-12-1</t>
  </si>
  <si>
    <t>L14-05</t>
  </si>
  <si>
    <t>Yavuz</t>
  </si>
  <si>
    <t>04-28-22-1</t>
  </si>
  <si>
    <t>04-28-23-1</t>
  </si>
  <si>
    <t>L14-08</t>
  </si>
  <si>
    <t>Rıdvan</t>
  </si>
  <si>
    <t>Bülent</t>
  </si>
  <si>
    <t>02-28-25-2</t>
  </si>
  <si>
    <t>Hakan</t>
  </si>
  <si>
    <t>L14-03</t>
  </si>
  <si>
    <t>03-28-4-2</t>
  </si>
  <si>
    <t>Sadık</t>
  </si>
  <si>
    <t>01-28-20--2</t>
  </si>
  <si>
    <t>L13-04</t>
  </si>
  <si>
    <t>01-28-10-2</t>
  </si>
  <si>
    <t>02-28-15-2</t>
  </si>
  <si>
    <t>Enes</t>
  </si>
  <si>
    <t>02-28-26-2</t>
  </si>
  <si>
    <t>04-28-24-1</t>
  </si>
  <si>
    <t>02-28-27-2</t>
  </si>
  <si>
    <t>04-28-21-2</t>
  </si>
  <si>
    <t>03-28-14-1</t>
  </si>
  <si>
    <t>03-28-14-3</t>
  </si>
  <si>
    <t>01-28-19-1</t>
  </si>
  <si>
    <t>03-28-13-1</t>
  </si>
  <si>
    <t>Reel</t>
  </si>
  <si>
    <t>04-29-3-1</t>
  </si>
  <si>
    <t>Emirhan</t>
  </si>
  <si>
    <t>Salih</t>
  </si>
  <si>
    <t>02-29-3-2</t>
  </si>
  <si>
    <t>Behçet</t>
  </si>
  <si>
    <t>Fatih</t>
  </si>
  <si>
    <t>Ersan</t>
  </si>
  <si>
    <t>04-29-7-2</t>
  </si>
  <si>
    <t>02-29-3-1</t>
  </si>
  <si>
    <t>02-29-9-1</t>
  </si>
  <si>
    <t>02-29-7-1</t>
  </si>
  <si>
    <t>04-29-6-1</t>
  </si>
  <si>
    <t>ÇIKARIMLAR</t>
  </si>
  <si>
    <t>İsmail</t>
  </si>
  <si>
    <t>02-29-10-2</t>
  </si>
  <si>
    <t>04-29-3-2</t>
  </si>
  <si>
    <t>04-29-8-1</t>
  </si>
  <si>
    <t>02-29-10-1</t>
  </si>
  <si>
    <t>Hülya</t>
  </si>
  <si>
    <t>01-29-1-2</t>
  </si>
  <si>
    <t>03-29-2-1</t>
  </si>
  <si>
    <t>02-29-12-1</t>
  </si>
  <si>
    <t>02-29-11-2</t>
  </si>
  <si>
    <t>04-29-9-1</t>
  </si>
  <si>
    <t>02-29-11-1</t>
  </si>
  <si>
    <t>Ürün tipi_x000D_
Yeni satır</t>
  </si>
  <si>
    <t>Ürün Seri_x000D_
Yeni satır</t>
  </si>
  <si>
    <t>Operatör_x000D_
Yeni satır</t>
  </si>
  <si>
    <t>Öz parti_x000D_
Yeni satır</t>
  </si>
  <si>
    <t>Boy_x000D_
Yeni satır</t>
  </si>
  <si>
    <t>Reel - Kangal 
Arası Fark</t>
  </si>
  <si>
    <t>Reel - Kılıf 
Arası Fark</t>
  </si>
  <si>
    <t>Reel - Öz 
Arası Fark</t>
  </si>
  <si>
    <t>Kılıf - Öz 
Arası Fark</t>
  </si>
  <si>
    <t>Yazı mak. 
Sayaç boy</t>
  </si>
  <si>
    <t>Yeşil Sütun Sayısı</t>
  </si>
  <si>
    <t>Kılıf</t>
  </si>
  <si>
    <t>Özbükme</t>
  </si>
  <si>
    <t>Kırmızı Sütun Sayısı</t>
  </si>
  <si>
    <t>KK.verilen 
numune (m)</t>
  </si>
  <si>
    <t>Güner</t>
  </si>
  <si>
    <t>04-29-12-1</t>
  </si>
  <si>
    <t>04-29-11-1</t>
  </si>
  <si>
    <t>04-29-10-2</t>
  </si>
  <si>
    <t>02-29-16-1</t>
  </si>
  <si>
    <t>02-29-14-2</t>
  </si>
  <si>
    <t>03-29-5-2</t>
  </si>
  <si>
    <t>03-29-4-2</t>
  </si>
  <si>
    <t>03-29-3-3</t>
  </si>
  <si>
    <t>02-29-15-1</t>
  </si>
  <si>
    <t>03-29-3-1</t>
  </si>
  <si>
    <t>03-29-4-1</t>
  </si>
  <si>
    <t>02-29-9-2</t>
  </si>
  <si>
    <t>04-29-12-2</t>
  </si>
  <si>
    <t>Sevil</t>
  </si>
  <si>
    <t>01-28-19-2</t>
  </si>
  <si>
    <t>Kangal - Kılıf Arası Fark</t>
  </si>
  <si>
    <t>Kangal - Öz Arası Fark</t>
  </si>
  <si>
    <t>03-29-6-1</t>
  </si>
  <si>
    <t>03-29-6-2</t>
  </si>
  <si>
    <t>Çetin</t>
  </si>
  <si>
    <t>L14-02</t>
  </si>
  <si>
    <t>02-29-15-2</t>
  </si>
  <si>
    <t>02-29-16-2</t>
  </si>
  <si>
    <t>01-29-2-1</t>
  </si>
  <si>
    <t>04-29-13-1</t>
  </si>
  <si>
    <t>Soner</t>
  </si>
  <si>
    <t>02-30-5-1</t>
  </si>
  <si>
    <t>03-30-3-1</t>
  </si>
  <si>
    <t>02-30-3-1</t>
  </si>
  <si>
    <t>03-30-2-1</t>
  </si>
  <si>
    <t>02-30-4-1</t>
  </si>
  <si>
    <t>02-30-7-1</t>
  </si>
  <si>
    <t>03-30-2-2</t>
  </si>
  <si>
    <t>CAT 6S 3D CCA</t>
  </si>
  <si>
    <t>Makine
Yeni satır</t>
  </si>
  <si>
    <t>* Reel ölçüme yakınlık baz alınarak yapılan bir yorum ve grafiktir.</t>
  </si>
  <si>
    <t>Column1</t>
  </si>
  <si>
    <t>Tarih2</t>
  </si>
  <si>
    <t>Makine3</t>
  </si>
  <si>
    <t>Operatör4</t>
  </si>
  <si>
    <t>Tarih5</t>
  </si>
  <si>
    <t xml:space="preserve">Operatör
</t>
  </si>
  <si>
    <t xml:space="preserve">Öz parti
</t>
  </si>
  <si>
    <t xml:space="preserve">Boy
</t>
  </si>
  <si>
    <t xml:space="preserve">Ürün Seri
</t>
  </si>
  <si>
    <t xml:space="preserve">Makine
</t>
  </si>
  <si>
    <t xml:space="preserve">Ürün tipi
</t>
  </si>
  <si>
    <t>* Kangal-Reel uzunluk farkına göre en verimli 30 üretim.</t>
  </si>
  <si>
    <t>* Kangal-Kılıf kalibrasyonuna göre en verimli 15 üretim.</t>
  </si>
  <si>
    <t>Name</t>
  </si>
  <si>
    <t>Count</t>
  </si>
  <si>
    <t xml:space="preserve">* En iyi performans gösteren 15 iş emri için kullanılan makineler. </t>
  </si>
  <si>
    <t>02-30-11-1</t>
  </si>
  <si>
    <t>02-30-13-1</t>
  </si>
  <si>
    <t>03-30-5-2</t>
  </si>
  <si>
    <t>03-30-3-2</t>
  </si>
  <si>
    <t>03-30-4-1</t>
  </si>
  <si>
    <t>05-30-5-1</t>
  </si>
  <si>
    <t>02-30-12-1</t>
  </si>
  <si>
    <t>03-30-7-1</t>
  </si>
  <si>
    <t>02-30-12-2</t>
  </si>
  <si>
    <t>L13-03</t>
  </si>
  <si>
    <t>02-28-28-2</t>
  </si>
  <si>
    <t>03-30-6-1</t>
  </si>
  <si>
    <t>03-30-4-2</t>
  </si>
  <si>
    <t>02-30-10-1</t>
  </si>
  <si>
    <t>04-29-11-2</t>
  </si>
  <si>
    <t>02-30-13-2</t>
  </si>
  <si>
    <t>03-30-8-1</t>
  </si>
  <si>
    <t>02-30-15-1</t>
  </si>
  <si>
    <t>02-30-14-1</t>
  </si>
  <si>
    <t>01-29-3-1</t>
  </si>
  <si>
    <t>02-30-14-2</t>
  </si>
  <si>
    <t>02-30-13-3</t>
  </si>
  <si>
    <t>03-30-7-2</t>
  </si>
  <si>
    <t>03-30-9-1</t>
  </si>
  <si>
    <t>03-30-8-2</t>
  </si>
  <si>
    <t>03-30-6-2</t>
  </si>
  <si>
    <t>Makine Adı</t>
  </si>
  <si>
    <t>Ortalama Reel Uzunluk (m)</t>
  </si>
  <si>
    <t>Ortalama Sapma Miktarı (m)</t>
  </si>
  <si>
    <t>Ortalama Sapma Yüzdesi (%)</t>
  </si>
  <si>
    <t>Uzun(+)/Kısa(-)</t>
  </si>
  <si>
    <t>02-30-26-3</t>
  </si>
  <si>
    <t>02-30-26-2</t>
  </si>
  <si>
    <t>02-30-26-1</t>
  </si>
  <si>
    <t>02-30-26-4</t>
  </si>
  <si>
    <t>04-30-2-2</t>
  </si>
  <si>
    <t>04-30-3-2</t>
  </si>
  <si>
    <t>04-30-1-2</t>
  </si>
  <si>
    <t>04-30-1-1</t>
  </si>
  <si>
    <t>02-30-20-1</t>
  </si>
  <si>
    <t>02-30-10-2</t>
  </si>
  <si>
    <t>02-29-7-2</t>
  </si>
  <si>
    <t xml:space="preserve"> 02-30-1-1</t>
  </si>
  <si>
    <t>Length Correction</t>
  </si>
  <si>
    <t>02-30-27-2</t>
  </si>
  <si>
    <t>04-31-1-1</t>
  </si>
  <si>
    <t>04-31-2-1</t>
  </si>
  <si>
    <t>04.31-1-1</t>
  </si>
  <si>
    <t>04-31-3-1</t>
  </si>
  <si>
    <t>Çekilen Ort. Boy
[Reel] (m)</t>
  </si>
  <si>
    <t>Ort. Sapma Miktarı
(m)</t>
  </si>
  <si>
    <t>Ort. Sapma Miktarı
(%)</t>
  </si>
  <si>
    <t>* Kılıf hattı makinelerinde hangi makinenin olması gerekenden kaç m fazla ölçüm yaptığını gösteren tablo</t>
  </si>
  <si>
    <t>(Ortalama sapma miktarının '-' çıkması normalde ölçmesi gerekenden daha uzun ölçtüğünü gösteriyor.)</t>
  </si>
  <si>
    <t>Kullanım Sayısı</t>
  </si>
  <si>
    <t>Yüzdelik</t>
  </si>
  <si>
    <t>04-31-2-2</t>
  </si>
  <si>
    <t>04-31-3-2</t>
  </si>
  <si>
    <t>04-31-4-2</t>
  </si>
  <si>
    <t>04-31-4-1</t>
  </si>
  <si>
    <t>02-31-7-1</t>
  </si>
  <si>
    <t>04-31-8-1</t>
  </si>
  <si>
    <t>04-31-15-1</t>
  </si>
  <si>
    <t>04-31-13-2</t>
  </si>
  <si>
    <t>Ali Osman</t>
  </si>
  <si>
    <t>04-31-13-1</t>
  </si>
  <si>
    <t>03-31-11-1</t>
  </si>
  <si>
    <t>01-31-3-1</t>
  </si>
  <si>
    <t>04-31-12-1</t>
  </si>
  <si>
    <t xml:space="preserve">Enes </t>
  </si>
  <si>
    <t>04-31-10-1</t>
  </si>
  <si>
    <t>04-31-7-2</t>
  </si>
  <si>
    <t>04-31-8-2</t>
  </si>
  <si>
    <t>04-31-9-1</t>
  </si>
  <si>
    <t>04-34-14-1</t>
  </si>
  <si>
    <t>01-32-1-1</t>
  </si>
  <si>
    <t>4-31-17-1</t>
  </si>
  <si>
    <t>Mustafa</t>
  </si>
  <si>
    <t>4-31-16-1</t>
  </si>
  <si>
    <t>04-31-9-2</t>
  </si>
  <si>
    <t>04-31-6-1</t>
  </si>
  <si>
    <t>04-32-1-1</t>
  </si>
  <si>
    <t>01-32-2-1</t>
  </si>
  <si>
    <t>01-32-2-2</t>
  </si>
  <si>
    <t>Mert</t>
  </si>
  <si>
    <t>01-32-3-1</t>
  </si>
  <si>
    <t>4-31-17-2</t>
  </si>
  <si>
    <t>01-31-1-2</t>
  </si>
  <si>
    <t>03-32-11-1</t>
  </si>
  <si>
    <t>01-32-3-2</t>
  </si>
  <si>
    <t>03-31-11-2</t>
  </si>
  <si>
    <t>03-32-10-1</t>
  </si>
  <si>
    <t>4-32-3-2</t>
  </si>
  <si>
    <t>Emrah</t>
  </si>
  <si>
    <t>04-32-6-1</t>
  </si>
  <si>
    <t>04-32-5-1</t>
  </si>
  <si>
    <t>02-32-14-1</t>
  </si>
  <si>
    <t>2-32-11-1</t>
  </si>
  <si>
    <t>3-32-9-1</t>
  </si>
  <si>
    <t>02-32-123-1</t>
  </si>
  <si>
    <t>3-32-8-1</t>
  </si>
  <si>
    <t>2-32-12-1</t>
  </si>
  <si>
    <t>1-32-4-1</t>
  </si>
  <si>
    <t>4-32-3-1</t>
  </si>
  <si>
    <t>02-32-15-1</t>
  </si>
  <si>
    <t>02-32-16-1</t>
  </si>
  <si>
    <t>2-32-17-1</t>
  </si>
  <si>
    <t>04-32-4-2</t>
  </si>
  <si>
    <t>04-32-7-1</t>
  </si>
  <si>
    <t>02-32-19-1</t>
  </si>
  <si>
    <t>3-32-9-2</t>
  </si>
  <si>
    <t>4-32-9-2</t>
  </si>
  <si>
    <t>02-32-22-1</t>
  </si>
  <si>
    <t>02-32-15-2</t>
  </si>
  <si>
    <t>2-32-23-1</t>
  </si>
  <si>
    <t>03-32-14-1</t>
  </si>
  <si>
    <t>02-32-19-2</t>
  </si>
  <si>
    <t>02-32-22-2</t>
  </si>
  <si>
    <t>02-32-20-1</t>
  </si>
  <si>
    <t>04-32-7-2</t>
  </si>
  <si>
    <t>01-32-11-1</t>
  </si>
  <si>
    <t>01-32-10-1</t>
  </si>
  <si>
    <t>01-32-7-2</t>
  </si>
  <si>
    <t>01-32-7-1</t>
  </si>
  <si>
    <t>01-32-9-1</t>
  </si>
  <si>
    <t>01-32-6-1</t>
  </si>
  <si>
    <t>2-32-18-2</t>
  </si>
  <si>
    <t>1-32-5-2</t>
  </si>
  <si>
    <t>02-32-16-2</t>
  </si>
  <si>
    <t>03-32-11-2</t>
  </si>
  <si>
    <t>01-32-14-1</t>
  </si>
  <si>
    <t>3-32-15-1</t>
  </si>
  <si>
    <t>01-32-12-1</t>
  </si>
  <si>
    <t>1-32-13-1</t>
  </si>
  <si>
    <t>CAT 6 3D CCA</t>
  </si>
  <si>
    <t>Length Corrector</t>
  </si>
  <si>
    <t>Ort. Reel Boy (m)</t>
  </si>
  <si>
    <t>Ort. Sayaç Boyu (m)</t>
  </si>
  <si>
    <t>Ort. Sapma (m)</t>
  </si>
  <si>
    <t>Ort. Sapma (%)</t>
  </si>
  <si>
    <t>0.995</t>
  </si>
  <si>
    <t>0.998</t>
  </si>
  <si>
    <t>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</si>
</sst>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5" x14ac:knownFonts="1">
    <font>
      <sz val="10"/>
      <color theme="1"/>
      <name val="Arial"/>
      <family val="2"/>
      <charset val="162"/>
    </font>
    <font>
      <sz val="8"/>
      <name val="Arial"/>
      <family val="2"/>
      <charset val="162"/>
    </font>
    <font>
      <sz val="25"/>
      <color theme="1"/>
      <name val="Arial"/>
      <family val="2"/>
      <charset val="162"/>
    </font>
    <font>
      <b/>
      <sz val="25"/>
      <color theme="1"/>
      <name val="Arial"/>
      <family val="2"/>
      <charset val="162"/>
    </font>
    <font>
      <b/>
      <sz val="20"/>
      <color theme="1"/>
      <name val="Arial"/>
      <family val="2"/>
      <charset val="162"/>
    </font>
    <font>
      <sz val="20"/>
      <color theme="1"/>
      <name val="Arial"/>
      <family val="2"/>
      <charset val="162"/>
    </font>
    <font>
      <b/>
      <sz val="15"/>
      <color theme="1"/>
      <name val="Arial"/>
      <family val="2"/>
      <charset val="162"/>
    </font>
    <font>
      <b/>
      <sz val="20"/>
      <color rgb="FFFF0000"/>
      <name val="Arial"/>
      <family val="2"/>
      <charset val="162"/>
    </font>
    <font>
      <sz val="15"/>
      <color theme="1"/>
      <name val="Arial"/>
      <family val="2"/>
      <charset val="162"/>
    </font>
    <font>
      <sz val="25"/>
      <name val="Arial"/>
      <family val="2"/>
      <charset val="162"/>
    </font>
    <font>
      <sz val="15"/>
      <name val="Arial"/>
      <family val="2"/>
      <charset val="162"/>
    </font>
    <font>
      <b/>
      <sz val="25"/>
      <color rgb="FFFF0000"/>
      <name val="Arial"/>
      <family val="2"/>
      <charset val="162"/>
    </font>
    <font>
      <b/>
      <sz val="25"/>
      <color rgb="FF006400"/>
      <name val="Arial"/>
      <family val="2"/>
      <charset val="162"/>
    </font>
    <font>
      <b/>
      <sz val="25"/>
      <color rgb="FF000000"/>
      <name val="Arial"/>
      <family val="2"/>
      <charset val="162"/>
    </font>
    <font>
      <sz val="25"/>
      <color rgb="FF000000"/>
      <name val="Arial"/>
      <family val="2"/>
      <charset val="162"/>
    </font>
  </fonts>
  <fills count="25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E5E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FFF3BF"/>
        <bgColor indexed="64"/>
      </patternFill>
    </fill>
    <fill>
      <patternFill patternType="solid">
        <fgColor rgb="FFADD8E6"/>
        <bgColor indexed="64"/>
      </patternFill>
    </fill>
    <fill>
      <patternFill patternType="solid">
        <fgColor rgb="FFFFFACD"/>
        <bgColor indexed="64"/>
      </patternFill>
    </fill>
    <fill>
      <patternFill patternType="solid">
        <fgColor rgb="FFD3D3D3"/>
        <bgColor indexed="64"/>
      </patternFill>
    </fill>
    <fill>
      <patternFill patternType="solid">
        <fgColor rgb="FFD8FFD8"/>
        <bgColor indexed="64"/>
      </patternFill>
    </fill>
    <fill>
      <patternFill patternType="solid">
        <fgColor rgb="FFFFFFE0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D9D9D9"/>
        <bgColor rgb="FFD9D9D9"/>
      </patternFill>
    </fill>
  </fills>
  <borders count="7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medium">
        <color indexed="64"/>
      </top>
      <bottom/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ck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ck">
        <color indexed="64"/>
      </right>
      <top/>
      <bottom/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ck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indexed="64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indexed="64"/>
      </bottom>
      <diagonal/>
    </border>
    <border>
      <left style="thick">
        <color auto="1"/>
      </left>
      <right style="thin">
        <color auto="1"/>
      </right>
      <top style="thick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indexed="64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indexed="64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ck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indexed="64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312">
    <xf numFmtId="0" fontId="0" fillId="0" borderId="0" xfId="0"/>
    <xf numFmtId="0" fontId="2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3" borderId="16" xfId="0" applyFont="1" applyFill="1" applyBorder="1" applyAlignment="1">
      <alignment horizontal="center" vertical="center"/>
    </xf>
    <xf numFmtId="0" fontId="3" fillId="2" borderId="14" xfId="0" applyFont="1" applyFill="1" applyBorder="1" applyAlignment="1">
      <alignment horizontal="center" vertical="center"/>
    </xf>
    <xf numFmtId="0" fontId="3" fillId="2" borderId="15" xfId="0" applyFont="1" applyFill="1" applyBorder="1" applyAlignment="1">
      <alignment horizontal="center" vertical="center"/>
    </xf>
    <xf numFmtId="0" fontId="3" fillId="2" borderId="16" xfId="0" applyFont="1" applyFill="1" applyBorder="1" applyAlignment="1">
      <alignment horizontal="center" vertical="center"/>
    </xf>
    <xf numFmtId="0" fontId="3" fillId="4" borderId="22" xfId="0" applyFont="1" applyFill="1" applyBorder="1" applyAlignment="1">
      <alignment horizontal="center" vertical="center"/>
    </xf>
    <xf numFmtId="0" fontId="3" fillId="4" borderId="23" xfId="0" applyFont="1" applyFill="1" applyBorder="1" applyAlignment="1">
      <alignment horizontal="center" vertical="center"/>
    </xf>
    <xf numFmtId="0" fontId="3" fillId="4" borderId="23" xfId="0" applyFont="1" applyFill="1" applyBorder="1" applyAlignment="1">
      <alignment horizontal="center" vertical="center" wrapText="1"/>
    </xf>
    <xf numFmtId="0" fontId="3" fillId="4" borderId="24" xfId="0" applyFont="1" applyFill="1" applyBorder="1" applyAlignment="1">
      <alignment horizontal="center" vertical="center"/>
    </xf>
    <xf numFmtId="0" fontId="2" fillId="3" borderId="17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14" fontId="2" fillId="3" borderId="18" xfId="0" applyNumberFormat="1" applyFont="1" applyFill="1" applyBorder="1" applyAlignment="1">
      <alignment horizontal="center" vertical="center"/>
    </xf>
    <xf numFmtId="0" fontId="2" fillId="2" borderId="17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14" fontId="2" fillId="2" borderId="18" xfId="0" applyNumberFormat="1" applyFont="1" applyFill="1" applyBorder="1" applyAlignment="1">
      <alignment horizontal="center" vertical="center"/>
    </xf>
    <xf numFmtId="0" fontId="2" fillId="4" borderId="17" xfId="0" applyFont="1" applyFill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14" fontId="2" fillId="4" borderId="1" xfId="0" applyNumberFormat="1" applyFont="1" applyFill="1" applyBorder="1" applyAlignment="1">
      <alignment horizontal="center" vertical="center"/>
    </xf>
    <xf numFmtId="0" fontId="3" fillId="4" borderId="1" xfId="0" applyFont="1" applyFill="1" applyBorder="1" applyAlignment="1">
      <alignment horizontal="center" vertical="center"/>
    </xf>
    <xf numFmtId="0" fontId="2" fillId="4" borderId="18" xfId="0" applyFont="1" applyFill="1" applyBorder="1" applyAlignment="1">
      <alignment horizontal="center" vertical="center"/>
    </xf>
    <xf numFmtId="0" fontId="3" fillId="6" borderId="33" xfId="0" applyFont="1" applyFill="1" applyBorder="1" applyAlignment="1">
      <alignment horizontal="center" vertical="center"/>
    </xf>
    <xf numFmtId="0" fontId="3" fillId="5" borderId="31" xfId="0" applyNumberFormat="1" applyFont="1" applyFill="1" applyBorder="1" applyAlignment="1">
      <alignment horizontal="center" vertical="center"/>
    </xf>
    <xf numFmtId="0" fontId="3" fillId="6" borderId="10" xfId="0" applyFont="1" applyFill="1" applyBorder="1" applyAlignment="1">
      <alignment horizontal="center" vertical="center"/>
    </xf>
    <xf numFmtId="0" fontId="3" fillId="5" borderId="10" xfId="0" applyFont="1" applyFill="1" applyBorder="1" applyAlignment="1">
      <alignment horizontal="center" vertical="center"/>
    </xf>
    <xf numFmtId="0" fontId="3" fillId="5" borderId="33" xfId="0" applyFont="1" applyFill="1" applyBorder="1" applyAlignment="1">
      <alignment horizontal="center" vertical="center"/>
    </xf>
    <xf numFmtId="16" fontId="2" fillId="2" borderId="17" xfId="0" applyNumberFormat="1" applyFont="1" applyFill="1" applyBorder="1" applyAlignment="1">
      <alignment horizontal="center" vertical="center"/>
    </xf>
    <xf numFmtId="0" fontId="2" fillId="3" borderId="18" xfId="0" applyFont="1" applyFill="1" applyBorder="1" applyAlignment="1">
      <alignment horizontal="center" vertical="center"/>
    </xf>
    <xf numFmtId="0" fontId="2" fillId="2" borderId="18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 vertical="center"/>
    </xf>
    <xf numFmtId="0" fontId="2" fillId="0" borderId="0" xfId="0" applyFont="1"/>
    <xf numFmtId="0" fontId="3" fillId="3" borderId="14" xfId="0" applyFont="1" applyFill="1" applyBorder="1" applyAlignment="1">
      <alignment horizontal="center" vertical="center" wrapText="1"/>
    </xf>
    <xf numFmtId="0" fontId="3" fillId="3" borderId="15" xfId="0" applyFont="1" applyFill="1" applyBorder="1" applyAlignment="1">
      <alignment horizontal="center" vertical="center" wrapText="1"/>
    </xf>
    <xf numFmtId="0" fontId="3" fillId="7" borderId="35" xfId="0" applyFont="1" applyFill="1" applyBorder="1" applyAlignment="1">
      <alignment horizontal="center" vertical="center"/>
    </xf>
    <xf numFmtId="0" fontId="2" fillId="7" borderId="11" xfId="0" applyFont="1" applyFill="1" applyBorder="1" applyAlignment="1">
      <alignment horizontal="center" vertical="center"/>
    </xf>
    <xf numFmtId="0" fontId="2" fillId="7" borderId="1" xfId="0" applyFont="1" applyFill="1" applyBorder="1" applyAlignment="1">
      <alignment horizontal="center" vertical="center"/>
    </xf>
    <xf numFmtId="0" fontId="3" fillId="7" borderId="34" xfId="0" applyFont="1" applyFill="1" applyBorder="1" applyAlignment="1">
      <alignment horizontal="center" vertical="center"/>
    </xf>
    <xf numFmtId="0" fontId="3" fillId="7" borderId="13" xfId="0" applyFont="1" applyFill="1" applyBorder="1" applyAlignment="1">
      <alignment horizontal="center" vertical="center" wrapText="1"/>
    </xf>
    <xf numFmtId="0" fontId="3" fillId="7" borderId="0" xfId="0" applyFont="1" applyFill="1" applyAlignment="1">
      <alignment horizontal="center" vertical="center"/>
    </xf>
    <xf numFmtId="0" fontId="2" fillId="7" borderId="0" xfId="0" applyFont="1" applyFill="1" applyAlignment="1">
      <alignment horizontal="center" vertical="center"/>
    </xf>
    <xf numFmtId="0" fontId="2" fillId="7" borderId="0" xfId="0" applyFont="1" applyFill="1"/>
    <xf numFmtId="0" fontId="2" fillId="8" borderId="10" xfId="0" applyFont="1" applyFill="1" applyBorder="1" applyAlignment="1">
      <alignment horizontal="center" vertical="center"/>
    </xf>
    <xf numFmtId="0" fontId="2" fillId="8" borderId="33" xfId="0" applyFont="1" applyFill="1" applyBorder="1" applyAlignment="1">
      <alignment horizontal="center" vertical="center"/>
    </xf>
    <xf numFmtId="0" fontId="2" fillId="8" borderId="30" xfId="0" applyNumberFormat="1" applyFont="1" applyFill="1" applyBorder="1" applyAlignment="1">
      <alignment horizontal="center" vertical="center"/>
    </xf>
    <xf numFmtId="0" fontId="3" fillId="7" borderId="2" xfId="0" applyFont="1" applyFill="1" applyBorder="1" applyAlignment="1">
      <alignment horizontal="center" vertical="center" wrapText="1"/>
    </xf>
    <xf numFmtId="0" fontId="3" fillId="0" borderId="0" xfId="0" applyFont="1" applyFill="1" applyAlignment="1">
      <alignment horizontal="center" vertical="center"/>
    </xf>
    <xf numFmtId="0" fontId="2" fillId="0" borderId="0" xfId="0" applyFont="1" applyFill="1" applyAlignment="1">
      <alignment horizontal="center" vertical="center"/>
    </xf>
    <xf numFmtId="0" fontId="2" fillId="8" borderId="12" xfId="0" applyFont="1" applyFill="1" applyBorder="1" applyAlignment="1">
      <alignment horizontal="center" vertical="center" wrapText="1"/>
    </xf>
    <xf numFmtId="0" fontId="2" fillId="8" borderId="9" xfId="0" applyFont="1" applyFill="1" applyBorder="1" applyAlignment="1">
      <alignment horizontal="center" vertical="center" wrapText="1"/>
    </xf>
    <xf numFmtId="0" fontId="2" fillId="8" borderId="32" xfId="0" applyFont="1" applyFill="1" applyBorder="1" applyAlignment="1">
      <alignment horizontal="center" vertical="center" wrapText="1"/>
    </xf>
    <xf numFmtId="0" fontId="0" fillId="7" borderId="27" xfId="0" applyFill="1" applyBorder="1"/>
    <xf numFmtId="0" fontId="0" fillId="7" borderId="28" xfId="0" applyFill="1" applyBorder="1"/>
    <xf numFmtId="0" fontId="0" fillId="7" borderId="29" xfId="0" applyFill="1" applyBorder="1"/>
    <xf numFmtId="0" fontId="3" fillId="7" borderId="36" xfId="0" applyFont="1" applyFill="1" applyBorder="1" applyAlignment="1">
      <alignment horizontal="center" vertical="center" wrapText="1"/>
    </xf>
    <xf numFmtId="0" fontId="2" fillId="7" borderId="10" xfId="0" applyFont="1" applyFill="1" applyBorder="1" applyAlignment="1">
      <alignment horizontal="center" vertical="center"/>
    </xf>
    <xf numFmtId="0" fontId="2" fillId="9" borderId="0" xfId="0" applyFont="1" applyFill="1" applyBorder="1" applyAlignment="1">
      <alignment horizontal="center" vertical="center"/>
    </xf>
    <xf numFmtId="0" fontId="2" fillId="9" borderId="0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0" fontId="0" fillId="0" borderId="0" xfId="0" applyAlignment="1"/>
    <xf numFmtId="0" fontId="6" fillId="4" borderId="22" xfId="0" applyFont="1" applyFill="1" applyBorder="1" applyAlignment="1">
      <alignment horizontal="center" vertical="center"/>
    </xf>
    <xf numFmtId="0" fontId="6" fillId="4" borderId="23" xfId="0" applyFont="1" applyFill="1" applyBorder="1" applyAlignment="1">
      <alignment horizontal="center" vertical="center"/>
    </xf>
    <xf numFmtId="0" fontId="6" fillId="4" borderId="23" xfId="0" applyFont="1" applyFill="1" applyBorder="1" applyAlignment="1">
      <alignment horizontal="center" vertical="center" wrapText="1"/>
    </xf>
    <xf numFmtId="0" fontId="6" fillId="4" borderId="24" xfId="0" applyFont="1" applyFill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6" fillId="7" borderId="47" xfId="0" applyFont="1" applyFill="1" applyBorder="1" applyAlignment="1">
      <alignment horizontal="center" vertical="center"/>
    </xf>
    <xf numFmtId="0" fontId="6" fillId="8" borderId="38" xfId="0" applyFont="1" applyFill="1" applyBorder="1" applyAlignment="1">
      <alignment horizontal="center" vertical="center" wrapText="1"/>
    </xf>
    <xf numFmtId="0" fontId="6" fillId="8" borderId="48" xfId="0" applyFont="1" applyFill="1" applyBorder="1" applyAlignment="1">
      <alignment horizontal="center" vertical="center" wrapText="1"/>
    </xf>
    <xf numFmtId="0" fontId="6" fillId="8" borderId="45" xfId="0" applyFont="1" applyFill="1" applyBorder="1" applyAlignment="1">
      <alignment horizontal="center" vertical="center" wrapText="1"/>
    </xf>
    <xf numFmtId="0" fontId="6" fillId="7" borderId="46" xfId="0" applyFont="1" applyFill="1" applyBorder="1" applyAlignment="1">
      <alignment horizontal="center" vertical="center" wrapText="1"/>
    </xf>
    <xf numFmtId="0" fontId="6" fillId="7" borderId="15" xfId="0" applyFont="1" applyFill="1" applyBorder="1" applyAlignment="1">
      <alignment horizontal="center" vertical="center" wrapText="1"/>
    </xf>
    <xf numFmtId="0" fontId="6" fillId="7" borderId="16" xfId="0" applyFont="1" applyFill="1" applyBorder="1" applyAlignment="1">
      <alignment horizontal="center" vertical="center" wrapText="1"/>
    </xf>
    <xf numFmtId="0" fontId="6" fillId="3" borderId="49" xfId="0" applyFont="1" applyFill="1" applyBorder="1" applyAlignment="1">
      <alignment horizontal="center" vertical="center" wrapText="1"/>
    </xf>
    <xf numFmtId="0" fontId="6" fillId="3" borderId="23" xfId="0" applyFont="1" applyFill="1" applyBorder="1" applyAlignment="1">
      <alignment horizontal="center" vertical="center" wrapText="1"/>
    </xf>
    <xf numFmtId="0" fontId="6" fillId="3" borderId="24" xfId="0" applyFont="1" applyFill="1" applyBorder="1" applyAlignment="1">
      <alignment horizontal="center" vertical="center"/>
    </xf>
    <xf numFmtId="0" fontId="6" fillId="2" borderId="22" xfId="0" applyFont="1" applyFill="1" applyBorder="1" applyAlignment="1">
      <alignment horizontal="center" vertical="center"/>
    </xf>
    <xf numFmtId="0" fontId="6" fillId="2" borderId="23" xfId="0" applyFont="1" applyFill="1" applyBorder="1" applyAlignment="1">
      <alignment horizontal="center" vertical="center"/>
    </xf>
    <xf numFmtId="0" fontId="6" fillId="2" borderId="24" xfId="0" applyFont="1" applyFill="1" applyBorder="1" applyAlignment="1">
      <alignment horizontal="center" vertical="center"/>
    </xf>
    <xf numFmtId="0" fontId="5" fillId="7" borderId="40" xfId="0" applyFont="1" applyFill="1" applyBorder="1"/>
    <xf numFmtId="0" fontId="5" fillId="7" borderId="0" xfId="0" applyFont="1" applyFill="1" applyBorder="1"/>
    <xf numFmtId="0" fontId="4" fillId="9" borderId="17" xfId="0" applyFont="1" applyFill="1" applyBorder="1" applyAlignment="1">
      <alignment horizontal="center" vertical="center"/>
    </xf>
    <xf numFmtId="0" fontId="4" fillId="9" borderId="1" xfId="0" applyFont="1" applyFill="1" applyBorder="1" applyAlignment="1">
      <alignment horizontal="center" vertical="center"/>
    </xf>
    <xf numFmtId="0" fontId="4" fillId="9" borderId="18" xfId="0" applyFont="1" applyFill="1" applyBorder="1" applyAlignment="1">
      <alignment horizontal="center" vertical="center"/>
    </xf>
    <xf numFmtId="0" fontId="5" fillId="9" borderId="19" xfId="0" applyFont="1" applyFill="1" applyBorder="1" applyAlignment="1">
      <alignment horizontal="center" vertical="center"/>
    </xf>
    <xf numFmtId="0" fontId="5" fillId="9" borderId="20" xfId="0" applyFont="1" applyFill="1" applyBorder="1" applyAlignment="1">
      <alignment horizontal="center" vertical="center"/>
    </xf>
    <xf numFmtId="0" fontId="5" fillId="9" borderId="21" xfId="0" applyFont="1" applyFill="1" applyBorder="1" applyAlignment="1">
      <alignment horizontal="center" vertical="center"/>
    </xf>
    <xf numFmtId="0" fontId="5" fillId="7" borderId="0" xfId="0" applyFont="1" applyFill="1" applyBorder="1" applyAlignment="1">
      <alignment horizontal="center" vertical="center"/>
    </xf>
    <xf numFmtId="0" fontId="4" fillId="9" borderId="26" xfId="0" applyFont="1" applyFill="1" applyBorder="1" applyAlignment="1">
      <alignment horizontal="center" vertical="center"/>
    </xf>
    <xf numFmtId="0" fontId="4" fillId="9" borderId="2" xfId="0" applyFont="1" applyFill="1" applyBorder="1" applyAlignment="1">
      <alignment horizontal="center" vertical="center"/>
    </xf>
    <xf numFmtId="0" fontId="4" fillId="9" borderId="25" xfId="0" applyFont="1" applyFill="1" applyBorder="1" applyAlignment="1">
      <alignment horizontal="center" vertical="center"/>
    </xf>
    <xf numFmtId="0" fontId="5" fillId="7" borderId="42" xfId="0" applyFont="1" applyFill="1" applyBorder="1"/>
    <xf numFmtId="0" fontId="5" fillId="7" borderId="43" xfId="0" applyFont="1" applyFill="1" applyBorder="1"/>
    <xf numFmtId="0" fontId="5" fillId="7" borderId="41" xfId="0" applyFont="1" applyFill="1" applyBorder="1"/>
    <xf numFmtId="0" fontId="5" fillId="7" borderId="44" xfId="0" applyFont="1" applyFill="1" applyBorder="1"/>
    <xf numFmtId="0" fontId="6" fillId="3" borderId="50" xfId="0" applyFont="1" applyFill="1" applyBorder="1" applyAlignment="1">
      <alignment horizontal="center" vertical="center" wrapText="1"/>
    </xf>
    <xf numFmtId="0" fontId="6" fillId="3" borderId="51" xfId="0" applyFont="1" applyFill="1" applyBorder="1" applyAlignment="1">
      <alignment horizontal="center" vertical="center" wrapText="1"/>
    </xf>
    <xf numFmtId="0" fontId="6" fillId="3" borderId="52" xfId="0" applyFont="1" applyFill="1" applyBorder="1" applyAlignment="1">
      <alignment horizontal="center" vertical="center"/>
    </xf>
    <xf numFmtId="0" fontId="6" fillId="2" borderId="51" xfId="0" applyFont="1" applyFill="1" applyBorder="1" applyAlignment="1">
      <alignment horizontal="center" vertical="center"/>
    </xf>
    <xf numFmtId="0" fontId="6" fillId="2" borderId="52" xfId="0" applyFont="1" applyFill="1" applyBorder="1" applyAlignment="1">
      <alignment horizontal="center" vertical="center"/>
    </xf>
    <xf numFmtId="0" fontId="6" fillId="4" borderId="53" xfId="0" applyFont="1" applyFill="1" applyBorder="1" applyAlignment="1">
      <alignment horizontal="center" vertical="center"/>
    </xf>
    <xf numFmtId="0" fontId="6" fillId="4" borderId="51" xfId="0" applyFont="1" applyFill="1" applyBorder="1" applyAlignment="1">
      <alignment horizontal="center" vertical="center"/>
    </xf>
    <xf numFmtId="0" fontId="6" fillId="4" borderId="51" xfId="0" applyFont="1" applyFill="1" applyBorder="1" applyAlignment="1">
      <alignment horizontal="center" vertical="center" wrapText="1"/>
    </xf>
    <xf numFmtId="0" fontId="6" fillId="4" borderId="52" xfId="0" applyFont="1" applyFill="1" applyBorder="1" applyAlignment="1">
      <alignment horizontal="center" vertical="center"/>
    </xf>
    <xf numFmtId="0" fontId="6" fillId="7" borderId="54" xfId="0" applyFont="1" applyFill="1" applyBorder="1" applyAlignment="1">
      <alignment horizontal="center" vertical="center"/>
    </xf>
    <xf numFmtId="0" fontId="6" fillId="8" borderId="12" xfId="0" applyFont="1" applyFill="1" applyBorder="1" applyAlignment="1">
      <alignment horizontal="center" vertical="center" wrapText="1"/>
    </xf>
    <xf numFmtId="0" fontId="6" fillId="8" borderId="9" xfId="0" applyFont="1" applyFill="1" applyBorder="1" applyAlignment="1">
      <alignment horizontal="center" vertical="center" wrapText="1"/>
    </xf>
    <xf numFmtId="0" fontId="6" fillId="8" borderId="32" xfId="0" applyFont="1" applyFill="1" applyBorder="1" applyAlignment="1">
      <alignment horizontal="center" vertical="center" wrapText="1"/>
    </xf>
    <xf numFmtId="0" fontId="6" fillId="7" borderId="13" xfId="0" applyFont="1" applyFill="1" applyBorder="1" applyAlignment="1">
      <alignment horizontal="center" vertical="center" wrapText="1"/>
    </xf>
    <xf numFmtId="0" fontId="6" fillId="7" borderId="2" xfId="0" applyFont="1" applyFill="1" applyBorder="1" applyAlignment="1">
      <alignment horizontal="center" vertical="center" wrapText="1"/>
    </xf>
    <xf numFmtId="0" fontId="6" fillId="2" borderId="53" xfId="0" applyFont="1" applyFill="1" applyBorder="1" applyAlignment="1">
      <alignment horizontal="center" vertical="center"/>
    </xf>
    <xf numFmtId="0" fontId="6" fillId="0" borderId="0" xfId="0" applyFont="1" applyBorder="1" applyAlignment="1">
      <alignment horizontal="center" vertical="center"/>
    </xf>
    <xf numFmtId="0" fontId="6" fillId="7" borderId="36" xfId="0" applyFont="1" applyFill="1" applyBorder="1" applyAlignment="1">
      <alignment horizontal="center" vertical="center" wrapText="1"/>
    </xf>
    <xf numFmtId="0" fontId="8" fillId="3" borderId="17" xfId="0" applyFont="1" applyFill="1" applyBorder="1" applyAlignment="1">
      <alignment horizontal="center" vertical="center"/>
    </xf>
    <xf numFmtId="0" fontId="8" fillId="3" borderId="1" xfId="0" applyFont="1" applyFill="1" applyBorder="1" applyAlignment="1">
      <alignment horizontal="center" vertical="center"/>
    </xf>
    <xf numFmtId="0" fontId="6" fillId="3" borderId="1" xfId="0" applyFont="1" applyFill="1" applyBorder="1" applyAlignment="1">
      <alignment horizontal="center" vertical="center"/>
    </xf>
    <xf numFmtId="14" fontId="8" fillId="3" borderId="18" xfId="0" applyNumberFormat="1" applyFont="1" applyFill="1" applyBorder="1" applyAlignment="1">
      <alignment horizontal="center" vertical="center"/>
    </xf>
    <xf numFmtId="0" fontId="8" fillId="2" borderId="17" xfId="0" applyFont="1" applyFill="1" applyBorder="1" applyAlignment="1">
      <alignment horizontal="center" vertical="center"/>
    </xf>
    <xf numFmtId="0" fontId="8" fillId="2" borderId="1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14" fontId="8" fillId="2" borderId="18" xfId="0" applyNumberFormat="1" applyFont="1" applyFill="1" applyBorder="1" applyAlignment="1">
      <alignment horizontal="center" vertical="center"/>
    </xf>
    <xf numFmtId="0" fontId="8" fillId="4" borderId="17" xfId="0" applyFont="1" applyFill="1" applyBorder="1" applyAlignment="1">
      <alignment horizontal="center" vertical="center"/>
    </xf>
    <xf numFmtId="0" fontId="8" fillId="4" borderId="1" xfId="0" applyFont="1" applyFill="1" applyBorder="1" applyAlignment="1">
      <alignment horizontal="center" vertical="center"/>
    </xf>
    <xf numFmtId="14" fontId="8" fillId="4" borderId="1" xfId="0" applyNumberFormat="1" applyFont="1" applyFill="1" applyBorder="1" applyAlignment="1">
      <alignment horizontal="center" vertical="center"/>
    </xf>
    <xf numFmtId="0" fontId="6" fillId="4" borderId="1" xfId="0" applyFont="1" applyFill="1" applyBorder="1" applyAlignment="1">
      <alignment horizontal="center" vertical="center"/>
    </xf>
    <xf numFmtId="0" fontId="8" fillId="4" borderId="18" xfId="0" applyFont="1" applyFill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6" fillId="7" borderId="35" xfId="0" applyFont="1" applyFill="1" applyBorder="1" applyAlignment="1">
      <alignment horizontal="center" vertical="center"/>
    </xf>
    <xf numFmtId="0" fontId="6" fillId="5" borderId="33" xfId="0" applyFont="1" applyFill="1" applyBorder="1" applyAlignment="1">
      <alignment horizontal="center" vertical="center"/>
    </xf>
    <xf numFmtId="0" fontId="6" fillId="6" borderId="10" xfId="0" applyFont="1" applyFill="1" applyBorder="1" applyAlignment="1">
      <alignment horizontal="center" vertical="center"/>
    </xf>
    <xf numFmtId="0" fontId="8" fillId="7" borderId="11" xfId="0" applyFont="1" applyFill="1" applyBorder="1" applyAlignment="1">
      <alignment horizontal="center" vertical="center"/>
    </xf>
    <xf numFmtId="0" fontId="8" fillId="12" borderId="1" xfId="0" applyFont="1" applyFill="1" applyBorder="1" applyAlignment="1">
      <alignment horizontal="center" vertical="center"/>
    </xf>
    <xf numFmtId="0" fontId="8" fillId="8" borderId="10" xfId="0" applyFont="1" applyFill="1" applyBorder="1" applyAlignment="1">
      <alignment horizontal="center" vertical="center"/>
    </xf>
    <xf numFmtId="0" fontId="8" fillId="7" borderId="1" xfId="0" applyFont="1" applyFill="1" applyBorder="1" applyAlignment="1">
      <alignment horizontal="center" vertical="center"/>
    </xf>
    <xf numFmtId="0" fontId="2" fillId="9" borderId="0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 vertical="center"/>
    </xf>
    <xf numFmtId="0" fontId="0" fillId="0" borderId="0" xfId="0" applyFill="1" applyBorder="1"/>
    <xf numFmtId="0" fontId="5" fillId="0" borderId="0" xfId="0" applyFont="1" applyFill="1" applyBorder="1"/>
    <xf numFmtId="0" fontId="9" fillId="2" borderId="0" xfId="0" applyFont="1" applyFill="1" applyAlignment="1">
      <alignment horizontal="center"/>
    </xf>
    <xf numFmtId="0" fontId="2" fillId="8" borderId="0" xfId="0" applyFont="1" applyFill="1" applyBorder="1" applyAlignment="1">
      <alignment horizontal="center" vertical="center" wrapText="1"/>
    </xf>
    <xf numFmtId="0" fontId="3" fillId="3" borderId="22" xfId="0" applyFont="1" applyFill="1" applyBorder="1" applyAlignment="1">
      <alignment horizontal="center" vertical="center" wrapText="1"/>
    </xf>
    <xf numFmtId="0" fontId="3" fillId="3" borderId="23" xfId="0" applyFont="1" applyFill="1" applyBorder="1" applyAlignment="1">
      <alignment horizontal="center" vertical="center" wrapText="1"/>
    </xf>
    <xf numFmtId="0" fontId="3" fillId="3" borderId="24" xfId="0" applyFont="1" applyFill="1" applyBorder="1" applyAlignment="1">
      <alignment horizontal="center" vertical="center"/>
    </xf>
    <xf numFmtId="0" fontId="3" fillId="2" borderId="22" xfId="0" applyFont="1" applyFill="1" applyBorder="1" applyAlignment="1">
      <alignment horizontal="center" vertical="center"/>
    </xf>
    <xf numFmtId="0" fontId="3" fillId="2" borderId="23" xfId="0" applyFont="1" applyFill="1" applyBorder="1" applyAlignment="1">
      <alignment horizontal="center" vertical="center"/>
    </xf>
    <xf numFmtId="0" fontId="3" fillId="2" borderId="24" xfId="0" applyFont="1" applyFill="1" applyBorder="1" applyAlignment="1">
      <alignment horizontal="center" vertical="center"/>
    </xf>
    <xf numFmtId="0" fontId="3" fillId="7" borderId="50" xfId="0" applyFont="1" applyFill="1" applyBorder="1" applyAlignment="1">
      <alignment horizontal="center" vertical="center" wrapText="1"/>
    </xf>
    <xf numFmtId="0" fontId="3" fillId="7" borderId="51" xfId="0" applyFont="1" applyFill="1" applyBorder="1" applyAlignment="1">
      <alignment horizontal="center" vertical="center" wrapText="1"/>
    </xf>
    <xf numFmtId="0" fontId="3" fillId="7" borderId="9" xfId="0" applyFont="1" applyFill="1" applyBorder="1" applyAlignment="1">
      <alignment horizontal="center" vertical="center" wrapText="1"/>
    </xf>
    <xf numFmtId="14" fontId="2" fillId="0" borderId="0" xfId="0" applyNumberFormat="1" applyFont="1" applyFill="1" applyBorder="1" applyAlignment="1">
      <alignment horizontal="center" vertical="center"/>
    </xf>
    <xf numFmtId="0" fontId="3" fillId="0" borderId="0" xfId="0" applyNumberFormat="1" applyFont="1" applyFill="1" applyBorder="1" applyAlignment="1">
      <alignment horizontal="center" vertical="center"/>
    </xf>
    <xf numFmtId="0" fontId="2" fillId="0" borderId="0" xfId="0" applyNumberFormat="1" applyFont="1" applyFill="1" applyBorder="1" applyAlignment="1">
      <alignment horizontal="center" vertical="center"/>
    </xf>
    <xf numFmtId="0" fontId="9" fillId="0" borderId="0" xfId="0" applyFont="1" applyFill="1" applyBorder="1" applyAlignment="1">
      <alignment horizontal="center"/>
    </xf>
    <xf numFmtId="0" fontId="2" fillId="0" borderId="0" xfId="0" applyFont="1" applyFill="1" applyBorder="1"/>
    <xf numFmtId="0" fontId="10" fillId="2" borderId="0" xfId="0" applyFont="1" applyFill="1" applyAlignment="1">
      <alignment horizontal="center"/>
    </xf>
    <xf numFmtId="0" fontId="2" fillId="9" borderId="0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 vertical="center"/>
    </xf>
    <xf numFmtId="0" fontId="2" fillId="9" borderId="0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 vertical="center"/>
    </xf>
    <xf numFmtId="0" fontId="2" fillId="9" borderId="0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 vertical="center"/>
    </xf>
    <xf numFmtId="0" fontId="2" fillId="14" borderId="2" xfId="0" applyFont="1" applyFill="1" applyBorder="1" applyAlignment="1">
      <alignment horizontal="center" vertical="center"/>
    </xf>
    <xf numFmtId="0" fontId="2" fillId="15" borderId="2" xfId="0" applyFont="1" applyFill="1" applyBorder="1" applyAlignment="1">
      <alignment horizontal="center" vertical="center"/>
    </xf>
    <xf numFmtId="10" fontId="2" fillId="16" borderId="2" xfId="0" applyNumberFormat="1" applyFont="1" applyFill="1" applyBorder="1" applyAlignment="1">
      <alignment horizontal="center" vertical="center"/>
    </xf>
    <xf numFmtId="0" fontId="2" fillId="13" borderId="56" xfId="0" applyFont="1" applyFill="1" applyBorder="1" applyAlignment="1">
      <alignment horizontal="center" vertical="center"/>
    </xf>
    <xf numFmtId="0" fontId="3" fillId="13" borderId="31" xfId="0" applyFont="1" applyFill="1" applyBorder="1" applyAlignment="1">
      <alignment horizontal="center" vertical="center"/>
    </xf>
    <xf numFmtId="0" fontId="3" fillId="13" borderId="55" xfId="0" applyFont="1" applyFill="1" applyBorder="1" applyAlignment="1">
      <alignment horizontal="center" vertical="center" wrapText="1"/>
    </xf>
    <xf numFmtId="0" fontId="3" fillId="14" borderId="57" xfId="0" applyFont="1" applyFill="1" applyBorder="1" applyAlignment="1">
      <alignment horizontal="center" vertical="center" wrapText="1"/>
    </xf>
    <xf numFmtId="0" fontId="3" fillId="15" borderId="57" xfId="0" applyFont="1" applyFill="1" applyBorder="1" applyAlignment="1">
      <alignment horizontal="center" vertical="center" wrapText="1"/>
    </xf>
    <xf numFmtId="0" fontId="3" fillId="16" borderId="57" xfId="0" applyFont="1" applyFill="1" applyBorder="1" applyAlignment="1">
      <alignment horizontal="center" vertical="center" wrapText="1"/>
    </xf>
    <xf numFmtId="0" fontId="3" fillId="13" borderId="58" xfId="0" applyFont="1" applyFill="1" applyBorder="1" applyAlignment="1">
      <alignment horizontal="center" vertical="center" wrapText="1"/>
    </xf>
    <xf numFmtId="0" fontId="2" fillId="12" borderId="1" xfId="0" applyFont="1" applyFill="1" applyBorder="1" applyAlignment="1">
      <alignment horizontal="center" vertical="center"/>
    </xf>
    <xf numFmtId="0" fontId="8" fillId="7" borderId="10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 wrapText="1"/>
    </xf>
    <xf numFmtId="0" fontId="3" fillId="0" borderId="0" xfId="0" applyFont="1" applyFill="1" applyBorder="1" applyAlignment="1">
      <alignment horizontal="center" vertical="center" wrapText="1"/>
    </xf>
    <xf numFmtId="0" fontId="2" fillId="17" borderId="1" xfId="0" applyFont="1" applyFill="1" applyBorder="1" applyAlignment="1">
      <alignment horizontal="center" vertical="center"/>
    </xf>
    <xf numFmtId="0" fontId="3" fillId="7" borderId="51" xfId="0" applyFont="1" applyFill="1" applyBorder="1" applyAlignment="1">
      <alignment horizontal="center" vertical="center"/>
    </xf>
    <xf numFmtId="0" fontId="2" fillId="9" borderId="0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14" fontId="2" fillId="12" borderId="18" xfId="0" applyNumberFormat="1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0" fontId="0" fillId="0" borderId="0" xfId="0" applyAlignment="1">
      <alignment horizontal="left" vertical="center"/>
    </xf>
    <xf numFmtId="10" fontId="2" fillId="0" borderId="0" xfId="0" applyNumberFormat="1" applyFont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 vertical="center"/>
    </xf>
    <xf numFmtId="14" fontId="2" fillId="22" borderId="18" xfId="0" applyNumberFormat="1" applyFont="1" applyFill="1" applyBorder="1" applyAlignment="1">
      <alignment horizontal="center" vertical="center"/>
    </xf>
    <xf numFmtId="14" fontId="2" fillId="13" borderId="18" xfId="0" applyNumberFormat="1" applyFont="1" applyFill="1" applyBorder="1" applyAlignment="1">
      <alignment horizontal="center" vertical="center"/>
    </xf>
    <xf numFmtId="3" fontId="3" fillId="0" borderId="0" xfId="0" applyNumberFormat="1" applyFont="1" applyFill="1" applyBorder="1" applyAlignment="1">
      <alignment horizontal="center" vertical="center"/>
    </xf>
    <xf numFmtId="14" fontId="2" fillId="3" borderId="1" xfId="0" applyNumberFormat="1" applyFont="1" applyFill="1" applyBorder="1" applyAlignment="1">
      <alignment horizontal="center" vertical="center"/>
    </xf>
    <xf numFmtId="14" fontId="2" fillId="22" borderId="1" xfId="0" applyNumberFormat="1" applyFont="1" applyFill="1" applyBorder="1" applyAlignment="1">
      <alignment horizontal="center" vertical="center"/>
    </xf>
    <xf numFmtId="0" fontId="3" fillId="6" borderId="31" xfId="0" applyNumberFormat="1" applyFont="1" applyFill="1" applyBorder="1" applyAlignment="1">
      <alignment horizontal="center" vertical="center"/>
    </xf>
    <xf numFmtId="0" fontId="2" fillId="8" borderId="31" xfId="0" applyNumberFormat="1" applyFont="1" applyFill="1" applyBorder="1" applyAlignment="1">
      <alignment horizontal="center" vertical="center"/>
    </xf>
    <xf numFmtId="0" fontId="8" fillId="8" borderId="31" xfId="0" applyNumberFormat="1" applyFont="1" applyFill="1" applyBorder="1" applyAlignment="1">
      <alignment horizontal="center" vertical="center"/>
    </xf>
    <xf numFmtId="0" fontId="6" fillId="6" borderId="31" xfId="0" applyNumberFormat="1" applyFont="1" applyFill="1" applyBorder="1" applyAlignment="1">
      <alignment horizontal="center" vertical="center"/>
    </xf>
    <xf numFmtId="0" fontId="3" fillId="5" borderId="30" xfId="0" applyNumberFormat="1" applyFont="1" applyFill="1" applyBorder="1" applyAlignment="1">
      <alignment horizontal="center" vertical="center"/>
    </xf>
    <xf numFmtId="0" fontId="3" fillId="6" borderId="30" xfId="0" applyNumberFormat="1" applyFont="1" applyFill="1" applyBorder="1" applyAlignment="1">
      <alignment horizontal="center" vertical="center"/>
    </xf>
    <xf numFmtId="0" fontId="6" fillId="6" borderId="30" xfId="0" applyNumberFormat="1" applyFont="1" applyFill="1" applyBorder="1" applyAlignment="1">
      <alignment horizontal="center" vertical="center"/>
    </xf>
    <xf numFmtId="0" fontId="8" fillId="8" borderId="30" xfId="0" applyNumberFormat="1" applyFont="1" applyFill="1" applyBorder="1" applyAlignment="1">
      <alignment horizontal="center" vertical="center"/>
    </xf>
    <xf numFmtId="0" fontId="3" fillId="3" borderId="8" xfId="0" applyFont="1" applyFill="1" applyBorder="1" applyAlignment="1">
      <alignment horizontal="center" vertical="center"/>
    </xf>
    <xf numFmtId="0" fontId="2" fillId="9" borderId="0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  <xf numFmtId="0" fontId="3" fillId="2" borderId="4" xfId="0" applyFont="1" applyFill="1" applyBorder="1" applyAlignment="1">
      <alignment horizontal="center" vertical="center"/>
    </xf>
    <xf numFmtId="0" fontId="3" fillId="2" borderId="8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 vertical="center"/>
    </xf>
    <xf numFmtId="0" fontId="2" fillId="14" borderId="60" xfId="0" applyFont="1" applyFill="1" applyBorder="1" applyAlignment="1">
      <alignment horizontal="center" vertical="center"/>
    </xf>
    <xf numFmtId="0" fontId="2" fillId="15" borderId="60" xfId="0" applyFont="1" applyFill="1" applyBorder="1" applyAlignment="1">
      <alignment horizontal="center" vertical="center"/>
    </xf>
    <xf numFmtId="10" fontId="2" fillId="16" borderId="60" xfId="0" applyNumberFormat="1" applyFont="1" applyFill="1" applyBorder="1" applyAlignment="1">
      <alignment horizontal="center" vertical="center"/>
    </xf>
    <xf numFmtId="0" fontId="2" fillId="13" borderId="59" xfId="0" applyFont="1" applyFill="1" applyBorder="1" applyAlignment="1">
      <alignment horizontal="center" vertical="center"/>
    </xf>
    <xf numFmtId="0" fontId="2" fillId="13" borderId="62" xfId="0" applyFont="1" applyFill="1" applyBorder="1" applyAlignment="1">
      <alignment horizontal="center" vertical="center"/>
    </xf>
    <xf numFmtId="0" fontId="2" fillId="14" borderId="63" xfId="0" applyFont="1" applyFill="1" applyBorder="1" applyAlignment="1">
      <alignment horizontal="center" vertical="center"/>
    </xf>
    <xf numFmtId="0" fontId="2" fillId="15" borderId="63" xfId="0" applyFont="1" applyFill="1" applyBorder="1" applyAlignment="1">
      <alignment horizontal="center" vertical="center"/>
    </xf>
    <xf numFmtId="10" fontId="2" fillId="16" borderId="63" xfId="0" applyNumberFormat="1" applyFont="1" applyFill="1" applyBorder="1" applyAlignment="1">
      <alignment horizontal="center" vertical="center"/>
    </xf>
    <xf numFmtId="0" fontId="3" fillId="13" borderId="61" xfId="0" applyFont="1" applyFill="1" applyBorder="1" applyAlignment="1">
      <alignment horizontal="center" vertical="center"/>
    </xf>
    <xf numFmtId="0" fontId="3" fillId="13" borderId="64" xfId="0" applyFont="1" applyFill="1" applyBorder="1" applyAlignment="1">
      <alignment horizontal="center" vertical="center"/>
    </xf>
    <xf numFmtId="3" fontId="3" fillId="18" borderId="60" xfId="0" applyNumberFormat="1" applyFont="1" applyFill="1" applyBorder="1" applyAlignment="1">
      <alignment horizontal="center" vertical="center"/>
    </xf>
    <xf numFmtId="0" fontId="3" fillId="18" borderId="60" xfId="0" applyFont="1" applyFill="1" applyBorder="1" applyAlignment="1">
      <alignment horizontal="center" vertical="center"/>
    </xf>
    <xf numFmtId="0" fontId="3" fillId="19" borderId="65" xfId="0" applyFont="1" applyFill="1" applyBorder="1" applyAlignment="1">
      <alignment horizontal="center" vertical="center" wrapText="1"/>
    </xf>
    <xf numFmtId="0" fontId="3" fillId="20" borderId="66" xfId="0" applyFont="1" applyFill="1" applyBorder="1" applyAlignment="1">
      <alignment horizontal="center" vertical="center" wrapText="1"/>
    </xf>
    <xf numFmtId="0" fontId="3" fillId="17" borderId="66" xfId="0" applyFont="1" applyFill="1" applyBorder="1" applyAlignment="1">
      <alignment horizontal="center" vertical="center" wrapText="1"/>
    </xf>
    <xf numFmtId="0" fontId="3" fillId="21" borderId="67" xfId="0" applyFont="1" applyFill="1" applyBorder="1" applyAlignment="1">
      <alignment horizontal="center" vertical="center" wrapText="1"/>
    </xf>
    <xf numFmtId="0" fontId="3" fillId="19" borderId="68" xfId="0" applyFont="1" applyFill="1" applyBorder="1" applyAlignment="1">
      <alignment horizontal="center" vertical="center"/>
    </xf>
    <xf numFmtId="0" fontId="3" fillId="19" borderId="71" xfId="0" applyFont="1" applyFill="1" applyBorder="1" applyAlignment="1">
      <alignment horizontal="center" vertical="center"/>
    </xf>
    <xf numFmtId="0" fontId="2" fillId="20" borderId="69" xfId="0" applyFont="1" applyFill="1" applyBorder="1" applyAlignment="1">
      <alignment horizontal="center" vertical="center"/>
    </xf>
    <xf numFmtId="0" fontId="2" fillId="20" borderId="72" xfId="0" applyFont="1" applyFill="1" applyBorder="1" applyAlignment="1">
      <alignment horizontal="center" vertical="center"/>
    </xf>
    <xf numFmtId="0" fontId="2" fillId="17" borderId="69" xfId="0" applyFont="1" applyFill="1" applyBorder="1" applyAlignment="1">
      <alignment horizontal="center" vertical="center"/>
    </xf>
    <xf numFmtId="0" fontId="2" fillId="17" borderId="72" xfId="0" applyFont="1" applyFill="1" applyBorder="1" applyAlignment="1">
      <alignment horizontal="center" vertical="center"/>
    </xf>
    <xf numFmtId="10" fontId="2" fillId="21" borderId="70" xfId="0" applyNumberFormat="1" applyFont="1" applyFill="1" applyBorder="1" applyAlignment="1">
      <alignment horizontal="center" vertical="center"/>
    </xf>
    <xf numFmtId="10" fontId="2" fillId="21" borderId="73" xfId="0" applyNumberFormat="1" applyFont="1" applyFill="1" applyBorder="1" applyAlignment="1">
      <alignment horizontal="center" vertical="center"/>
    </xf>
    <xf numFmtId="0" fontId="3" fillId="3" borderId="50" xfId="0" applyFont="1" applyFill="1" applyBorder="1" applyAlignment="1">
      <alignment horizontal="center" vertical="center" wrapText="1"/>
    </xf>
    <xf numFmtId="0" fontId="3" fillId="3" borderId="51" xfId="0" applyFont="1" applyFill="1" applyBorder="1" applyAlignment="1">
      <alignment horizontal="center" vertical="center" wrapText="1"/>
    </xf>
    <xf numFmtId="0" fontId="3" fillId="3" borderId="52" xfId="0" applyFont="1" applyFill="1" applyBorder="1" applyAlignment="1">
      <alignment horizontal="center" vertical="center"/>
    </xf>
    <xf numFmtId="0" fontId="3" fillId="2" borderId="53" xfId="0" applyFont="1" applyFill="1" applyBorder="1" applyAlignment="1">
      <alignment horizontal="center" vertical="center"/>
    </xf>
    <xf numFmtId="0" fontId="3" fillId="2" borderId="51" xfId="0" applyFont="1" applyFill="1" applyBorder="1" applyAlignment="1">
      <alignment horizontal="center" vertical="center"/>
    </xf>
    <xf numFmtId="0" fontId="3" fillId="2" borderId="52" xfId="0" applyFont="1" applyFill="1" applyBorder="1" applyAlignment="1">
      <alignment horizontal="center" vertical="center"/>
    </xf>
    <xf numFmtId="0" fontId="3" fillId="4" borderId="53" xfId="0" applyFont="1" applyFill="1" applyBorder="1" applyAlignment="1">
      <alignment horizontal="center" vertical="center"/>
    </xf>
    <xf numFmtId="0" fontId="3" fillId="4" borderId="51" xfId="0" applyFont="1" applyFill="1" applyBorder="1" applyAlignment="1">
      <alignment horizontal="center" vertical="center"/>
    </xf>
    <xf numFmtId="0" fontId="3" fillId="4" borderId="51" xfId="0" applyFont="1" applyFill="1" applyBorder="1" applyAlignment="1">
      <alignment horizontal="center" vertical="center" wrapText="1"/>
    </xf>
    <xf numFmtId="0" fontId="3" fillId="4" borderId="9" xfId="0" applyFont="1" applyFill="1" applyBorder="1" applyAlignment="1">
      <alignment horizontal="center" vertical="center"/>
    </xf>
    <xf numFmtId="0" fontId="2" fillId="3" borderId="26" xfId="0" applyFont="1" applyFill="1" applyBorder="1" applyAlignment="1">
      <alignment horizontal="center" vertical="center"/>
    </xf>
    <xf numFmtId="0" fontId="2" fillId="3" borderId="2" xfId="0" applyFont="1" applyFill="1" applyBorder="1" applyAlignment="1">
      <alignment horizontal="center" vertical="center"/>
    </xf>
    <xf numFmtId="0" fontId="2" fillId="17" borderId="2" xfId="0" applyFont="1" applyFill="1" applyBorder="1" applyAlignment="1">
      <alignment horizontal="center" vertical="center"/>
    </xf>
    <xf numFmtId="0" fontId="3" fillId="3" borderId="2" xfId="0" applyFont="1" applyFill="1" applyBorder="1" applyAlignment="1">
      <alignment horizontal="center" vertical="center"/>
    </xf>
    <xf numFmtId="14" fontId="2" fillId="3" borderId="25" xfId="0" applyNumberFormat="1" applyFont="1" applyFill="1" applyBorder="1" applyAlignment="1">
      <alignment horizontal="center" vertical="center"/>
    </xf>
    <xf numFmtId="0" fontId="3" fillId="3" borderId="3" xfId="0" applyFont="1" applyFill="1" applyBorder="1" applyAlignment="1">
      <alignment horizontal="center" vertical="center" wrapText="1"/>
    </xf>
    <xf numFmtId="0" fontId="3" fillId="3" borderId="4" xfId="0" applyFont="1" applyFill="1" applyBorder="1" applyAlignment="1">
      <alignment horizontal="center" vertical="center" wrapText="1"/>
    </xf>
    <xf numFmtId="16" fontId="2" fillId="2" borderId="26" xfId="0" applyNumberFormat="1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14" fontId="2" fillId="2" borderId="25" xfId="0" applyNumberFormat="1" applyFont="1" applyFill="1" applyBorder="1" applyAlignment="1">
      <alignment horizontal="center" vertical="center"/>
    </xf>
    <xf numFmtId="0" fontId="2" fillId="4" borderId="26" xfId="0" applyFont="1" applyFill="1" applyBorder="1" applyAlignment="1">
      <alignment horizontal="center" vertical="center"/>
    </xf>
    <xf numFmtId="0" fontId="2" fillId="4" borderId="2" xfId="0" applyFont="1" applyFill="1" applyBorder="1" applyAlignment="1">
      <alignment horizontal="center" vertical="center"/>
    </xf>
    <xf numFmtId="14" fontId="2" fillId="4" borderId="2" xfId="0" applyNumberFormat="1" applyFont="1" applyFill="1" applyBorder="1" applyAlignment="1">
      <alignment horizontal="center" vertical="center"/>
    </xf>
    <xf numFmtId="0" fontId="3" fillId="4" borderId="2" xfId="0" applyFont="1" applyFill="1" applyBorder="1" applyAlignment="1">
      <alignment horizontal="center" vertical="center"/>
    </xf>
    <xf numFmtId="0" fontId="2" fillId="4" borderId="25" xfId="0" applyFont="1" applyFill="1" applyBorder="1" applyAlignment="1">
      <alignment horizontal="center" vertical="center"/>
    </xf>
    <xf numFmtId="0" fontId="3" fillId="4" borderId="3" xfId="0" applyFont="1" applyFill="1" applyBorder="1" applyAlignment="1">
      <alignment horizontal="center" vertical="center"/>
    </xf>
    <xf numFmtId="0" fontId="3" fillId="4" borderId="4" xfId="0" applyFont="1" applyFill="1" applyBorder="1" applyAlignment="1">
      <alignment horizontal="center" vertical="center"/>
    </xf>
    <xf numFmtId="0" fontId="3" fillId="4" borderId="4" xfId="0" applyFont="1" applyFill="1" applyBorder="1" applyAlignment="1">
      <alignment horizontal="center" vertical="center" wrapText="1"/>
    </xf>
    <xf numFmtId="0" fontId="3" fillId="4" borderId="8" xfId="0" applyFont="1" applyFill="1" applyBorder="1" applyAlignment="1">
      <alignment horizontal="center" vertical="center"/>
    </xf>
    <xf numFmtId="0" fontId="3" fillId="7" borderId="74" xfId="0" applyFont="1" applyFill="1" applyBorder="1" applyAlignment="1">
      <alignment horizontal="center" vertical="center"/>
    </xf>
    <xf numFmtId="0" fontId="3" fillId="6" borderId="12" xfId="0" applyFont="1" applyFill="1" applyBorder="1" applyAlignment="1">
      <alignment horizontal="center" vertical="center"/>
    </xf>
    <xf numFmtId="0" fontId="3" fillId="5" borderId="36" xfId="0" applyFont="1" applyFill="1" applyBorder="1" applyAlignment="1">
      <alignment horizontal="center" vertical="center"/>
    </xf>
    <xf numFmtId="0" fontId="3" fillId="23" borderId="3" xfId="0" applyFont="1" applyFill="1" applyBorder="1" applyAlignment="1">
      <alignment horizontal="center" vertical="center"/>
    </xf>
    <xf numFmtId="0" fontId="2" fillId="23" borderId="4" xfId="0" applyFont="1" applyFill="1" applyBorder="1" applyAlignment="1">
      <alignment horizontal="center" vertical="center" wrapText="1"/>
    </xf>
    <xf numFmtId="0" fontId="2" fillId="23" borderId="8" xfId="0" applyFont="1" applyFill="1" applyBorder="1" applyAlignment="1">
      <alignment horizontal="center" vertical="center" wrapText="1"/>
    </xf>
    <xf numFmtId="0" fontId="3" fillId="23" borderId="0" xfId="0" applyFont="1" applyFill="1" applyBorder="1" applyAlignment="1">
      <alignment horizontal="center" vertical="center" wrapText="1"/>
    </xf>
    <xf numFmtId="0" fontId="13" fillId="0" borderId="0" xfId="0" applyFont="1" applyBorder="1" applyAlignment="1">
      <alignment horizontal="center" vertical="center"/>
    </xf>
    <xf numFmtId="0" fontId="13" fillId="24" borderId="0" xfId="0" applyFont="1" applyFill="1" applyBorder="1" applyAlignment="1">
      <alignment horizontal="center" vertical="center"/>
    </xf>
    <xf numFmtId="0" fontId="14" fillId="24" borderId="0" xfId="0" applyFont="1" applyFill="1" applyBorder="1" applyAlignment="1">
      <alignment horizontal="center" vertical="center"/>
    </xf>
    <xf numFmtId="10" fontId="14" fillId="24" borderId="0" xfId="0" applyNumberFormat="1" applyFont="1" applyFill="1" applyBorder="1" applyAlignment="1">
      <alignment horizontal="center" vertical="center"/>
    </xf>
    <xf numFmtId="0" fontId="14" fillId="0" borderId="0" xfId="0" applyFont="1" applyBorder="1" applyAlignment="1">
      <alignment horizontal="center" vertical="center"/>
    </xf>
    <xf numFmtId="10" fontId="14" fillId="0" borderId="0" xfId="0" applyNumberFormat="1" applyFont="1" applyBorder="1" applyAlignment="1">
      <alignment horizontal="center" vertical="center"/>
    </xf>
    <xf numFmtId="3" fontId="13" fillId="0" borderId="0" xfId="0" applyNumberFormat="1" applyFont="1" applyBorder="1" applyAlignment="1">
      <alignment horizontal="center" vertical="center"/>
    </xf>
    <xf numFmtId="3" fontId="13" fillId="24" borderId="0" xfId="0" applyNumberFormat="1" applyFont="1" applyFill="1" applyBorder="1" applyAlignment="1">
      <alignment horizontal="center" vertical="center"/>
    </xf>
    <xf numFmtId="0" fontId="0" fillId="9" borderId="0" xfId="0" applyFill="1" applyBorder="1"/>
    <xf numFmtId="0" fontId="3" fillId="9" borderId="0" xfId="0" applyFont="1" applyFill="1" applyBorder="1" applyAlignment="1">
      <alignment horizontal="center" vertical="center" wrapText="1"/>
    </xf>
    <xf numFmtId="0" fontId="3" fillId="3" borderId="3" xfId="0" applyFont="1" applyFill="1" applyBorder="1" applyAlignment="1">
      <alignment horizontal="center" vertical="center"/>
    </xf>
    <xf numFmtId="0" fontId="3" fillId="3" borderId="4" xfId="0" applyFont="1" applyFill="1" applyBorder="1" applyAlignment="1">
      <alignment horizontal="center" vertical="center"/>
    </xf>
    <xf numFmtId="0" fontId="3" fillId="3" borderId="8" xfId="0" applyFont="1" applyFill="1" applyBorder="1" applyAlignment="1">
      <alignment horizontal="center" vertical="center"/>
    </xf>
    <xf numFmtId="0" fontId="2" fillId="9" borderId="0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0" fontId="3" fillId="7" borderId="3" xfId="0" applyFont="1" applyFill="1" applyBorder="1" applyAlignment="1">
      <alignment horizontal="center" vertical="center"/>
    </xf>
    <xf numFmtId="0" fontId="3" fillId="6" borderId="4" xfId="0" applyFont="1" applyFill="1" applyBorder="1" applyAlignment="1">
      <alignment horizontal="center" vertical="center"/>
    </xf>
    <xf numFmtId="0" fontId="2" fillId="8" borderId="4" xfId="0" applyFont="1" applyFill="1" applyBorder="1" applyAlignment="1">
      <alignment horizontal="center" vertical="center"/>
    </xf>
    <xf numFmtId="0" fontId="3" fillId="7" borderId="4" xfId="0" applyFont="1" applyFill="1" applyBorder="1" applyAlignment="1">
      <alignment horizontal="center" vertical="center"/>
    </xf>
    <xf numFmtId="0" fontId="3" fillId="7" borderId="8" xfId="0" applyFont="1" applyFill="1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  <xf numFmtId="0" fontId="3" fillId="2" borderId="4" xfId="0" applyFont="1" applyFill="1" applyBorder="1" applyAlignment="1">
      <alignment horizontal="center" vertical="center"/>
    </xf>
    <xf numFmtId="0" fontId="3" fillId="2" borderId="8" xfId="0" applyFont="1" applyFill="1" applyBorder="1" applyAlignment="1">
      <alignment horizontal="center" vertical="center"/>
    </xf>
    <xf numFmtId="0" fontId="3" fillId="4" borderId="7" xfId="0" applyFont="1" applyFill="1" applyBorder="1" applyAlignment="1">
      <alignment horizontal="center" vertical="center"/>
    </xf>
    <xf numFmtId="0" fontId="3" fillId="4" borderId="5" xfId="0" applyFont="1" applyFill="1" applyBorder="1" applyAlignment="1">
      <alignment horizontal="center" vertical="center"/>
    </xf>
    <xf numFmtId="0" fontId="3" fillId="4" borderId="6" xfId="0" applyFont="1" applyFill="1" applyBorder="1" applyAlignment="1">
      <alignment horizontal="center" vertical="center"/>
    </xf>
    <xf numFmtId="0" fontId="7" fillId="9" borderId="0" xfId="0" applyFont="1" applyFill="1" applyAlignment="1">
      <alignment horizontal="left" vertical="center"/>
    </xf>
    <xf numFmtId="0" fontId="3" fillId="0" borderId="0" xfId="0" applyFont="1" applyFill="1" applyBorder="1" applyAlignment="1">
      <alignment horizontal="center" vertical="center"/>
    </xf>
    <xf numFmtId="0" fontId="4" fillId="10" borderId="37" xfId="0" applyFont="1" applyFill="1" applyBorder="1" applyAlignment="1">
      <alignment horizontal="center" vertical="center"/>
    </xf>
    <xf numFmtId="0" fontId="4" fillId="10" borderId="38" xfId="0" applyFont="1" applyFill="1" applyBorder="1" applyAlignment="1">
      <alignment horizontal="center" vertical="center"/>
    </xf>
    <xf numFmtId="0" fontId="4" fillId="10" borderId="39" xfId="0" applyFont="1" applyFill="1" applyBorder="1" applyAlignment="1">
      <alignment horizontal="center" vertical="center"/>
    </xf>
    <xf numFmtId="0" fontId="4" fillId="11" borderId="3" xfId="0" applyFont="1" applyFill="1" applyBorder="1" applyAlignment="1">
      <alignment horizontal="center" vertical="center"/>
    </xf>
    <xf numFmtId="0" fontId="4" fillId="11" borderId="4" xfId="0" applyFont="1" applyFill="1" applyBorder="1" applyAlignment="1">
      <alignment horizontal="center" vertical="center"/>
    </xf>
    <xf numFmtId="0" fontId="4" fillId="11" borderId="8" xfId="0" applyFont="1" applyFill="1" applyBorder="1" applyAlignment="1">
      <alignment horizontal="center" vertical="center"/>
    </xf>
    <xf numFmtId="0" fontId="4" fillId="7" borderId="43" xfId="0" applyFont="1" applyFill="1" applyBorder="1" applyAlignment="1">
      <alignment horizontal="left" vertical="center"/>
    </xf>
    <xf numFmtId="0" fontId="11" fillId="0" borderId="0" xfId="0" applyFont="1" applyFill="1" applyBorder="1" applyAlignment="1">
      <alignment horizontal="left" vertical="center"/>
    </xf>
    <xf numFmtId="0" fontId="12" fillId="0" borderId="0" xfId="0" applyFont="1" applyFill="1" applyAlignment="1">
      <alignment horizontal="left" vertical="center"/>
    </xf>
  </cellXfs>
  <cellStyles count="1">
    <cellStyle name="Normal" xfId="0" builtinId="0"/>
  </cellStyles>
  <dxfs count="153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border outline="0">
        <left style="thin">
          <color rgb="FF000000"/>
        </left>
        <right style="thin">
          <color rgb="FF000000"/>
        </right>
        <bottom style="thin">
          <color rgb="FF000000"/>
        </bottom>
      </border>
    </dxf>
    <dxf>
      <font>
        <b/>
        <strike val="0"/>
        <outline val="0"/>
        <shadow val="0"/>
        <u val="none"/>
        <vertAlign val="baseline"/>
        <sz val="25"/>
        <color theme="1"/>
        <name val="Arial"/>
        <family val="2"/>
        <charset val="162"/>
        <scheme val="none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25"/>
        <color rgb="FF000000"/>
        <name val="Arial"/>
        <family val="2"/>
        <charset val="16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5"/>
        <color theme="1"/>
        <name val="Arial"/>
        <family val="2"/>
        <charset val="16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5"/>
        <color theme="1"/>
        <name val="Arial"/>
        <family val="2"/>
        <charset val="16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5"/>
        <color theme="1"/>
        <name val="Arial"/>
        <family val="2"/>
        <charset val="16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5"/>
        <color theme="1"/>
        <name val="Arial"/>
        <family val="2"/>
        <charset val="16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5"/>
        <color theme="1"/>
        <name val="Arial"/>
        <family val="2"/>
        <charset val="16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5"/>
        <color theme="1"/>
        <name val="Arial"/>
        <family val="2"/>
        <charset val="16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25"/>
        <color theme="1"/>
        <name val="Arial"/>
        <family val="2"/>
        <charset val="16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border outline="0">
        <left style="thin">
          <color rgb="FF000000"/>
        </left>
        <right style="thin">
          <color rgb="FF000000"/>
        </right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25"/>
        <color rgb="FF000000"/>
        <name val="Arial"/>
        <family val="2"/>
        <charset val="16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25"/>
        <color theme="1"/>
        <name val="Arial"/>
        <family val="2"/>
        <charset val="162"/>
        <scheme val="none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0" formatCode="General"/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border outline="0">
        <left style="thin">
          <color rgb="FF000000"/>
        </left>
        <right style="thin">
          <color rgb="FF000000"/>
        </right>
        <bottom style="thin">
          <color rgb="FF000000"/>
        </bottom>
      </border>
    </dxf>
    <dxf>
      <fill>
        <patternFill patternType="none">
          <fgColor indexed="64"/>
          <bgColor indexed="65"/>
        </patternFill>
      </fill>
    </dxf>
    <dxf>
      <font>
        <b/>
        <strike val="0"/>
        <outline val="0"/>
        <shadow val="0"/>
        <u val="none"/>
        <vertAlign val="baseline"/>
        <sz val="25"/>
        <color theme="1"/>
        <name val="Arial"/>
        <family val="2"/>
        <charset val="162"/>
        <scheme val="none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5"/>
        <color theme="1"/>
        <name val="Arial"/>
        <family val="2"/>
        <charset val="162"/>
        <scheme val="none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5"/>
        <color theme="1"/>
        <name val="Arial"/>
        <family val="2"/>
        <charset val="16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5"/>
        <color theme="1"/>
        <name val="Arial"/>
        <family val="2"/>
        <charset val="162"/>
        <scheme val="none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5"/>
        <color theme="1"/>
        <name val="Arial"/>
        <family val="2"/>
        <charset val="162"/>
        <scheme val="none"/>
      </font>
      <numFmt numFmtId="0" formatCode="General"/>
      <fill>
        <patternFill patternType="solid">
          <fgColor indexed="64"/>
          <bgColor rgb="FFFFC7CE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ck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5"/>
        <color theme="1"/>
        <name val="Arial"/>
        <family val="2"/>
        <charset val="162"/>
        <scheme val="none"/>
      </font>
      <fill>
        <patternFill patternType="solid">
          <fgColor indexed="64"/>
          <bgColor rgb="FFD9D9D9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5"/>
        <color theme="1"/>
        <name val="Arial"/>
        <family val="2"/>
        <charset val="162"/>
        <scheme val="none"/>
      </font>
      <fill>
        <patternFill patternType="solid">
          <fgColor indexed="64"/>
          <bgColor rgb="FFC6EFCE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5"/>
        <color theme="1"/>
        <name val="Arial"/>
        <family val="2"/>
        <charset val="162"/>
        <scheme val="none"/>
      </font>
      <numFmt numFmtId="0" formatCode="General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ck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5"/>
        <color theme="1"/>
        <name val="Arial"/>
        <family val="2"/>
        <charset val="16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5"/>
        <color theme="1"/>
        <name val="Arial"/>
        <family val="2"/>
        <charset val="162"/>
        <scheme val="none"/>
      </font>
      <fill>
        <patternFill patternType="solid">
          <fgColor indexed="64"/>
          <bgColor theme="8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5"/>
        <color theme="1"/>
        <name val="Arial"/>
        <family val="2"/>
        <charset val="162"/>
        <scheme val="none"/>
      </font>
      <fill>
        <patternFill patternType="solid">
          <fgColor indexed="64"/>
          <bgColor theme="8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5"/>
        <color theme="1"/>
        <name val="Arial"/>
        <family val="2"/>
        <charset val="162"/>
        <scheme val="none"/>
      </font>
      <fill>
        <patternFill patternType="solid">
          <fgColor indexed="64"/>
          <bgColor theme="8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5"/>
        <color theme="1"/>
        <name val="Arial"/>
        <family val="2"/>
        <charset val="162"/>
        <scheme val="none"/>
      </font>
      <numFmt numFmtId="19" formatCode="d/mm/yyyy"/>
      <fill>
        <patternFill patternType="solid">
          <fgColor indexed="64"/>
          <bgColor theme="8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5"/>
        <color theme="1"/>
        <name val="Arial"/>
        <family val="2"/>
        <charset val="162"/>
        <scheme val="none"/>
      </font>
      <fill>
        <patternFill patternType="solid">
          <fgColor indexed="64"/>
          <bgColor theme="8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5"/>
        <color theme="1"/>
        <name val="Arial"/>
        <family val="2"/>
        <charset val="162"/>
        <scheme val="none"/>
      </font>
      <fill>
        <patternFill patternType="solid">
          <fgColor indexed="64"/>
          <bgColor theme="8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5"/>
        <color theme="1"/>
        <name val="Arial"/>
        <family val="2"/>
        <charset val="162"/>
        <scheme val="none"/>
      </font>
      <fill>
        <patternFill patternType="solid">
          <fgColor indexed="64"/>
          <bgColor theme="8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5"/>
        <color theme="1"/>
        <name val="Arial"/>
        <family val="2"/>
        <charset val="162"/>
        <scheme val="none"/>
      </font>
      <fill>
        <patternFill patternType="solid">
          <fgColor indexed="64"/>
          <bgColor theme="8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5"/>
        <color theme="1"/>
        <name val="Arial"/>
        <family val="2"/>
        <charset val="162"/>
        <scheme val="none"/>
      </font>
      <numFmt numFmtId="19" formatCode="d/mm/yyyy"/>
      <fill>
        <patternFill patternType="solid">
          <fgColor indexed="64"/>
          <bgColor theme="7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5"/>
        <color theme="1"/>
        <name val="Arial"/>
        <family val="2"/>
        <charset val="162"/>
        <scheme val="none"/>
      </font>
      <fill>
        <patternFill patternType="solid">
          <fgColor indexed="64"/>
          <bgColor theme="7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5"/>
        <color theme="1"/>
        <name val="Arial"/>
        <family val="2"/>
        <charset val="162"/>
        <scheme val="none"/>
      </font>
      <fill>
        <patternFill patternType="solid">
          <fgColor indexed="64"/>
          <bgColor theme="7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5"/>
        <color theme="1"/>
        <name val="Arial"/>
        <family val="2"/>
        <charset val="162"/>
        <scheme val="none"/>
      </font>
      <fill>
        <patternFill patternType="solid">
          <fgColor indexed="64"/>
          <bgColor theme="7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5"/>
        <color theme="1"/>
        <name val="Arial"/>
        <family val="2"/>
        <charset val="162"/>
        <scheme val="none"/>
      </font>
      <fill>
        <patternFill patternType="solid">
          <fgColor indexed="64"/>
          <bgColor theme="7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5"/>
        <color theme="1"/>
        <name val="Arial"/>
        <family val="2"/>
        <charset val="162"/>
        <scheme val="none"/>
      </font>
      <numFmt numFmtId="19" formatCode="d/mm/yyyy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5"/>
        <color theme="1"/>
        <name val="Arial"/>
        <family val="2"/>
        <charset val="162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5"/>
        <color theme="1"/>
        <name val="Arial"/>
        <family val="2"/>
        <charset val="162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5"/>
        <color theme="1"/>
        <name val="Arial"/>
        <family val="2"/>
        <charset val="162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5"/>
        <color theme="1"/>
        <name val="Arial"/>
        <family val="2"/>
        <charset val="162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5"/>
        <color theme="1"/>
        <name val="Arial"/>
        <family val="2"/>
        <charset val="162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5"/>
        <color theme="1"/>
        <name val="Arial"/>
        <family val="2"/>
        <charset val="162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5"/>
        <color theme="1"/>
        <name val="Arial"/>
        <family val="2"/>
        <charset val="162"/>
        <scheme val="none"/>
      </font>
    </dxf>
    <dxf>
      <font>
        <strike val="0"/>
        <outline val="0"/>
        <shadow val="0"/>
        <u val="none"/>
        <vertAlign val="baseline"/>
        <sz val="15"/>
        <color theme="1"/>
        <name val="Arial"/>
        <family val="2"/>
        <charset val="16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5"/>
        <color theme="1"/>
        <name val="Arial"/>
        <family val="2"/>
        <charset val="162"/>
        <scheme val="none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5"/>
        <color theme="1"/>
        <name val="Arial"/>
        <family val="2"/>
        <charset val="162"/>
        <scheme val="none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5"/>
        <color theme="1"/>
        <name val="Arial"/>
        <family val="2"/>
        <charset val="162"/>
        <scheme val="none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5"/>
        <color theme="1"/>
        <name val="Arial"/>
        <family val="2"/>
        <charset val="162"/>
        <scheme val="none"/>
      </font>
      <numFmt numFmtId="0" formatCode="General"/>
      <fill>
        <patternFill patternType="solid">
          <fgColor indexed="64"/>
          <bgColor rgb="FFFFC7CE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ck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5"/>
        <color theme="1"/>
        <name val="Arial"/>
        <family val="2"/>
        <charset val="162"/>
        <scheme val="none"/>
      </font>
      <fill>
        <patternFill patternType="solid">
          <fgColor indexed="64"/>
          <bgColor rgb="FFD9D9D9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5"/>
        <color theme="1"/>
        <name val="Arial"/>
        <family val="2"/>
        <charset val="162"/>
        <scheme val="none"/>
      </font>
      <fill>
        <patternFill patternType="solid">
          <fgColor indexed="64"/>
          <bgColor rgb="FFC6EFCE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5"/>
        <color theme="1"/>
        <name val="Arial"/>
        <family val="2"/>
        <charset val="162"/>
        <scheme val="none"/>
      </font>
      <numFmt numFmtId="0" formatCode="General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 style="thick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5"/>
        <color theme="1"/>
        <name val="Arial"/>
        <family val="2"/>
        <charset val="162"/>
        <scheme val="none"/>
      </font>
      <fill>
        <patternFill patternType="solid">
          <fgColor indexed="64"/>
          <bgColor theme="8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5"/>
        <color theme="1"/>
        <name val="Arial"/>
        <family val="2"/>
        <charset val="162"/>
        <scheme val="none"/>
      </font>
      <fill>
        <patternFill patternType="solid">
          <fgColor indexed="64"/>
          <bgColor theme="8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5"/>
        <color theme="1"/>
        <name val="Arial"/>
        <family val="2"/>
        <charset val="162"/>
        <scheme val="none"/>
      </font>
      <fill>
        <patternFill patternType="solid">
          <fgColor indexed="64"/>
          <bgColor theme="8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5"/>
        <color theme="1"/>
        <name val="Arial"/>
        <family val="2"/>
        <charset val="162"/>
        <scheme val="none"/>
      </font>
      <numFmt numFmtId="19" formatCode="d/mm/yyyy"/>
      <fill>
        <patternFill patternType="solid">
          <fgColor indexed="64"/>
          <bgColor theme="8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5"/>
        <color theme="1"/>
        <name val="Arial"/>
        <family val="2"/>
        <charset val="162"/>
        <scheme val="none"/>
      </font>
      <fill>
        <patternFill patternType="solid">
          <fgColor indexed="64"/>
          <bgColor theme="8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5"/>
        <color theme="1"/>
        <name val="Arial"/>
        <family val="2"/>
        <charset val="162"/>
        <scheme val="none"/>
      </font>
      <fill>
        <patternFill patternType="solid">
          <fgColor indexed="64"/>
          <bgColor theme="8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5"/>
        <color theme="1"/>
        <name val="Arial"/>
        <family val="2"/>
        <charset val="162"/>
        <scheme val="none"/>
      </font>
      <fill>
        <patternFill patternType="solid">
          <fgColor indexed="64"/>
          <bgColor theme="8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5"/>
        <color theme="1"/>
        <name val="Arial"/>
        <family val="2"/>
        <charset val="162"/>
        <scheme val="none"/>
      </font>
      <fill>
        <patternFill patternType="solid">
          <fgColor indexed="64"/>
          <bgColor theme="8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5"/>
        <color theme="1"/>
        <name val="Arial"/>
        <family val="2"/>
        <charset val="162"/>
        <scheme val="none"/>
      </font>
      <numFmt numFmtId="19" formatCode="d/mm/yyyy"/>
      <fill>
        <patternFill patternType="solid">
          <fgColor indexed="64"/>
          <bgColor theme="7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5"/>
        <color theme="1"/>
        <name val="Arial"/>
        <family val="2"/>
        <charset val="162"/>
        <scheme val="none"/>
      </font>
      <fill>
        <patternFill patternType="solid">
          <fgColor indexed="64"/>
          <bgColor theme="7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5"/>
        <color theme="1"/>
        <name val="Arial"/>
        <family val="2"/>
        <charset val="162"/>
        <scheme val="none"/>
      </font>
      <fill>
        <patternFill patternType="solid">
          <fgColor indexed="64"/>
          <bgColor theme="7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5"/>
        <color theme="1"/>
        <name val="Arial"/>
        <family val="2"/>
        <charset val="162"/>
        <scheme val="none"/>
      </font>
      <fill>
        <patternFill patternType="solid">
          <fgColor indexed="64"/>
          <bgColor theme="7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5"/>
        <color theme="1"/>
        <name val="Arial"/>
        <family val="2"/>
        <charset val="162"/>
        <scheme val="none"/>
      </font>
      <fill>
        <patternFill patternType="solid">
          <fgColor indexed="64"/>
          <bgColor theme="7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5"/>
        <color theme="1"/>
        <name val="Arial"/>
        <family val="2"/>
        <charset val="162"/>
        <scheme val="none"/>
      </font>
      <numFmt numFmtId="19" formatCode="d/mm/yyyy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5"/>
        <color theme="1"/>
        <name val="Arial"/>
        <family val="2"/>
        <charset val="162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5"/>
        <color theme="1"/>
        <name val="Arial"/>
        <family val="2"/>
        <charset val="162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5"/>
        <color theme="1"/>
        <name val="Arial"/>
        <family val="2"/>
        <charset val="162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5"/>
        <color theme="1"/>
        <name val="Arial"/>
        <family val="2"/>
        <charset val="162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5"/>
        <color theme="1"/>
        <name val="Arial"/>
        <family val="2"/>
        <charset val="162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5"/>
        <color theme="1"/>
        <name val="Arial"/>
        <family val="2"/>
        <charset val="162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medium">
          <color indexed="64"/>
        </left>
      </border>
    </dxf>
    <dxf>
      <font>
        <strike val="0"/>
        <outline val="0"/>
        <shadow val="0"/>
        <u val="none"/>
        <vertAlign val="baseline"/>
        <sz val="15"/>
        <color theme="1"/>
        <name val="Arial"/>
        <family val="2"/>
        <charset val="162"/>
        <scheme val="none"/>
      </font>
    </dxf>
    <dxf>
      <font>
        <b/>
        <strike val="0"/>
        <outline val="0"/>
        <shadow val="0"/>
        <u val="none"/>
        <vertAlign val="baseline"/>
        <sz val="15"/>
        <color theme="1"/>
        <name val="Arial"/>
        <family val="2"/>
        <charset val="162"/>
        <scheme val="none"/>
      </font>
    </dxf>
    <dxf>
      <font>
        <strike val="0"/>
        <outline val="0"/>
        <shadow val="0"/>
        <u val="none"/>
        <vertAlign val="baseline"/>
        <sz val="25"/>
        <color theme="1"/>
        <name val="Arial"/>
        <family val="2"/>
        <charset val="162"/>
        <scheme val="none"/>
      </font>
      <numFmt numFmtId="0" formatCode="General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outline val="0"/>
        <shadow val="0"/>
        <u val="none"/>
        <vertAlign val="baseline"/>
        <sz val="25"/>
        <color theme="1"/>
        <name val="Arial"/>
        <family val="2"/>
        <charset val="162"/>
        <scheme val="none"/>
      </font>
      <numFmt numFmtId="0" formatCode="General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outline val="0"/>
        <shadow val="0"/>
        <u val="none"/>
        <vertAlign val="baseline"/>
        <sz val="25"/>
        <color theme="1"/>
        <name val="Arial"/>
        <family val="2"/>
        <charset val="162"/>
        <scheme val="none"/>
      </font>
      <numFmt numFmtId="0" formatCode="General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strike val="0"/>
        <outline val="0"/>
        <shadow val="0"/>
        <u val="none"/>
        <vertAlign val="baseline"/>
        <sz val="25"/>
        <color theme="1"/>
        <name val="Arial"/>
        <family val="2"/>
        <charset val="162"/>
        <scheme val="none"/>
      </font>
      <numFmt numFmtId="0" formatCode="General"/>
      <fill>
        <patternFill patternType="solid">
          <fgColor indexed="64"/>
          <bgColor rgb="FFFFC7CE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ck">
          <color indexed="64"/>
        </right>
        <top/>
        <bottom style="thin">
          <color indexed="64"/>
        </bottom>
        <vertical/>
        <horizontal/>
      </border>
    </dxf>
    <dxf>
      <font>
        <strike val="0"/>
        <outline val="0"/>
        <shadow val="0"/>
        <u val="none"/>
        <vertAlign val="baseline"/>
        <sz val="25"/>
        <color theme="1"/>
        <name val="Arial"/>
        <family val="2"/>
        <charset val="162"/>
        <scheme val="none"/>
      </font>
      <numFmt numFmtId="0" formatCode="General"/>
      <fill>
        <patternFill patternType="solid">
          <fgColor indexed="64"/>
          <bgColor rgb="FFD9D9D9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/>
        <strike val="0"/>
        <outline val="0"/>
        <shadow val="0"/>
        <u val="none"/>
        <vertAlign val="baseline"/>
        <sz val="25"/>
        <color theme="1"/>
        <name val="Arial"/>
        <family val="2"/>
        <charset val="162"/>
        <scheme val="none"/>
      </font>
      <numFmt numFmtId="0" formatCode="General"/>
      <fill>
        <patternFill patternType="solid">
          <fgColor indexed="64"/>
          <bgColor rgb="FFC6EFCE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font>
        <b/>
        <strike val="0"/>
        <outline val="0"/>
        <shadow val="0"/>
        <u val="none"/>
        <vertAlign val="baseline"/>
        <sz val="25"/>
        <color theme="1"/>
        <name val="Arial"/>
        <family val="2"/>
        <charset val="162"/>
        <scheme val="none"/>
      </font>
      <numFmt numFmtId="0" formatCode="General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ck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rgb="FF000000"/>
        </left>
        <right style="thin">
          <color rgb="FF000000"/>
        </right>
        <bottom style="thin">
          <color rgb="FF000000"/>
        </bottom>
      </border>
    </dxf>
    <dxf>
      <font>
        <b/>
        <strike val="0"/>
        <outline val="0"/>
        <shadow val="0"/>
        <u val="none"/>
        <vertAlign val="baseline"/>
        <sz val="25"/>
        <color theme="1"/>
        <name val="Arial"/>
        <family val="2"/>
        <charset val="162"/>
        <scheme val="none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25"/>
        <color theme="1"/>
        <name val="Arial"/>
        <family val="2"/>
        <charset val="16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5"/>
        <color theme="1"/>
        <name val="Arial"/>
        <family val="2"/>
        <charset val="16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5"/>
        <color theme="1"/>
        <name val="Arial"/>
        <family val="2"/>
        <charset val="16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5"/>
        <color theme="1"/>
        <name val="Arial"/>
        <family val="2"/>
        <charset val="16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5"/>
        <color theme="1"/>
        <name val="Arial"/>
        <family val="2"/>
        <charset val="16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5"/>
        <color theme="1"/>
        <name val="Arial"/>
        <family val="2"/>
        <charset val="16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25"/>
        <color theme="1"/>
        <name val="Arial"/>
        <family val="2"/>
        <charset val="16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border outline="0">
        <left style="thin">
          <color rgb="FF000000"/>
        </left>
        <right style="thin">
          <color rgb="FF000000"/>
        </right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25"/>
        <color rgb="FF000000"/>
        <name val="Arial"/>
        <family val="2"/>
        <charset val="16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25"/>
        <color theme="1"/>
        <name val="Arial"/>
        <family val="2"/>
        <charset val="162"/>
        <scheme val="none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5"/>
        <color theme="1"/>
        <name val="Arial"/>
        <family val="2"/>
        <charset val="162"/>
        <scheme val="none"/>
      </font>
      <fill>
        <patternFill patternType="solid">
          <fgColor indexed="64"/>
          <bgColor theme="8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25"/>
        <color theme="1"/>
        <name val="Arial"/>
        <family val="2"/>
        <charset val="162"/>
        <scheme val="none"/>
      </font>
      <fill>
        <patternFill patternType="solid">
          <fgColor indexed="64"/>
          <bgColor theme="8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5"/>
        <color theme="1"/>
        <name val="Arial"/>
        <family val="2"/>
        <charset val="162"/>
        <scheme val="none"/>
      </font>
      <fill>
        <patternFill patternType="solid">
          <fgColor indexed="64"/>
          <bgColor theme="8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5"/>
        <color theme="1"/>
        <name val="Arial"/>
        <family val="2"/>
        <charset val="162"/>
        <scheme val="none"/>
      </font>
      <numFmt numFmtId="19" formatCode="d/mm/yyyy"/>
      <fill>
        <patternFill patternType="solid">
          <fgColor indexed="64"/>
          <bgColor theme="8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5"/>
        <color theme="1"/>
        <name val="Arial"/>
        <family val="2"/>
        <charset val="162"/>
        <scheme val="none"/>
      </font>
      <fill>
        <patternFill patternType="solid">
          <fgColor indexed="64"/>
          <bgColor theme="8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5"/>
        <color theme="1"/>
        <name val="Arial"/>
        <family val="2"/>
        <charset val="162"/>
        <scheme val="none"/>
      </font>
      <fill>
        <patternFill patternType="solid">
          <fgColor indexed="64"/>
          <bgColor theme="8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5"/>
        <color theme="1"/>
        <name val="Arial"/>
        <family val="2"/>
        <charset val="162"/>
        <scheme val="none"/>
      </font>
      <fill>
        <patternFill patternType="solid">
          <fgColor indexed="64"/>
          <bgColor theme="8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5"/>
        <color theme="1"/>
        <name val="Arial"/>
        <family val="2"/>
        <charset val="162"/>
        <scheme val="none"/>
      </font>
      <fill>
        <patternFill patternType="solid">
          <fgColor indexed="64"/>
          <bgColor theme="8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5"/>
        <color theme="1"/>
        <name val="Arial"/>
        <family val="2"/>
        <charset val="162"/>
        <scheme val="none"/>
      </font>
      <numFmt numFmtId="19" formatCode="d/mm/yyyy"/>
      <fill>
        <patternFill patternType="solid">
          <fgColor indexed="64"/>
          <bgColor theme="7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25"/>
        <color theme="1"/>
        <name val="Arial"/>
        <family val="2"/>
        <charset val="162"/>
        <scheme val="none"/>
      </font>
      <fill>
        <patternFill patternType="solid">
          <fgColor indexed="64"/>
          <bgColor theme="7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5"/>
        <color theme="1"/>
        <name val="Arial"/>
        <family val="2"/>
        <charset val="162"/>
        <scheme val="none"/>
      </font>
      <fill>
        <patternFill patternType="solid">
          <fgColor indexed="64"/>
          <bgColor theme="7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5"/>
        <color theme="1"/>
        <name val="Arial"/>
        <family val="2"/>
        <charset val="162"/>
        <scheme val="none"/>
      </font>
      <fill>
        <patternFill patternType="solid">
          <fgColor indexed="64"/>
          <bgColor theme="7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5"/>
        <color theme="1"/>
        <name val="Arial"/>
        <family val="2"/>
        <charset val="162"/>
        <scheme val="none"/>
      </font>
      <fill>
        <patternFill patternType="solid">
          <fgColor indexed="64"/>
          <bgColor theme="7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5"/>
        <color theme="1"/>
        <name val="Arial"/>
        <family val="2"/>
        <charset val="162"/>
        <scheme val="none"/>
      </font>
      <numFmt numFmtId="19" formatCode="d/mm/yyyy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25"/>
        <color theme="1"/>
        <name val="Arial"/>
        <family val="2"/>
        <charset val="162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5"/>
        <color theme="1"/>
        <name val="Arial"/>
        <family val="2"/>
        <charset val="162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5"/>
        <color theme="1"/>
        <name val="Arial"/>
        <family val="2"/>
        <charset val="162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5"/>
        <color theme="1"/>
        <name val="Arial"/>
        <family val="2"/>
        <charset val="162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5"/>
        <color theme="1"/>
        <name val="Arial"/>
        <family val="2"/>
        <charset val="162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5"/>
        <color theme="1"/>
        <name val="Arial"/>
        <family val="2"/>
        <charset val="162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25"/>
        <color theme="1"/>
        <name val="Arial"/>
        <family val="2"/>
        <charset val="162"/>
        <scheme val="none"/>
      </font>
      <fill>
        <patternFill patternType="solid">
          <fgColor indexed="64"/>
          <bgColor theme="8" tint="0.7999816888943144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25"/>
        <color theme="1"/>
        <name val="Arial"/>
        <family val="2"/>
        <charset val="16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5"/>
        <color theme="1"/>
        <name val="Arial"/>
        <family val="2"/>
        <charset val="16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5"/>
        <color theme="1"/>
        <name val="Arial"/>
        <family val="2"/>
        <charset val="16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5"/>
        <color theme="1"/>
        <name val="Arial"/>
        <family val="2"/>
        <charset val="16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5"/>
        <color theme="1"/>
        <name val="Arial"/>
        <family val="2"/>
        <charset val="16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5"/>
        <color theme="1"/>
        <name val="Arial"/>
        <family val="2"/>
        <charset val="16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25"/>
        <color theme="1"/>
        <name val="Arial"/>
        <family val="2"/>
        <charset val="16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border outline="0">
        <left style="thin">
          <color rgb="FF000000"/>
        </left>
        <right style="thin">
          <color rgb="FF000000"/>
        </right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25"/>
        <color rgb="FF000000"/>
        <name val="Arial"/>
        <family val="2"/>
        <charset val="16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25"/>
        <color theme="1"/>
        <name val="Arial"/>
        <family val="2"/>
        <charset val="162"/>
        <scheme val="none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25"/>
        <color theme="1"/>
        <name val="Arial"/>
        <family val="2"/>
        <charset val="162"/>
        <scheme val="none"/>
      </font>
      <numFmt numFmtId="0" formatCode="General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25"/>
        <color theme="1"/>
        <name val="Arial"/>
        <family val="2"/>
        <charset val="162"/>
        <scheme val="none"/>
      </font>
      <numFmt numFmtId="0" formatCode="General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25"/>
        <color theme="1"/>
        <name val="Arial"/>
        <family val="2"/>
        <charset val="162"/>
        <scheme val="none"/>
      </font>
      <numFmt numFmtId="0" formatCode="General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25"/>
        <color theme="1"/>
        <name val="Arial"/>
        <family val="2"/>
        <charset val="16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ck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25"/>
        <color theme="1"/>
        <name val="Arial"/>
        <family val="2"/>
        <charset val="16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25"/>
        <color theme="1"/>
        <name val="Arial"/>
        <family val="2"/>
        <charset val="16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25"/>
        <color theme="1"/>
        <name val="Arial"/>
        <family val="2"/>
        <charset val="162"/>
        <scheme val="none"/>
      </font>
      <numFmt numFmtId="0" formatCode="General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25"/>
        <color theme="1"/>
        <name val="Arial"/>
        <family val="2"/>
        <charset val="162"/>
        <scheme val="none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25"/>
        <color theme="1"/>
        <name val="Arial"/>
        <family val="2"/>
        <charset val="162"/>
        <scheme val="none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3" defaultTableStyle="TableStyleMedium2" defaultPivotStyle="PivotStyleLight16">
    <tableStyle name="Table Style 1" pivot="0" count="0" xr9:uid="{8ECB6B52-41A3-406D-85F5-7C6DBD910D71}"/>
    <tableStyle name="Table Style 2" pivot="0" count="0" xr9:uid="{1DC234D2-8E4D-40E0-8612-73E3B2DB7FCE}"/>
    <tableStyle name="Table Style 3" pivot="0" count="0" xr9:uid="{F653C666-FF1D-42C9-AA47-967B1AD5B48A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tr-TR" sz="2000">
                <a:solidFill>
                  <a:sysClr val="windowText" lastClr="000000"/>
                </a:solidFill>
              </a:rPr>
              <a:t>Makine Grubu - Performans Durumu</a:t>
            </a:r>
          </a:p>
        </c:rich>
      </c:tx>
      <c:layout>
        <c:manualLayout>
          <c:xMode val="edge"/>
          <c:yMode val="edge"/>
          <c:x val="0.35025127737408035"/>
          <c:y val="1.523315316010062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tr-T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En İyi Performans</c:v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tr-T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3"/>
              <c:pt idx="0">
                <c:v>Kangal</c:v>
              </c:pt>
              <c:pt idx="1">
                <c:v>Kılıf</c:v>
              </c:pt>
              <c:pt idx="2">
                <c:v>Özbükme</c:v>
              </c:pt>
            </c:strLit>
          </c:cat>
          <c:val>
            <c:numRef>
              <c:f>Baslangıc!$C$6:$E$6</c:f>
              <c:numCache>
                <c:formatCode>General</c:formatCode>
                <c:ptCount val="3"/>
                <c:pt idx="0">
                  <c:v>90</c:v>
                </c:pt>
                <c:pt idx="1">
                  <c:v>39</c:v>
                </c:pt>
                <c:pt idx="2">
                  <c:v>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678-4967-83C9-26B34E0A9D01}"/>
            </c:ext>
          </c:extLst>
        </c:ser>
        <c:ser>
          <c:idx val="1"/>
          <c:order val="1"/>
          <c:tx>
            <c:v>En Kötü Performans</c:v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tr-T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3"/>
              <c:pt idx="0">
                <c:v>Kangal</c:v>
              </c:pt>
              <c:pt idx="1">
                <c:v>Kılıf</c:v>
              </c:pt>
              <c:pt idx="2">
                <c:v>Özbükme</c:v>
              </c:pt>
            </c:strLit>
          </c:cat>
          <c:val>
            <c:numRef>
              <c:f>Baslangıc!$C$12:$E$12</c:f>
              <c:numCache>
                <c:formatCode>General</c:formatCode>
                <c:ptCount val="3"/>
                <c:pt idx="0">
                  <c:v>25</c:v>
                </c:pt>
                <c:pt idx="1">
                  <c:v>51</c:v>
                </c:pt>
                <c:pt idx="2">
                  <c:v>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678-4967-83C9-26B34E0A9D0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087291448"/>
        <c:axId val="1087292528"/>
      </c:barChart>
      <c:catAx>
        <c:axId val="1087291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1087292528"/>
        <c:crosses val="autoZero"/>
        <c:auto val="1"/>
        <c:lblAlgn val="ctr"/>
        <c:lblOffset val="100"/>
        <c:noMultiLvlLbl val="0"/>
      </c:catAx>
      <c:valAx>
        <c:axId val="1087292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10872914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9501670891781206"/>
          <c:y val="0.93735129981521714"/>
          <c:w val="0.43489993390500381"/>
          <c:h val="6.264887043910426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tr-T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tr-T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2000"/>
            </a:pPr>
            <a:r>
              <a:rPr lang="tr-TR"/>
              <a:t>Kullanılan Özbükme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Baslangıc!$C$77</c:f>
              <c:strCache>
                <c:ptCount val="1"/>
                <c:pt idx="0">
                  <c:v>Count</c:v>
                </c:pt>
              </c:strCache>
            </c:strRef>
          </c:tx>
          <c:invertIfNegative val="0"/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spAutoFit/>
                </a:bodyPr>
                <a:lstStyle/>
                <a:p>
                  <a:pPr>
                    <a:defRPr sz="1200"/>
                  </a:pPr>
                  <a:endParaRPr lang="tr-T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1-F934-49D6-B5F8-D51B86271DD8}"/>
                </c:ext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spAutoFit/>
                </a:bodyPr>
                <a:lstStyle/>
                <a:p>
                  <a:pPr>
                    <a:defRPr sz="1200"/>
                  </a:pPr>
                  <a:endParaRPr lang="tr-T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2-F934-49D6-B5F8-D51B86271DD8}"/>
                </c:ext>
              </c:extLst>
            </c:dLbl>
            <c:dLbl>
              <c:idx val="2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spAutoFit/>
                </a:bodyPr>
                <a:lstStyle/>
                <a:p>
                  <a:pPr>
                    <a:defRPr sz="1200"/>
                  </a:pPr>
                  <a:endParaRPr lang="tr-T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3-F934-49D6-B5F8-D51B86271DD8}"/>
                </c:ext>
              </c:extLst>
            </c:dLbl>
            <c:dLbl>
              <c:idx val="3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spAutoFit/>
                </a:bodyPr>
                <a:lstStyle/>
                <a:p>
                  <a:pPr>
                    <a:defRPr sz="1200"/>
                  </a:pPr>
                  <a:endParaRPr lang="tr-T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4-F934-49D6-B5F8-D51B86271DD8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Baslangıc!$B$78:$B$81</c:f>
              <c:strCache>
                <c:ptCount val="4"/>
                <c:pt idx="0">
                  <c:v>L08-04</c:v>
                </c:pt>
                <c:pt idx="1">
                  <c:v>L08-01</c:v>
                </c:pt>
                <c:pt idx="2">
                  <c:v>L08-02</c:v>
                </c:pt>
                <c:pt idx="3">
                  <c:v>L08-03</c:v>
                </c:pt>
              </c:strCache>
            </c:strRef>
          </c:cat>
          <c:val>
            <c:numRef>
              <c:f>Baslangıc!$C$78:$C$81</c:f>
              <c:numCache>
                <c:formatCode>General</c:formatCode>
                <c:ptCount val="4"/>
                <c:pt idx="0">
                  <c:v>4</c:v>
                </c:pt>
                <c:pt idx="1">
                  <c:v>2</c:v>
                </c:pt>
                <c:pt idx="2">
                  <c:v>3</c:v>
                </c:pt>
                <c:pt idx="3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934-49D6-B5F8-D51B86271D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938401944"/>
        <c:axId val="938406984"/>
      </c:barChart>
      <c:catAx>
        <c:axId val="93840194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2000"/>
                </a:pPr>
                <a:r>
                  <a:rPr lang="tr-TR"/>
                  <a:t>Names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2000"/>
            </a:pPr>
            <a:endParaRPr lang="tr-TR"/>
          </a:p>
        </c:txPr>
        <c:crossAx val="938406984"/>
        <c:crosses val="autoZero"/>
        <c:auto val="1"/>
        <c:lblAlgn val="ctr"/>
        <c:lblOffset val="100"/>
        <c:noMultiLvlLbl val="0"/>
      </c:catAx>
      <c:valAx>
        <c:axId val="93840698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2000"/>
                </a:pPr>
                <a:r>
                  <a:rPr lang="tr-TR"/>
                  <a:t>Count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2000"/>
            </a:pPr>
            <a:endParaRPr lang="tr-TR"/>
          </a:p>
        </c:txPr>
        <c:crossAx val="938401944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2000"/>
            </a:pPr>
            <a:r>
              <a:rPr lang="tr-TR"/>
              <a:t>Kullanılan Kılıf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Baslangıc!$I$77</c:f>
              <c:strCache>
                <c:ptCount val="1"/>
                <c:pt idx="0">
                  <c:v>Count</c:v>
                </c:pt>
              </c:strCache>
            </c:strRef>
          </c:tx>
          <c:invertIfNegative val="0"/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spAutoFit/>
                </a:bodyPr>
                <a:lstStyle/>
                <a:p>
                  <a:pPr>
                    <a:defRPr sz="1200"/>
                  </a:pPr>
                  <a:endParaRPr lang="tr-T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1-69E4-4F0F-8540-6CE44128F358}"/>
                </c:ext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spAutoFit/>
                </a:bodyPr>
                <a:lstStyle/>
                <a:p>
                  <a:pPr>
                    <a:defRPr sz="1200"/>
                  </a:pPr>
                  <a:endParaRPr lang="tr-T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2-69E4-4F0F-8540-6CE44128F358}"/>
                </c:ext>
              </c:extLst>
            </c:dLbl>
            <c:dLbl>
              <c:idx val="2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spAutoFit/>
                </a:bodyPr>
                <a:lstStyle/>
                <a:p>
                  <a:pPr>
                    <a:defRPr sz="1200"/>
                  </a:pPr>
                  <a:endParaRPr lang="tr-T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3-69E4-4F0F-8540-6CE44128F358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Baslangıc!$H$78:$H$80</c:f>
              <c:strCache>
                <c:ptCount val="3"/>
                <c:pt idx="0">
                  <c:v>L13-02</c:v>
                </c:pt>
                <c:pt idx="1">
                  <c:v>L13-01</c:v>
                </c:pt>
                <c:pt idx="2">
                  <c:v>L13-04</c:v>
                </c:pt>
              </c:strCache>
            </c:strRef>
          </c:cat>
          <c:val>
            <c:numRef>
              <c:f>Baslangıc!$I$78:$I$80</c:f>
              <c:numCache>
                <c:formatCode>General</c:formatCode>
                <c:ptCount val="3"/>
                <c:pt idx="0">
                  <c:v>11</c:v>
                </c:pt>
                <c:pt idx="1">
                  <c:v>3</c:v>
                </c:pt>
                <c:pt idx="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9E4-4F0F-8540-6CE44128F3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927723048"/>
        <c:axId val="927723408"/>
      </c:barChart>
      <c:catAx>
        <c:axId val="92772304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2000"/>
                </a:pPr>
                <a:r>
                  <a:rPr lang="tr-TR"/>
                  <a:t>Names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2000"/>
            </a:pPr>
            <a:endParaRPr lang="tr-TR"/>
          </a:p>
        </c:txPr>
        <c:crossAx val="927723408"/>
        <c:crosses val="autoZero"/>
        <c:auto val="1"/>
        <c:lblAlgn val="ctr"/>
        <c:lblOffset val="100"/>
        <c:noMultiLvlLbl val="0"/>
      </c:catAx>
      <c:valAx>
        <c:axId val="92772340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2000"/>
                </a:pPr>
                <a:r>
                  <a:rPr lang="tr-TR"/>
                  <a:t>Count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2000"/>
            </a:pPr>
            <a:endParaRPr lang="tr-TR"/>
          </a:p>
        </c:txPr>
        <c:crossAx val="927723048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2000"/>
            </a:pPr>
            <a:r>
              <a:rPr lang="tr-TR"/>
              <a:t>Kullanılan Kangal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Baslangıc!$O$77</c:f>
              <c:strCache>
                <c:ptCount val="1"/>
                <c:pt idx="0">
                  <c:v>Count</c:v>
                </c:pt>
              </c:strCache>
            </c:strRef>
          </c:tx>
          <c:invertIfNegative val="0"/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spAutoFit/>
                </a:bodyPr>
                <a:lstStyle/>
                <a:p>
                  <a:pPr>
                    <a:defRPr sz="1200"/>
                  </a:pPr>
                  <a:endParaRPr lang="tr-T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1-4403-4E08-82E3-7049D978C3B0}"/>
                </c:ext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spAutoFit/>
                </a:bodyPr>
                <a:lstStyle/>
                <a:p>
                  <a:pPr>
                    <a:defRPr sz="1200"/>
                  </a:pPr>
                  <a:endParaRPr lang="tr-T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2-4403-4E08-82E3-7049D978C3B0}"/>
                </c:ext>
              </c:extLst>
            </c:dLbl>
            <c:dLbl>
              <c:idx val="2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spAutoFit/>
                </a:bodyPr>
                <a:lstStyle/>
                <a:p>
                  <a:pPr>
                    <a:defRPr sz="1200"/>
                  </a:pPr>
                  <a:endParaRPr lang="tr-T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3-4403-4E08-82E3-7049D978C3B0}"/>
                </c:ext>
              </c:extLst>
            </c:dLbl>
            <c:dLbl>
              <c:idx val="3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spAutoFit/>
                </a:bodyPr>
                <a:lstStyle/>
                <a:p>
                  <a:pPr>
                    <a:defRPr sz="1200"/>
                  </a:pPr>
                  <a:endParaRPr lang="tr-T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4-4403-4E08-82E3-7049D978C3B0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Baslangıc!$N$78:$N$81</c:f>
              <c:strCache>
                <c:ptCount val="4"/>
                <c:pt idx="0">
                  <c:v>L14-08</c:v>
                </c:pt>
                <c:pt idx="1">
                  <c:v>L14-03</c:v>
                </c:pt>
                <c:pt idx="2">
                  <c:v>L14-05</c:v>
                </c:pt>
                <c:pt idx="3">
                  <c:v>L14-01</c:v>
                </c:pt>
              </c:strCache>
            </c:strRef>
          </c:cat>
          <c:val>
            <c:numRef>
              <c:f>Baslangıc!$O$78:$O$81</c:f>
              <c:numCache>
                <c:formatCode>General</c:formatCode>
                <c:ptCount val="4"/>
                <c:pt idx="0">
                  <c:v>3</c:v>
                </c:pt>
                <c:pt idx="1">
                  <c:v>4</c:v>
                </c:pt>
                <c:pt idx="2">
                  <c:v>4</c:v>
                </c:pt>
                <c:pt idx="3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403-4E08-82E3-7049D978C3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927722328"/>
        <c:axId val="927721608"/>
      </c:barChart>
      <c:catAx>
        <c:axId val="92772232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2000"/>
                </a:pPr>
                <a:r>
                  <a:rPr lang="tr-TR"/>
                  <a:t>Names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2000"/>
            </a:pPr>
            <a:endParaRPr lang="tr-TR"/>
          </a:p>
        </c:txPr>
        <c:crossAx val="927721608"/>
        <c:crosses val="autoZero"/>
        <c:auto val="1"/>
        <c:lblAlgn val="ctr"/>
        <c:lblOffset val="100"/>
        <c:noMultiLvlLbl val="0"/>
      </c:catAx>
      <c:valAx>
        <c:axId val="92772160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2000"/>
                </a:pPr>
                <a:r>
                  <a:rPr lang="tr-TR"/>
                  <a:t>Count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2000"/>
            </a:pPr>
            <a:endParaRPr lang="tr-TR"/>
          </a:p>
        </c:txPr>
        <c:crossAx val="927722328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3000" b="1"/>
            </a:pPr>
            <a:r>
              <a:rPr lang="tr-TR"/>
              <a:t>Ortalama Çekilen Uzunluk (m)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F4B084"/>
            </a:solidFill>
          </c:spPr>
          <c:invertIfNegative val="0"/>
          <c:cat>
            <c:strRef>
              <c:f>'Oz Bukme Analiz'!$AD$5:$AD$8</c:f>
              <c:strCache>
                <c:ptCount val="4"/>
                <c:pt idx="0">
                  <c:v>L08-01</c:v>
                </c:pt>
                <c:pt idx="1">
                  <c:v>L08-02</c:v>
                </c:pt>
                <c:pt idx="2">
                  <c:v>L08-03</c:v>
                </c:pt>
                <c:pt idx="3">
                  <c:v>L08-04</c:v>
                </c:pt>
              </c:strCache>
            </c:strRef>
          </c:cat>
          <c:val>
            <c:numRef>
              <c:f>'Oz Bukme Analiz'!$AE$5:$AE$8</c:f>
              <c:numCache>
                <c:formatCode>General</c:formatCode>
                <c:ptCount val="4"/>
                <c:pt idx="0">
                  <c:v>7684.96</c:v>
                </c:pt>
                <c:pt idx="1">
                  <c:v>7851.52</c:v>
                </c:pt>
                <c:pt idx="2">
                  <c:v>7824.11</c:v>
                </c:pt>
                <c:pt idx="3">
                  <c:v>7712.28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3B1-459B-A4BB-8301745440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927790536"/>
        <c:axId val="983232152"/>
      </c:barChart>
      <c:catAx>
        <c:axId val="92779053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3000"/>
                </a:pPr>
                <a:r>
                  <a:rPr lang="tr-TR"/>
                  <a:t>Makine No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2500"/>
            </a:pPr>
            <a:endParaRPr lang="tr-TR"/>
          </a:p>
        </c:txPr>
        <c:crossAx val="983232152"/>
        <c:crosses val="autoZero"/>
        <c:auto val="1"/>
        <c:lblAlgn val="ctr"/>
        <c:lblOffset val="100"/>
        <c:noMultiLvlLbl val="0"/>
      </c:catAx>
      <c:valAx>
        <c:axId val="98323215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3000"/>
                </a:pPr>
                <a:r>
                  <a:rPr lang="tr-TR"/>
                  <a:t>Ortalama Çekilen Uzunluk (m)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2500"/>
            </a:pPr>
            <a:endParaRPr lang="tr-TR"/>
          </a:p>
        </c:txPr>
        <c:crossAx val="927790536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3000" b="1"/>
            </a:pPr>
            <a:r>
              <a:rPr lang="tr-TR"/>
              <a:t>Ortalama Sapma Miktarı(m)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B4C6E7"/>
            </a:solidFill>
          </c:spPr>
          <c:invertIfNegative val="0"/>
          <c:cat>
            <c:strRef>
              <c:f>'Oz Bukme Analiz'!$AD$5:$AD$8</c:f>
              <c:strCache>
                <c:ptCount val="4"/>
                <c:pt idx="0">
                  <c:v>L08-01</c:v>
                </c:pt>
                <c:pt idx="1">
                  <c:v>L08-02</c:v>
                </c:pt>
                <c:pt idx="2">
                  <c:v>L08-03</c:v>
                </c:pt>
                <c:pt idx="3">
                  <c:v>L08-04</c:v>
                </c:pt>
              </c:strCache>
            </c:strRef>
          </c:cat>
          <c:val>
            <c:numLit>
              <c:formatCode>General</c:formatCode>
              <c:ptCount val="4"/>
              <c:pt idx="0">
                <c:v>37.520000000000003</c:v>
              </c:pt>
              <c:pt idx="1">
                <c:v>11.63</c:v>
              </c:pt>
              <c:pt idx="2">
                <c:v>4.5</c:v>
              </c:pt>
              <c:pt idx="3">
                <c:v>68.150000000000006</c:v>
              </c:pt>
            </c:numLit>
          </c:val>
          <c:extLst>
            <c:ext xmlns:c16="http://schemas.microsoft.com/office/drawing/2014/chart" uri="{C3380CC4-5D6E-409C-BE32-E72D297353CC}">
              <c16:uniqueId val="{00000000-1F89-411E-A029-2140DA1DE3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983229992"/>
        <c:axId val="983231432"/>
      </c:barChart>
      <c:catAx>
        <c:axId val="98322999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3000"/>
                </a:pPr>
                <a:r>
                  <a:rPr lang="tr-TR"/>
                  <a:t>Makine No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2500"/>
            </a:pPr>
            <a:endParaRPr lang="tr-TR"/>
          </a:p>
        </c:txPr>
        <c:crossAx val="983231432"/>
        <c:crosses val="autoZero"/>
        <c:auto val="1"/>
        <c:lblAlgn val="ctr"/>
        <c:lblOffset val="100"/>
        <c:noMultiLvlLbl val="0"/>
      </c:catAx>
      <c:valAx>
        <c:axId val="98323143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3000"/>
                </a:pPr>
                <a:r>
                  <a:rPr lang="tr-TR"/>
                  <a:t>Ortalama Sapma Miktarı(m)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2500"/>
            </a:pPr>
            <a:endParaRPr lang="tr-TR"/>
          </a:p>
        </c:txPr>
        <c:crossAx val="983229992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3000" b="1"/>
            </a:pPr>
            <a:r>
              <a:rPr lang="tr-TR"/>
              <a:t>Ortalama Sapma Miktarı(%)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A9D08E"/>
            </a:solidFill>
          </c:spPr>
          <c:invertIfNegative val="0"/>
          <c:cat>
            <c:strRef>
              <c:f>'Oz Bukme Analiz'!$AD$5:$AD$8</c:f>
              <c:strCache>
                <c:ptCount val="4"/>
                <c:pt idx="0">
                  <c:v>L08-01</c:v>
                </c:pt>
                <c:pt idx="1">
                  <c:v>L08-02</c:v>
                </c:pt>
                <c:pt idx="2">
                  <c:v>L08-03</c:v>
                </c:pt>
                <c:pt idx="3">
                  <c:v>L08-04</c:v>
                </c:pt>
              </c:strCache>
            </c:strRef>
          </c:cat>
          <c:val>
            <c:numLit>
              <c:formatCode>General</c:formatCode>
              <c:ptCount val="4"/>
              <c:pt idx="0">
                <c:v>4.8999999999999998E-3</c:v>
              </c:pt>
              <c:pt idx="1">
                <c:v>1.5E-3</c:v>
              </c:pt>
              <c:pt idx="2">
                <c:v>5.9999999999999995E-4</c:v>
              </c:pt>
              <c:pt idx="3">
                <c:v>8.8000000000000005E-3</c:v>
              </c:pt>
            </c:numLit>
          </c:val>
          <c:extLst>
            <c:ext xmlns:c16="http://schemas.microsoft.com/office/drawing/2014/chart" uri="{C3380CC4-5D6E-409C-BE32-E72D297353CC}">
              <c16:uniqueId val="{00000000-8BBD-4981-B4F6-2E5D8B69FF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983228192"/>
        <c:axId val="983235032"/>
      </c:barChart>
      <c:catAx>
        <c:axId val="98322819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3000"/>
                </a:pPr>
                <a:r>
                  <a:rPr lang="tr-TR"/>
                  <a:t>Makine No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2500"/>
            </a:pPr>
            <a:endParaRPr lang="tr-TR"/>
          </a:p>
        </c:txPr>
        <c:crossAx val="983235032"/>
        <c:crosses val="autoZero"/>
        <c:auto val="1"/>
        <c:lblAlgn val="ctr"/>
        <c:lblOffset val="100"/>
        <c:noMultiLvlLbl val="0"/>
      </c:catAx>
      <c:valAx>
        <c:axId val="98323503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3000"/>
                </a:pPr>
                <a:r>
                  <a:rPr lang="tr-TR"/>
                  <a:t>Ortalama Sapma Miktarı(%)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2500"/>
            </a:pPr>
            <a:endParaRPr lang="tr-TR"/>
          </a:p>
        </c:txPr>
        <c:crossAx val="983228192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800" b="1" i="0" u="none" strike="noStrike" kern="1200" spc="0" baseline="0">
                <a:solidFill>
                  <a:srgbClr val="C00000"/>
                </a:solidFill>
                <a:latin typeface="+mn-lt"/>
                <a:ea typeface="+mn-ea"/>
                <a:cs typeface="+mn-cs"/>
              </a:defRPr>
            </a:pPr>
            <a:r>
              <a:rPr lang="tr-TR" sz="2800" b="1">
                <a:solidFill>
                  <a:srgbClr val="C00000"/>
                </a:solidFill>
              </a:rPr>
              <a:t>LC - Ort. Sapma</a:t>
            </a:r>
            <a:r>
              <a:rPr lang="tr-TR" sz="2800" b="1" baseline="0">
                <a:solidFill>
                  <a:srgbClr val="C00000"/>
                </a:solidFill>
              </a:rPr>
              <a:t> (%)</a:t>
            </a:r>
            <a:endParaRPr lang="en-US" sz="2800" b="1">
              <a:solidFill>
                <a:srgbClr val="C00000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800" b="1" i="0" u="none" strike="noStrike" kern="1200" spc="0" baseline="0">
              <a:solidFill>
                <a:srgbClr val="C00000"/>
              </a:solidFill>
              <a:latin typeface="+mn-lt"/>
              <a:ea typeface="+mn-ea"/>
              <a:cs typeface="+mn-cs"/>
            </a:defRPr>
          </a:pPr>
          <a:endParaRPr lang="tr-T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50800" cap="rnd">
              <a:solidFill>
                <a:srgbClr val="7030A0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tr-T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trendline>
            <c:spPr>
              <a:ln w="25400" cap="rnd">
                <a:solidFill>
                  <a:srgbClr val="7030A0"/>
                </a:solidFill>
                <a:prstDash val="sysDash"/>
              </a:ln>
              <a:effectLst/>
            </c:spPr>
            <c:trendlineType val="linear"/>
            <c:dispRSqr val="0"/>
            <c:dispEq val="0"/>
          </c:trendline>
          <c:cat>
            <c:strRef>
              <c:f>'L08-04 CF Takip'!$AF$6:$AF$11</c:f>
              <c:strCache>
                <c:ptCount val="6"/>
                <c:pt idx="0">
                  <c:v>0.995</c:v>
                </c:pt>
                <c:pt idx="1">
                  <c:v>0.998</c:v>
                </c:pt>
                <c:pt idx="2">
                  <c:v>1</c:v>
                </c:pt>
                <c:pt idx="3">
                  <c:v>1.002</c:v>
                </c:pt>
                <c:pt idx="4">
                  <c:v>1.003</c:v>
                </c:pt>
                <c:pt idx="5">
                  <c:v>1.005</c:v>
                </c:pt>
              </c:strCache>
            </c:strRef>
          </c:cat>
          <c:val>
            <c:numRef>
              <c:f>'L08-04 CF Takip'!$AJ$6:$AJ$11</c:f>
              <c:numCache>
                <c:formatCode>0.00%</c:formatCode>
                <c:ptCount val="6"/>
                <c:pt idx="0">
                  <c:v>1.1857022088309927E-2</c:v>
                </c:pt>
                <c:pt idx="1">
                  <c:v>7.9887218045112535E-3</c:v>
                </c:pt>
                <c:pt idx="2">
                  <c:v>1.0006311959306428E-2</c:v>
                </c:pt>
                <c:pt idx="3">
                  <c:v>8.7009307972480514E-3</c:v>
                </c:pt>
                <c:pt idx="4">
                  <c:v>1.0790041581135848E-2</c:v>
                </c:pt>
                <c:pt idx="5">
                  <c:v>2.2149837133550489E-2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A6A-4DA8-A776-BA56C53F18F5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917432288"/>
        <c:axId val="917433728"/>
      </c:lineChart>
      <c:catAx>
        <c:axId val="91743228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2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tr-TR" sz="2000">
                    <a:solidFill>
                      <a:sysClr val="windowText" lastClr="000000"/>
                    </a:solidFill>
                  </a:rPr>
                  <a:t>Length Corrector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20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917433728"/>
        <c:crosses val="autoZero"/>
        <c:auto val="1"/>
        <c:lblAlgn val="ctr"/>
        <c:lblOffset val="100"/>
        <c:noMultiLvlLbl val="0"/>
      </c:catAx>
      <c:valAx>
        <c:axId val="9174337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2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tr-TR" sz="2000">
                    <a:solidFill>
                      <a:sysClr val="windowText" lastClr="000000"/>
                    </a:solidFill>
                  </a:rPr>
                  <a:t>Sapma  (%)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20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</c:title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9174322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tr-TR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800" b="1" i="0" u="none" strike="noStrike" kern="1200" spc="0" baseline="0">
                <a:solidFill>
                  <a:srgbClr val="C00000"/>
                </a:solidFill>
                <a:latin typeface="+mn-lt"/>
                <a:ea typeface="+mn-ea"/>
                <a:cs typeface="+mn-cs"/>
              </a:defRPr>
            </a:pPr>
            <a:r>
              <a:rPr lang="tr-TR" sz="2800" b="1">
                <a:solidFill>
                  <a:srgbClr val="C00000"/>
                </a:solidFill>
              </a:rPr>
              <a:t>LC - 0rt.</a:t>
            </a:r>
            <a:r>
              <a:rPr lang="tr-TR" sz="2800" b="1" baseline="0">
                <a:solidFill>
                  <a:srgbClr val="C00000"/>
                </a:solidFill>
              </a:rPr>
              <a:t> Sapma (m)</a:t>
            </a:r>
            <a:endParaRPr lang="tr-TR" sz="2800" b="1">
              <a:solidFill>
                <a:srgbClr val="C00000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800" b="1" i="0" u="none" strike="noStrike" kern="1200" spc="0" baseline="0">
              <a:solidFill>
                <a:srgbClr val="C00000"/>
              </a:solidFill>
              <a:latin typeface="+mn-lt"/>
              <a:ea typeface="+mn-ea"/>
              <a:cs typeface="+mn-cs"/>
            </a:defRPr>
          </a:pPr>
          <a:endParaRPr lang="tr-T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5080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tr-T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trendline>
            <c:spPr>
              <a:ln w="25400" cap="rnd">
                <a:solidFill>
                  <a:schemeClr val="accent1"/>
                </a:solidFill>
                <a:prstDash val="sysDash"/>
              </a:ln>
              <a:effectLst/>
            </c:spPr>
            <c:trendlineType val="linear"/>
            <c:dispRSqr val="0"/>
            <c:dispEq val="0"/>
          </c:trendline>
          <c:cat>
            <c:strRef>
              <c:f>'L08-04 CF Takip'!$AF$6:$AF$11</c:f>
              <c:strCache>
                <c:ptCount val="6"/>
                <c:pt idx="0">
                  <c:v>0.995</c:v>
                </c:pt>
                <c:pt idx="1">
                  <c:v>0.998</c:v>
                </c:pt>
                <c:pt idx="2">
                  <c:v>1</c:v>
                </c:pt>
                <c:pt idx="3">
                  <c:v>1.002</c:v>
                </c:pt>
                <c:pt idx="4">
                  <c:v>1.003</c:v>
                </c:pt>
                <c:pt idx="5">
                  <c:v>1.005</c:v>
                </c:pt>
              </c:strCache>
            </c:strRef>
          </c:cat>
          <c:val>
            <c:numRef>
              <c:f>'L08-04 CF Takip'!$AI$6:$AI$11</c:f>
              <c:numCache>
                <c:formatCode>General</c:formatCode>
                <c:ptCount val="6"/>
                <c:pt idx="0">
                  <c:v>91.16666666666697</c:v>
                </c:pt>
                <c:pt idx="1">
                  <c:v>61.199999999999818</c:v>
                </c:pt>
                <c:pt idx="2">
                  <c:v>77</c:v>
                </c:pt>
                <c:pt idx="3">
                  <c:v>66.888888888888687</c:v>
                </c:pt>
                <c:pt idx="4">
                  <c:v>82</c:v>
                </c:pt>
                <c:pt idx="5">
                  <c:v>170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2FC-459A-88CC-98B52E353136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297949824"/>
        <c:axId val="297949464"/>
        <c:extLst/>
      </c:lineChart>
      <c:catAx>
        <c:axId val="29794982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2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tr-TR" sz="2000">
                    <a:solidFill>
                      <a:sysClr val="windowText" lastClr="000000"/>
                    </a:solidFill>
                  </a:rPr>
                  <a:t>Length Corrector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20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297949464"/>
        <c:crosses val="autoZero"/>
        <c:auto val="1"/>
        <c:lblAlgn val="ctr"/>
        <c:lblOffset val="100"/>
        <c:noMultiLvlLbl val="0"/>
      </c:catAx>
      <c:valAx>
        <c:axId val="297949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tr-TR" sz="2000">
                    <a:solidFill>
                      <a:sysClr val="windowText" lastClr="000000"/>
                    </a:solidFill>
                  </a:rPr>
                  <a:t>Sapma (m)</a:t>
                </a:r>
                <a:endParaRPr lang="tr-TR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2979498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tr-TR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3000"/>
            </a:pPr>
            <a:r>
              <a:rPr lang="tr-TR"/>
              <a:t>Çekilen Ort. Boy [Reel] (m)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ADD8E6"/>
            </a:solidFill>
          </c:spPr>
          <c:invertIfNegative val="0"/>
          <c:val>
            <c:numRef>
              <c:f>'Kılıf Analiz'!$AF$4:$AF$7</c:f>
              <c:numCache>
                <c:formatCode>General</c:formatCode>
                <c:ptCount val="4"/>
                <c:pt idx="0">
                  <c:v>7859.1071428571431</c:v>
                </c:pt>
                <c:pt idx="1">
                  <c:v>7774.2772277227723</c:v>
                </c:pt>
                <c:pt idx="2">
                  <c:v>7685.0714285714284</c:v>
                </c:pt>
                <c:pt idx="3">
                  <c:v>7671.8888888888887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07D-4ED5-9BB8-1ED282D174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62547624"/>
        <c:axId val="562545824"/>
      </c:barChart>
      <c:catAx>
        <c:axId val="56254762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3000"/>
                </a:pPr>
                <a:r>
                  <a:rPr lang="tr-TR"/>
                  <a:t>Makine</a:t>
                </a:r>
              </a:p>
            </c:rich>
          </c:tx>
          <c:overlay val="0"/>
        </c:title>
        <c:majorTickMark val="out"/>
        <c:minorTickMark val="none"/>
        <c:tickLblPos val="nextTo"/>
        <c:txPr>
          <a:bodyPr/>
          <a:lstStyle/>
          <a:p>
            <a:pPr>
              <a:defRPr sz="2500"/>
            </a:pPr>
            <a:endParaRPr lang="tr-TR"/>
          </a:p>
        </c:txPr>
        <c:crossAx val="562545824"/>
        <c:crosses val="autoZero"/>
        <c:auto val="1"/>
        <c:lblAlgn val="ctr"/>
        <c:lblOffset val="100"/>
        <c:noMultiLvlLbl val="0"/>
      </c:catAx>
      <c:valAx>
        <c:axId val="56254582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3000"/>
                </a:pPr>
                <a:r>
                  <a:rPr lang="tr-TR"/>
                  <a:t>Çekilen Ort. Boy [Reel] (m)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2500"/>
            </a:pPr>
            <a:endParaRPr lang="tr-TR"/>
          </a:p>
        </c:txPr>
        <c:crossAx val="562547624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3000"/>
            </a:pPr>
            <a:r>
              <a:rPr lang="tr-TR"/>
              <a:t>Ort. Sapma Miktarı (m)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006400"/>
            </a:solidFill>
          </c:spPr>
          <c:invertIfNegative val="0"/>
          <c:val>
            <c:numRef>
              <c:f>'Kılıf Analiz'!$AE$40:$AE$43</c:f>
              <c:numCache>
                <c:formatCode>General</c:formatCode>
                <c:ptCount val="4"/>
                <c:pt idx="0">
                  <c:v>37.142857142857146</c:v>
                </c:pt>
                <c:pt idx="1">
                  <c:v>6.3861386138613865</c:v>
                </c:pt>
                <c:pt idx="2">
                  <c:v>2.7142857142857144</c:v>
                </c:pt>
                <c:pt idx="3">
                  <c:v>8.2222222222222214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756-4246-BCB9-1012AC822C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928351832"/>
        <c:axId val="928352552"/>
      </c:barChart>
      <c:catAx>
        <c:axId val="92835183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3000"/>
                </a:pPr>
                <a:r>
                  <a:rPr lang="tr-TR"/>
                  <a:t>Makine</a:t>
                </a:r>
              </a:p>
            </c:rich>
          </c:tx>
          <c:overlay val="0"/>
        </c:title>
        <c:majorTickMark val="out"/>
        <c:minorTickMark val="none"/>
        <c:tickLblPos val="nextTo"/>
        <c:txPr>
          <a:bodyPr/>
          <a:lstStyle/>
          <a:p>
            <a:pPr>
              <a:defRPr sz="2500"/>
            </a:pPr>
            <a:endParaRPr lang="tr-TR"/>
          </a:p>
        </c:txPr>
        <c:crossAx val="928352552"/>
        <c:crosses val="autoZero"/>
        <c:auto val="1"/>
        <c:lblAlgn val="ctr"/>
        <c:lblOffset val="100"/>
        <c:noMultiLvlLbl val="0"/>
      </c:catAx>
      <c:valAx>
        <c:axId val="92835255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3000"/>
                </a:pPr>
                <a:r>
                  <a:rPr lang="tr-TR"/>
                  <a:t>Ort. Sapma Miktarı (m)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2500"/>
            </a:pPr>
            <a:endParaRPr lang="tr-TR"/>
          </a:p>
        </c:txPr>
        <c:crossAx val="928351832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3000"/>
            </a:pPr>
            <a:r>
              <a:rPr lang="tr-TR"/>
              <a:t>Ort. Sapma Miktarı (%)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'Kılıf Analiz'!$AH$4:$AH$7</c:f>
              <c:numCache>
                <c:formatCode>0.00%</c:formatCode>
                <c:ptCount val="4"/>
                <c:pt idx="0">
                  <c:v>4.7260912044716098E-3</c:v>
                </c:pt>
                <c:pt idx="1">
                  <c:v>8.2144467283577988E-4</c:v>
                </c:pt>
                <c:pt idx="2">
                  <c:v>3.5318939316485582E-4</c:v>
                </c:pt>
                <c:pt idx="3">
                  <c:v>1.0717337465784174E-3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07-4196-9748-F41BE3BC65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928350392"/>
        <c:axId val="928350752"/>
      </c:barChart>
      <c:catAx>
        <c:axId val="92835039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3000"/>
                </a:pPr>
                <a:r>
                  <a:rPr lang="tr-TR"/>
                  <a:t>Makine</a:t>
                </a:r>
              </a:p>
            </c:rich>
          </c:tx>
          <c:overlay val="0"/>
        </c:title>
        <c:majorTickMark val="out"/>
        <c:minorTickMark val="none"/>
        <c:tickLblPos val="nextTo"/>
        <c:txPr>
          <a:bodyPr/>
          <a:lstStyle/>
          <a:p>
            <a:pPr>
              <a:defRPr sz="2500"/>
            </a:pPr>
            <a:endParaRPr lang="tr-TR"/>
          </a:p>
        </c:txPr>
        <c:crossAx val="928350752"/>
        <c:crosses val="autoZero"/>
        <c:auto val="1"/>
        <c:lblAlgn val="ctr"/>
        <c:lblOffset val="100"/>
        <c:noMultiLvlLbl val="0"/>
      </c:catAx>
      <c:valAx>
        <c:axId val="92835075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3000"/>
                </a:pPr>
                <a:r>
                  <a:rPr lang="tr-TR"/>
                  <a:t>Ort. Sapma Miktarı (%)</a:t>
                </a:r>
              </a:p>
            </c:rich>
          </c:tx>
          <c:overlay val="0"/>
        </c:title>
        <c:numFmt formatCode="0.00%" sourceLinked="1"/>
        <c:majorTickMark val="out"/>
        <c:minorTickMark val="none"/>
        <c:tickLblPos val="nextTo"/>
        <c:txPr>
          <a:bodyPr/>
          <a:lstStyle/>
          <a:p>
            <a:pPr>
              <a:defRPr sz="2500"/>
            </a:pPr>
            <a:endParaRPr lang="tr-TR"/>
          </a:p>
        </c:txPr>
        <c:crossAx val="928350392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3000"/>
            </a:pPr>
            <a:r>
              <a:rPr lang="tr-TR"/>
              <a:t>Makine Kullanım Oranları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tx>
            <c:strRef>
              <c:f>'Kılıf Analiz'!$AL$4</c:f>
              <c:strCache>
                <c:ptCount val="1"/>
                <c:pt idx="0">
                  <c:v>Yüzdelik</c:v>
                </c:pt>
              </c:strCache>
            </c:strRef>
          </c:tx>
          <c:dPt>
            <c:idx val="0"/>
            <c:bubble3D val="0"/>
            <c:spPr>
              <a:solidFill>
                <a:srgbClr val="F4B084"/>
              </a:solidFill>
            </c:spPr>
            <c:extLst>
              <c:ext xmlns:c16="http://schemas.microsoft.com/office/drawing/2014/chart" uri="{C3380CC4-5D6E-409C-BE32-E72D297353CC}">
                <c16:uniqueId val="{00000001-6F6F-4B70-AACF-C3791A335417}"/>
              </c:ext>
            </c:extLst>
          </c:dPt>
          <c:dPt>
            <c:idx val="1"/>
            <c:bubble3D val="0"/>
            <c:spPr>
              <a:solidFill>
                <a:srgbClr val="FFD966"/>
              </a:solidFill>
            </c:spPr>
            <c:extLst>
              <c:ext xmlns:c16="http://schemas.microsoft.com/office/drawing/2014/chart" uri="{C3380CC4-5D6E-409C-BE32-E72D297353CC}">
                <c16:uniqueId val="{00000002-6F6F-4B70-AACF-C3791A335417}"/>
              </c:ext>
            </c:extLst>
          </c:dPt>
          <c:dPt>
            <c:idx val="2"/>
            <c:bubble3D val="0"/>
            <c:spPr>
              <a:solidFill>
                <a:srgbClr val="A9D08E"/>
              </a:solidFill>
            </c:spPr>
            <c:extLst>
              <c:ext xmlns:c16="http://schemas.microsoft.com/office/drawing/2014/chart" uri="{C3380CC4-5D6E-409C-BE32-E72D297353CC}">
                <c16:uniqueId val="{00000003-6F6F-4B70-AACF-C3791A335417}"/>
              </c:ext>
            </c:extLst>
          </c:dPt>
          <c:dPt>
            <c:idx val="3"/>
            <c:bubble3D val="0"/>
            <c:spPr>
              <a:solidFill>
                <a:srgbClr val="B4C6E7"/>
              </a:solidFill>
            </c:spPr>
            <c:extLst>
              <c:ext xmlns:c16="http://schemas.microsoft.com/office/drawing/2014/chart" uri="{C3380CC4-5D6E-409C-BE32-E72D297353CC}">
                <c16:uniqueId val="{00000004-6F6F-4B70-AACF-C3791A335417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spAutoFit/>
                </a:bodyPr>
                <a:lstStyle/>
                <a:p>
                  <a:pPr>
                    <a:defRPr sz="2500" b="1"/>
                  </a:pPr>
                  <a:endParaRPr lang="tr-T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1-6F6F-4B70-AACF-C3791A335417}"/>
                </c:ext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spAutoFit/>
                </a:bodyPr>
                <a:lstStyle/>
                <a:p>
                  <a:pPr>
                    <a:defRPr sz="2500" b="1"/>
                  </a:pPr>
                  <a:endParaRPr lang="tr-T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2-6F6F-4B70-AACF-C3791A335417}"/>
                </c:ext>
              </c:extLst>
            </c:dLbl>
            <c:dLbl>
              <c:idx val="2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spAutoFit/>
                </a:bodyPr>
                <a:lstStyle/>
                <a:p>
                  <a:pPr>
                    <a:defRPr sz="2500" b="1"/>
                  </a:pPr>
                  <a:endParaRPr lang="tr-T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3-6F6F-4B70-AACF-C3791A335417}"/>
                </c:ext>
              </c:extLst>
            </c:dLbl>
            <c:dLbl>
              <c:idx val="3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spAutoFit/>
                </a:bodyPr>
                <a:lstStyle/>
                <a:p>
                  <a:pPr>
                    <a:defRPr sz="2500" b="1"/>
                  </a:pPr>
                  <a:endParaRPr lang="tr-T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4-6F6F-4B70-AACF-C3791A335417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'Kılıf Analiz'!$AJ$5:$AJ$8</c:f>
              <c:strCache>
                <c:ptCount val="4"/>
                <c:pt idx="0">
                  <c:v>L13-01</c:v>
                </c:pt>
                <c:pt idx="1">
                  <c:v>L13-02</c:v>
                </c:pt>
                <c:pt idx="2">
                  <c:v>L13-03</c:v>
                </c:pt>
                <c:pt idx="3">
                  <c:v>L13-04</c:v>
                </c:pt>
              </c:strCache>
            </c:strRef>
          </c:cat>
          <c:val>
            <c:numRef>
              <c:f>'Kılıf Analiz'!$AL$5:$AL$8</c:f>
              <c:numCache>
                <c:formatCode>0.00%</c:formatCode>
                <c:ptCount val="4"/>
                <c:pt idx="0">
                  <c:v>0.18421052631578946</c:v>
                </c:pt>
                <c:pt idx="1">
                  <c:v>0.66447368421052633</c:v>
                </c:pt>
                <c:pt idx="2">
                  <c:v>9.2105263157894732E-2</c:v>
                </c:pt>
                <c:pt idx="3">
                  <c:v>5.921052631578947E-2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6F-4B70-AACF-C3791A3354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  <c:txPr>
        <a:bodyPr/>
        <a:lstStyle/>
        <a:p>
          <a:pPr>
            <a:defRPr sz="2500"/>
          </a:pPr>
          <a:endParaRPr lang="tr-T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9.xml"/><Relationship Id="rId1" Type="http://schemas.openxmlformats.org/officeDocument/2006/relationships/chart" Target="../charts/chart8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Relationship Id="rId4" Type="http://schemas.openxmlformats.org/officeDocument/2006/relationships/chart" Target="../charts/chart1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</xdr:colOff>
      <xdr:row>1</xdr:row>
      <xdr:rowOff>0</xdr:rowOff>
    </xdr:from>
    <xdr:to>
      <xdr:col>11</xdr:col>
      <xdr:colOff>1571625</xdr:colOff>
      <xdr:row>15</xdr:row>
      <xdr:rowOff>149678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5EF64CA-873A-4444-B379-259B714F416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76</xdr:row>
      <xdr:rowOff>0</xdr:rowOff>
    </xdr:from>
    <xdr:to>
      <xdr:col>6</xdr:col>
      <xdr:colOff>0</xdr:colOff>
      <xdr:row>99</xdr:row>
      <xdr:rowOff>85725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87BE76A8-E8F8-2AAA-2363-3A747F5B6C4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0</xdr:colOff>
      <xdr:row>76</xdr:row>
      <xdr:rowOff>0</xdr:rowOff>
    </xdr:from>
    <xdr:to>
      <xdr:col>12</xdr:col>
      <xdr:colOff>209550</xdr:colOff>
      <xdr:row>99</xdr:row>
      <xdr:rowOff>85725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696618D4-A337-C17B-B3D5-0F85407FF18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0</xdr:colOff>
      <xdr:row>76</xdr:row>
      <xdr:rowOff>0</xdr:rowOff>
    </xdr:from>
    <xdr:to>
      <xdr:col>18</xdr:col>
      <xdr:colOff>276225</xdr:colOff>
      <xdr:row>99</xdr:row>
      <xdr:rowOff>85725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542869A2-2AB8-5575-BBED-B78D1F4B338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29</xdr:col>
      <xdr:colOff>0</xdr:colOff>
      <xdr:row>15</xdr:row>
      <xdr:rowOff>0</xdr:rowOff>
    </xdr:from>
    <xdr:to>
      <xdr:col>36</xdr:col>
      <xdr:colOff>714375</xdr:colOff>
      <xdr:row>37</xdr:row>
      <xdr:rowOff>314325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EBAB0FEA-DEB3-E918-1AE7-21262EEAA62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29</xdr:col>
      <xdr:colOff>0</xdr:colOff>
      <xdr:row>42</xdr:row>
      <xdr:rowOff>0</xdr:rowOff>
    </xdr:from>
    <xdr:to>
      <xdr:col>36</xdr:col>
      <xdr:colOff>714375</xdr:colOff>
      <xdr:row>66</xdr:row>
      <xdr:rowOff>152400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A61A941B-DB9E-FB6A-3448-0731F742B0A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29</xdr:col>
      <xdr:colOff>0</xdr:colOff>
      <xdr:row>69</xdr:row>
      <xdr:rowOff>0</xdr:rowOff>
    </xdr:from>
    <xdr:to>
      <xdr:col>36</xdr:col>
      <xdr:colOff>714375</xdr:colOff>
      <xdr:row>91</xdr:row>
      <xdr:rowOff>314325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409DD736-B9C8-E784-F57E-ECDA771B93C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29</xdr:col>
      <xdr:colOff>1649555</xdr:colOff>
      <xdr:row>12</xdr:row>
      <xdr:rowOff>355888</xdr:rowOff>
    </xdr:from>
    <xdr:to>
      <xdr:col>34</xdr:col>
      <xdr:colOff>904874</xdr:colOff>
      <xdr:row>34</xdr:row>
      <xdr:rowOff>190500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9298DF3-AD0D-6435-8ABF-54938EB539C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34</xdr:col>
      <xdr:colOff>1690687</xdr:colOff>
      <xdr:row>12</xdr:row>
      <xdr:rowOff>368876</xdr:rowOff>
    </xdr:from>
    <xdr:to>
      <xdr:col>40</xdr:col>
      <xdr:colOff>1666874</xdr:colOff>
      <xdr:row>34</xdr:row>
      <xdr:rowOff>309561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30712016-9650-D807-2E45-4E0304B44EB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0</xdr:colOff>
      <xdr:row>10</xdr:row>
      <xdr:rowOff>3175</xdr:rowOff>
    </xdr:from>
    <xdr:to>
      <xdr:col>33</xdr:col>
      <xdr:colOff>3429000</xdr:colOff>
      <xdr:row>33</xdr:row>
      <xdr:rowOff>50800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165DC36D-83E7-8ECA-796F-65D3C5A3877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30</xdr:col>
      <xdr:colOff>0</xdr:colOff>
      <xdr:row>37</xdr:row>
      <xdr:rowOff>107950</xdr:rowOff>
    </xdr:from>
    <xdr:to>
      <xdr:col>33</xdr:col>
      <xdr:colOff>3429000</xdr:colOff>
      <xdr:row>59</xdr:row>
      <xdr:rowOff>88900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95924AD3-68FF-4CB7-C99F-05E62B41187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30</xdr:col>
      <xdr:colOff>0</xdr:colOff>
      <xdr:row>63</xdr:row>
      <xdr:rowOff>88900</xdr:rowOff>
    </xdr:from>
    <xdr:to>
      <xdr:col>33</xdr:col>
      <xdr:colOff>3429000</xdr:colOff>
      <xdr:row>85</xdr:row>
      <xdr:rowOff>69850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8A40A7A3-D307-BC13-FBEC-D507F7897F7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35</xdr:col>
      <xdr:colOff>0</xdr:colOff>
      <xdr:row>2</xdr:row>
      <xdr:rowOff>0</xdr:rowOff>
    </xdr:from>
    <xdr:to>
      <xdr:col>41</xdr:col>
      <xdr:colOff>0</xdr:colOff>
      <xdr:row>22</xdr:row>
      <xdr:rowOff>123825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B875B1B2-AAFB-E293-4BA0-35EFDF05D65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7DF06FE-8306-4763-BC8B-746BABA87D86}" name="Table1" displayName="Table1" ref="V3:AB150" totalsRowShown="0" headerRowDxfId="152" dataDxfId="151" tableBorderDxfId="150">
  <autoFilter ref="V3:AB150" xr:uid="{97DF06FE-8306-4763-BC8B-746BABA87D86}"/>
  <sortState xmlns:xlrd2="http://schemas.microsoft.com/office/spreadsheetml/2017/richdata2" ref="V5:AB150">
    <sortCondition ref="V3:V150"/>
  </sortState>
  <tableColumns count="7">
    <tableColumn id="1" xr3:uid="{2227060C-2393-433D-B822-EDCF1B642D31}" name="Reel" dataDxfId="149">
      <calculatedColumnFormula>IF(RIGHT(C4, 1)="1",
    IF(O4&lt;&gt;"", 500*O4 + T4 + IF(R4&lt;=110, R4, 0), IF(P4&lt;&gt;"", 305*P4 + T4 + IF(R4&lt;=110, R4, 0), "")),
    IF(O4&lt;&gt;"", 500*O4 + T4, IF(P4&lt;&gt;"", 305*P4 + T4, ""))
)</calculatedColumnFormula>
    </tableColumn>
    <tableColumn id="6" xr3:uid="{767128D5-EEE8-4E8B-9295-D9359A80082D}" name="Reel - Kangal _x000a_Arası Fark" dataDxfId="148">
      <calculatedColumnFormula>IF(OR(ISBLANK(V4), ISBLANK(S4), NOT(ISNUMBER(V4)), NOT(ISNUMBER(S4))), "", V4-S4)</calculatedColumnFormula>
    </tableColumn>
    <tableColumn id="2" xr3:uid="{594131AC-7077-4740-9F57-3C84FE3F36F8}" name="Reel - Kılıf _x000a_Arası Fark" dataDxfId="147">
      <calculatedColumnFormula>IF(OR(ISBLANK(V4), ISBLANK(K4), NOT(ISNUMBER(V4)), NOT(ISNUMBER(K4))), "", V4-K4)</calculatedColumnFormula>
    </tableColumn>
    <tableColumn id="7" xr3:uid="{4ECD725F-DCAD-4570-AA6B-3B1FE4923EA6}" name="Reel - Öz _x000a_Arası Fark" dataDxfId="146">
      <calculatedColumnFormula>IF(OR(ISBLANK(V4), ISBLANK(F4), NOT(ISNUMBER(V4)), NOT(ISNUMBER(F4))), "", V4-F4)</calculatedColumnFormula>
    </tableColumn>
    <tableColumn id="3" xr3:uid="{500E422A-BFAA-45FB-B374-16A20842A98D}" name="Kılıf - Öz _x000a_Arası Fark" dataDxfId="145">
      <calculatedColumnFormula>IF(OR(ISBLANK(F4), ISBLANK(K4)), "",K4-F4)</calculatedColumnFormula>
    </tableColumn>
    <tableColumn id="4" xr3:uid="{8D9D4397-852F-4AC6-BA09-F603A31A8799}" name="Kangal - Kılıf Arası Fark" dataDxfId="144">
      <calculatedColumnFormula>IF(OR(ISBLANK(K4), ISBLANK(S4)), "",S4-K4)</calculatedColumnFormula>
    </tableColumn>
    <tableColumn id="5" xr3:uid="{24910399-6974-4354-9644-C0382B060329}" name="Kangal - Öz Arası Fark" dataDxfId="143">
      <calculatedColumnFormula>IF(OR(ISBLANK(F4), ISBLANK(S4)), "",S4-F4)</calculatedColumnFormula>
    </tableColumn>
  </tableColumns>
  <tableStyleInfo name="Table Style 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42FC7022-C4B5-4029-B254-A378F8D0147B}" name="Table19" displayName="Table19" ref="V3:AB68" totalsRowShown="0" headerRowDxfId="142" dataDxfId="141" tableBorderDxfId="140">
  <autoFilter ref="V3:AB68" xr:uid="{97DF06FE-8306-4763-BC8B-746BABA87D86}"/>
  <sortState xmlns:xlrd2="http://schemas.microsoft.com/office/spreadsheetml/2017/richdata2" ref="V4:AB149">
    <sortCondition ref="V3:V150"/>
  </sortState>
  <tableColumns count="7">
    <tableColumn id="1" xr3:uid="{41F47933-00BE-4B7C-9C12-9DEA5C24E3CD}" name="Reel" dataDxfId="139">
      <calculatedColumnFormula>IF(RIGHT(C4, 1)="1",
    IF(O4&lt;&gt;"", 500*O4 + T4 + IF(R4&lt;=110, R4, 0), IF(P4&lt;&gt;"", 305*P4 + T4 + IF(R4&lt;=110, R4, 0), "")),
    IF(O4&lt;&gt;"", 500*O4 + T4, IF(P4&lt;&gt;"", 305*P4 + T4, ""))
)</calculatedColumnFormula>
    </tableColumn>
    <tableColumn id="6" xr3:uid="{1A0727CC-B5FB-4431-93EF-F3BF65807FBE}" name="Reel - Kangal _x000a_Arası Fark" dataDxfId="138">
      <calculatedColumnFormula>IF(OR(ISBLANK(V4), ISBLANK(S4), NOT(ISNUMBER(V4)), NOT(ISNUMBER(S4))), "", V4-S4)</calculatedColumnFormula>
    </tableColumn>
    <tableColumn id="2" xr3:uid="{725416EA-C94F-4B19-BE6C-3F24517FBBCA}" name="Reel - Kılıf _x000a_Arası Fark" dataDxfId="137">
      <calculatedColumnFormula>IF(OR(ISBLANK(V4), ISBLANK(K4), NOT(ISNUMBER(V4)), NOT(ISNUMBER(K4))), "", V4-K4)</calculatedColumnFormula>
    </tableColumn>
    <tableColumn id="7" xr3:uid="{FD06F539-EB16-4B46-A3BA-19FFB6B9A33E}" name="Reel - Öz _x000a_Arası Fark" dataDxfId="136">
      <calculatedColumnFormula>IF(OR(ISBLANK(V4), ISBLANK(F4), NOT(ISNUMBER(V4)), NOT(ISNUMBER(F4))), "", V4-F4)</calculatedColumnFormula>
    </tableColumn>
    <tableColumn id="3" xr3:uid="{A387C83B-1CE6-4B20-9D1C-0B975EB368DA}" name="Kılıf - Öz _x000a_Arası Fark" dataDxfId="135">
      <calculatedColumnFormula>IF(OR(ISBLANK(F4), ISBLANK(K4)), "",K4-F4)</calculatedColumnFormula>
    </tableColumn>
    <tableColumn id="4" xr3:uid="{CBD65FA4-BDA7-4CED-BE73-F117317877D2}" name="Kangal - Kılıf Arası Fark" dataDxfId="134">
      <calculatedColumnFormula>IF(OR(ISBLANK(K4), ISBLANK(S4)), "",S4-K4)</calculatedColumnFormula>
    </tableColumn>
    <tableColumn id="5" xr3:uid="{38EAFE14-8C93-4EC9-9C17-B233ED348DA7}" name="Kangal - Öz Arası Fark" dataDxfId="133">
      <calculatedColumnFormula>IF(OR(ISBLANK(F4), ISBLANK(S4)), "",S4-F4)</calculatedColumnFormula>
    </tableColumn>
  </tableColumns>
  <tableStyleInfo name="Table Style 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50499FB-EA68-4F14-97C5-75F2B12A672C}" name="Table10" displayName="Table10" ref="A3:T155" totalsRowShown="0" headerRowDxfId="132" tableBorderDxfId="131">
  <autoFilter ref="A3:T155" xr:uid="{A50499FB-EA68-4F14-97C5-75F2B12A672C}">
    <filterColumn colId="1">
      <filters>
        <filter val="L08-01"/>
        <filter val="L08-02"/>
        <filter val="L08-03"/>
      </filters>
    </filterColumn>
  </autoFilter>
  <tableColumns count="20">
    <tableColumn id="1" xr3:uid="{D00E8D71-9D2A-487D-89A7-78DD15C0B627}" name="Ürün tipi_x000d__x000a_Yeni satır" dataDxfId="130"/>
    <tableColumn id="2" xr3:uid="{9C57E08C-FFEB-443F-B6DC-B071397E220F}" name="Makine_x000a_Yeni satır" dataDxfId="129"/>
    <tableColumn id="3" xr3:uid="{8390C6DB-4B14-42F8-BBC3-FEE94BFAFABA}" name="Ürün Seri_x000d__x000a_Yeni satır" dataDxfId="128"/>
    <tableColumn id="4" xr3:uid="{D3749393-37DF-4B37-82AD-4507764A3C3B}" name="Operatör_x000d__x000a_Yeni satır" dataDxfId="127"/>
    <tableColumn id="5" xr3:uid="{A33596C3-9AB7-4267-8AE9-1AADC2F53CF6}" name="Öz parti_x000d__x000a_Yeni satır" dataDxfId="126"/>
    <tableColumn id="6" xr3:uid="{4F0978A2-E680-4AE4-B019-51C9C087DC09}" name="Boy_x000d__x000a_Yeni satır" dataDxfId="125"/>
    <tableColumn id="7" xr3:uid="{0FE66A5C-73E4-4736-B5FA-F7357FC32B45}" name="Tarih" dataDxfId="124"/>
    <tableColumn id="8" xr3:uid="{C0ED3FAB-87E7-4A48-A705-CAF141C01A90}" name="Makine" dataDxfId="123"/>
    <tableColumn id="9" xr3:uid="{806AE706-A88D-457B-80F2-86F52E4ABA6E}" name="Operatör" dataDxfId="122"/>
    <tableColumn id="10" xr3:uid="{D1CF3393-BBF8-4FAB-8900-B0889D76249E}" name="Kılıf parti" dataDxfId="121"/>
    <tableColumn id="11" xr3:uid="{E2D12C63-0799-4BB5-A6F4-E00AB9AF3E0A}" name="Boy" dataDxfId="120"/>
    <tableColumn id="12" xr3:uid="{6602264C-4CFF-4B6E-ACF7-DE01B2E090D2}" name="Tarih2" dataDxfId="119"/>
    <tableColumn id="13" xr3:uid="{A879D79A-8142-4F42-9264-6AD0CC8ED919}" name="Makine3" dataDxfId="118"/>
    <tableColumn id="14" xr3:uid="{5DFF58BC-DCF2-4F1E-A5C6-057651EB340C}" name="Operatör4" dataDxfId="117"/>
    <tableColumn id="15" xr3:uid="{42B1344E-C82C-402C-8019-3C4F86B1FDC2}" name="Çekilen Makara Adet" dataDxfId="116"/>
    <tableColumn id="16" xr3:uid="{3BE6B4C3-E988-49B1-9B8F-D53C571362B7}" name="Çekilen Kutu Adet" dataDxfId="115"/>
    <tableColumn id="17" xr3:uid="{74F81349-66B2-496D-9EB8-9A6FFFCB9EBD}" name="Tarih5" dataDxfId="114"/>
    <tableColumn id="18" xr3:uid="{A433C842-5828-4FA1-9330-E447F4CF9EA8}" name="KK.verilen _x000a_numune (m)" dataDxfId="113"/>
    <tableColumn id="19" xr3:uid="{F57E12BD-C4F7-45AB-A052-A5016CCB1334}" name="Yazı mak. _x000a_Sayaç boy" dataDxfId="112"/>
    <tableColumn id="20" xr3:uid="{56D5ABB7-8E99-4E48-958A-860357D2BC45}" name="Artan Boy(m)" dataDxfId="111"/>
  </tableColumns>
  <tableStyleInfo name="Table Style 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1E239B32-ACFE-4541-B4D6-DD6D3D1FF680}" name="Table136" displayName="Table136" ref="V3:AB11" totalsRowShown="0" headerRowDxfId="110" dataDxfId="109" tableBorderDxfId="108">
  <autoFilter ref="V3:AB11" xr:uid="{97DF06FE-8306-4763-BC8B-746BABA87D86}"/>
  <sortState xmlns:xlrd2="http://schemas.microsoft.com/office/spreadsheetml/2017/richdata2" ref="V4:AB149">
    <sortCondition ref="V3:V150"/>
  </sortState>
  <tableColumns count="7">
    <tableColumn id="1" xr3:uid="{E53E5358-301D-420A-A00C-D1323ECCBE45}" name="Reel" dataDxfId="107">
      <calculatedColumnFormula>IF(RIGHT(C4, 1)="1",
    IF(O4&lt;&gt;"", 500*O4 + T4 + IF(R4&lt;=110, R4, 0), IF(P4&lt;&gt;"", 305*P4 + T4 + IF(R4&lt;=110, R4, 0), "")),
    IF(O4&lt;&gt;"", 500*O4 + T4, IF(P4&lt;&gt;"", 305*P4 + T4, ""))
)</calculatedColumnFormula>
    </tableColumn>
    <tableColumn id="6" xr3:uid="{99590A2C-7058-45D3-8D93-0DC7050C1BA6}" name="Reel - Kangal _x000a_Arası Fark" dataDxfId="106">
      <calculatedColumnFormula>IF(OR(ISBLANK(V4), ISBLANK(S4), NOT(ISNUMBER(V4)), NOT(ISNUMBER(S4))), "", V4-S4)</calculatedColumnFormula>
    </tableColumn>
    <tableColumn id="2" xr3:uid="{FF42D0EF-5BD9-45A2-A3F1-5267E303D267}" name="Reel - Kılıf _x000a_Arası Fark" dataDxfId="105">
      <calculatedColumnFormula>IF(OR(ISBLANK(V4), ISBLANK(K4), NOT(ISNUMBER(V4)), NOT(ISNUMBER(K4))), "", V4-K4)</calculatedColumnFormula>
    </tableColumn>
    <tableColumn id="7" xr3:uid="{6FE4DD44-971C-4123-ADB4-1B35D38FC604}" name="Reel - Öz _x000a_Arası Fark" dataDxfId="104">
      <calculatedColumnFormula>IF(OR(ISBLANK(V4), ISBLANK(F4), NOT(ISNUMBER(V4)), NOT(ISNUMBER(F4))), "", V4-F4)</calculatedColumnFormula>
    </tableColumn>
    <tableColumn id="3" xr3:uid="{D42C2807-60DC-4D17-AF09-F63A405EEB74}" name="Kılıf - Öz _x000a_Arası Fark" dataDxfId="103">
      <calculatedColumnFormula>IF(OR(ISBLANK(F4), ISBLANK(K4)), "",K4-F4)</calculatedColumnFormula>
    </tableColumn>
    <tableColumn id="4" xr3:uid="{2E944A73-FC00-41EA-A494-DF23DE9AB1AE}" name="Kangal - Kılıf Arası Fark" dataDxfId="102">
      <calculatedColumnFormula>IF(OR(ISBLANK(K4), ISBLANK(S4)), "",S4-K4)</calculatedColumnFormula>
    </tableColumn>
    <tableColumn id="5" xr3:uid="{233126D9-58C6-4737-A39A-E212158D80D3}" name="Kangal - Öz Arası Fark" dataDxfId="101">
      <calculatedColumnFormula>IF(OR(ISBLANK(F4), ISBLANK(S4)), "",S4-F4)</calculatedColumnFormula>
    </tableColumn>
  </tableColumns>
  <tableStyleInfo name="Table Style 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E927968F-A98E-4D8E-851F-028B232D5A6B}" name="Table1367" displayName="Table1367" ref="V3:AB4" totalsRowShown="0" headerRowDxfId="100" tableBorderDxfId="99">
  <autoFilter ref="V3:AB4" xr:uid="{97DF06FE-8306-4763-BC8B-746BABA87D86}"/>
  <sortState xmlns:xlrd2="http://schemas.microsoft.com/office/spreadsheetml/2017/richdata2" ref="V4:AB149">
    <sortCondition ref="V3:V150"/>
  </sortState>
  <tableColumns count="7">
    <tableColumn id="1" xr3:uid="{4E9096FA-B676-41D5-A7F5-6E3885C4FB1A}" name="Reel" dataDxfId="98">
      <calculatedColumnFormula>IF(RIGHT(C4, 1)="1",
    IF(O4&lt;&gt;"", 500*O4 + T4 + IF(R4&lt;=110, R4, 0), IF(P4&lt;&gt;"", 305*P4 + T4 + IF(R4&lt;=110, R4, 0), "")),
    IF(O4&lt;&gt;"", 500*O4 + T4, IF(P4&lt;&gt;"", 305*P4 + T4, ""))
)</calculatedColumnFormula>
    </tableColumn>
    <tableColumn id="6" xr3:uid="{77149A9C-780C-4008-8C5C-C6544C820CEC}" name="Reel - Kangal _x000a_Arası Fark" dataDxfId="97">
      <calculatedColumnFormula>IF(OR(ISBLANK(V4), ISBLANK(S4), NOT(ISNUMBER(V4)), NOT(ISNUMBER(S4))), "", V4-S4)</calculatedColumnFormula>
    </tableColumn>
    <tableColumn id="2" xr3:uid="{00DA582B-AAB0-4D26-8DD1-8615AA46E30C}" name="Reel - Kılıf _x000a_Arası Fark" dataDxfId="96">
      <calculatedColumnFormula>IF(OR(ISBLANK(V4), ISBLANK(K4), NOT(ISNUMBER(V4)), NOT(ISNUMBER(K4))), "", V4-K4)</calculatedColumnFormula>
    </tableColumn>
    <tableColumn id="7" xr3:uid="{41C7EDC3-BEAC-4CA4-9DAE-E2A4DE37B935}" name="Reel - Öz _x000a_Arası Fark" dataDxfId="95">
      <calculatedColumnFormula>IF(OR(ISBLANK(V4), ISBLANK(F4), NOT(ISNUMBER(V4)), NOT(ISNUMBER(F4))), "", V4-F4)</calculatedColumnFormula>
    </tableColumn>
    <tableColumn id="3" xr3:uid="{98F24217-5FD9-4E1E-9505-2B998C9BBB4D}" name="Kılıf - Öz _x000a_Arası Fark" dataDxfId="94">
      <calculatedColumnFormula>IF(OR(ISBLANK(F4), ISBLANK(K4)), "",K4-F4)</calculatedColumnFormula>
    </tableColumn>
    <tableColumn id="4" xr3:uid="{019BB6C6-89A4-4510-AB16-D0EFD50C57A9}" name="Kangal - Kılıf Arası Fark" dataDxfId="93">
      <calculatedColumnFormula>IF(OR(ISBLANK(K4), ISBLANK(S4)), "",S4-K4)</calculatedColumnFormula>
    </tableColumn>
    <tableColumn id="5" xr3:uid="{9D9FB8BB-594E-48B9-B598-E63EA2AEFCD4}" name="Kangal - Öz Arası Fark" dataDxfId="92">
      <calculatedColumnFormula>IF(OR(ISBLANK(F4), ISBLANK(S4)), "",S4-F4)</calculatedColumnFormula>
    </tableColumn>
  </tableColumns>
  <tableStyleInfo name="Table Style 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70E289D-4055-4FAF-9045-6E666A2A2F35}" name="Table3" displayName="Table3" ref="A22:AA34" totalsRowShown="0" headerRowDxfId="91" dataDxfId="90" tableBorderDxfId="89">
  <autoFilter ref="A22:AA34" xr:uid="{B70E289D-4055-4FAF-9045-6E666A2A2F35}"/>
  <tableColumns count="27">
    <tableColumn id="1" xr3:uid="{12F9DF20-4DE8-45A6-ABDA-BF0489A73A9F}" name="Ürün tipi_x000a_" dataDxfId="88"/>
    <tableColumn id="2" xr3:uid="{900ECFFF-1192-4DD8-A928-6B1038A2F44C}" name="Makine_x000a_" dataDxfId="87"/>
    <tableColumn id="3" xr3:uid="{574DBDF1-7492-47D7-AA5B-4067C39751E1}" name="Ürün Seri_x000a_" dataDxfId="86"/>
    <tableColumn id="4" xr3:uid="{0FBF6E96-2AEB-4567-9616-154DCBAF65B4}" name="Operatör_x000a_" dataDxfId="85"/>
    <tableColumn id="5" xr3:uid="{CF6B83C2-002E-45FB-9EC8-C7372A37BF5B}" name="Öz parti_x000a_" dataDxfId="84"/>
    <tableColumn id="6" xr3:uid="{D5A27896-6D29-4359-9887-1C927DEB820E}" name="Boy_x000a_" dataDxfId="83"/>
    <tableColumn id="7" xr3:uid="{687FF11B-545B-4AB9-9757-F186C56D98A2}" name="Tarih" dataDxfId="82"/>
    <tableColumn id="8" xr3:uid="{5C694067-013A-4D66-8D01-8C7161981ED1}" name="Makine" dataDxfId="81"/>
    <tableColumn id="9" xr3:uid="{0639D0B3-8187-41C3-9E9B-F67702662393}" name="Operatör" dataDxfId="80"/>
    <tableColumn id="10" xr3:uid="{918C87B6-7A26-478E-B693-6C0A049753E6}" name="Kılıf parti" dataDxfId="79"/>
    <tableColumn id="11" xr3:uid="{404126A4-A39B-4BE6-A62A-1BACA7768098}" name="Boy" dataDxfId="78"/>
    <tableColumn id="12" xr3:uid="{66FD90DB-689B-4689-BF3D-4D318F56CD5F}" name="Tarih2" dataDxfId="77"/>
    <tableColumn id="13" xr3:uid="{0C64FAB3-4B48-42E1-B490-C714D6ADEEFB}" name="Makine3" dataDxfId="76"/>
    <tableColumn id="14" xr3:uid="{E1F82DA7-8F01-4623-8020-AB44BCE92D8C}" name="Operatör4" dataDxfId="75"/>
    <tableColumn id="15" xr3:uid="{86340129-401C-4E18-AEEE-1BE38945280F}" name="Çekilen Makara Adet" dataDxfId="74"/>
    <tableColumn id="16" xr3:uid="{D8DE231E-A3EE-40B7-AC2F-84395CC67201}" name="Çekilen Kutu Adet" dataDxfId="73"/>
    <tableColumn id="17" xr3:uid="{B4AD472A-4AC1-4939-A01F-BD645D3DC893}" name="Tarih5" dataDxfId="72"/>
    <tableColumn id="18" xr3:uid="{0D663BA6-FD1C-4469-A4F5-8B366CB68B9A}" name="KK.verilen _x000a_numune (m)" dataDxfId="71"/>
    <tableColumn id="19" xr3:uid="{75799019-E4B5-43DF-AD00-35CFF7D73E86}" name="Yazı mak. _x000a_Sayaç boy" dataDxfId="70"/>
    <tableColumn id="20" xr3:uid="{395528D3-A93D-40CB-99A1-CD64AA0E4418}" name="Artan Boy(m)" dataDxfId="69"/>
    <tableColumn id="22" xr3:uid="{B3358877-C17D-45B2-B95E-D33FB21EA07A}" name="Column1" dataDxfId="68"/>
    <tableColumn id="23" xr3:uid="{DE579497-926E-4817-BEA4-35CC94FCBFBF}" name="Reel" dataDxfId="67">
      <calculatedColumnFormula>IF(OR(ISBLANK(U23), ISBLANK(S23), NOT(ISNUMBER(U23)), NOT(ISNUMBER(S23))), "", U23-S23)</calculatedColumnFormula>
    </tableColumn>
    <tableColumn id="24" xr3:uid="{4D0F7BF5-A93B-454A-A44B-741D20BA6014}" name="Reel - Kangal _x000a_Arası Fark" dataDxfId="66">
      <calculatedColumnFormula>IF(OR(ISBLANK(U23), ISBLANK(K23), NOT(ISNUMBER(U23)), NOT(ISNUMBER(K23))), "", U23-K23)</calculatedColumnFormula>
    </tableColumn>
    <tableColumn id="25" xr3:uid="{9C77CEFA-AA8A-4B3D-A84C-F881F263D761}" name="Reel - Kılıf _x000a_Arası Fark" dataDxfId="65">
      <calculatedColumnFormula>IF(OR(ISBLANK(U23), ISBLANK(F23), NOT(ISNUMBER(U23)), NOT(ISNUMBER(F23))), "", U23-F23)</calculatedColumnFormula>
    </tableColumn>
    <tableColumn id="26" xr3:uid="{9B9E2680-2171-45E9-8824-3D46E1CB44AE}" name="Reel - Öz _x000a_Arası Fark" dataDxfId="64">
      <calculatedColumnFormula>IF(OR(ISBLANK(F23), ISBLANK(K23)), "",K23-F23)</calculatedColumnFormula>
    </tableColumn>
    <tableColumn id="27" xr3:uid="{38722088-841D-4A2A-9BDA-F8236B5347D3}" name="Kılıf - Öz _x000a_Arası Fark" dataDxfId="63">
      <calculatedColumnFormula>IF(OR(ISBLANK(K23), ISBLANK(S23)), "",S23-K23)</calculatedColumnFormula>
    </tableColumn>
    <tableColumn id="28" xr3:uid="{E410BE32-6A70-44A9-A3D7-6450FE147938}" name="Kangal - Kılıf Arası Fark" dataDxfId="62">
      <calculatedColumnFormula>IF(OR(ISBLANK(F23), ISBLANK(S23)), "",S23-F23)</calculatedColumnFormula>
    </tableColumn>
  </tableColumns>
  <tableStyleInfo name="Table Style 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4179A76-C69A-4C28-8DAA-1CC1A26EB6CE}" name="Table4" displayName="Table4" ref="A58:AB73" totalsRowShown="0" headerRowDxfId="61" dataDxfId="60" tableBorderDxfId="59">
  <autoFilter ref="A58:AB73" xr:uid="{04179A76-C69A-4C28-8DAA-1CC1A26EB6CE}"/>
  <tableColumns count="28">
    <tableColumn id="1" xr3:uid="{5BE82E7E-1107-4DAB-8CF1-5D112A914F23}" name="Ürün tipi_x000a_" dataDxfId="58"/>
    <tableColumn id="2" xr3:uid="{B6A85FB4-9BEC-499D-A9A0-A8A667590B77}" name="Makine_x000a_" dataDxfId="57"/>
    <tableColumn id="3" xr3:uid="{C385B014-9495-4F2A-8459-1642485882F3}" name="Ürün Seri_x000a_" dataDxfId="56"/>
    <tableColumn id="4" xr3:uid="{C0691F17-911A-4334-9C63-296BB275F806}" name="Operatör_x000a_" dataDxfId="55"/>
    <tableColumn id="5" xr3:uid="{56F60918-CD02-4A12-A853-E9F960B64DA8}" name="Öz parti_x000a_" dataDxfId="54"/>
    <tableColumn id="6" xr3:uid="{3C8CD367-C1B7-4F4A-96B9-6D285B3FC9C0}" name="Boy_x000a_" dataDxfId="53"/>
    <tableColumn id="7" xr3:uid="{DF032BFA-FC5C-4144-ADD8-6500B6B3962E}" name="Tarih" dataDxfId="52"/>
    <tableColumn id="8" xr3:uid="{81BDDBB6-8FEB-4D7F-ACAB-325C5BA5FD01}" name="Makine" dataDxfId="51"/>
    <tableColumn id="9" xr3:uid="{8285016E-4BE9-4299-A475-41CE0C2CE38B}" name="Operatör" dataDxfId="50"/>
    <tableColumn id="10" xr3:uid="{6E1AF994-215D-4A21-A82B-BF0B77EF7898}" name="Kılıf parti" dataDxfId="49"/>
    <tableColumn id="11" xr3:uid="{F81DC55F-3F56-4ADD-B42F-7104F37FC9C6}" name="Boy" dataDxfId="48"/>
    <tableColumn id="12" xr3:uid="{D959CC83-26B3-4327-A5E4-1F157AF3D3B2}" name="Tarih2" dataDxfId="47"/>
    <tableColumn id="13" xr3:uid="{EC964DC3-EBD4-45DF-B71D-44455BA15332}" name="Makine3" dataDxfId="46"/>
    <tableColumn id="14" xr3:uid="{F8C53DCA-E910-4DBA-B72C-E9AB22FB7BF6}" name="Operatör4" dataDxfId="45"/>
    <tableColumn id="15" xr3:uid="{44A7BF7C-2194-4A0E-B9A5-6C49B0531480}" name="Çekilen Makara Adet" dataDxfId="44"/>
    <tableColumn id="16" xr3:uid="{B6EF8033-5828-4736-A72A-4478F2485836}" name="Çekilen Kutu Adet" dataDxfId="43"/>
    <tableColumn id="17" xr3:uid="{71A40692-7DE0-4FF7-9336-3915190857D7}" name="Tarih5" dataDxfId="42"/>
    <tableColumn id="18" xr3:uid="{1167520A-4691-4826-B27A-FDF638F374C1}" name="KK.verilen _x000a_numune (m)" dataDxfId="41"/>
    <tableColumn id="19" xr3:uid="{D88D8AB7-6B6D-411F-91F0-6B7FFE800A23}" name="Yazı mak. _x000a_Sayaç boy" dataDxfId="40"/>
    <tableColumn id="20" xr3:uid="{2E9C67A1-3713-403F-83D7-4158C587E1FA}" name="Artan Boy(m)" dataDxfId="39"/>
    <tableColumn id="21" xr3:uid="{E93DD938-095E-4F43-9777-A596D99A608C}" name="Column1" dataDxfId="38"/>
    <tableColumn id="22" xr3:uid="{E57DFBDA-1BD2-4ACB-8AC9-38F080E7F8B4}" name="Reel" dataDxfId="37">
      <calculatedColumnFormula>IF(RIGHT(C59, 1)="1",
    IF(O59&lt;&gt;"", 500*O59 + T59 + IF(R59&lt;=110, R59, 0), IF(P59&lt;&gt;"", 305*P59 + T59 + IF(R59&lt;=110, R59, 0), "")),
    IF(O59&lt;&gt;"", 500*O59 + T59, IF(P59&lt;&gt;"", 305*P59 + T59, ""))
)</calculatedColumnFormula>
    </tableColumn>
    <tableColumn id="23" xr3:uid="{AD76EEBC-34FB-42EB-BB38-068443A98F33}" name="Reel - Kangal _x000a_Arası Fark" dataDxfId="36">
      <calculatedColumnFormula>IF(OR(ISBLANK(V59), ISBLANK(S59), NOT(ISNUMBER(V59)), NOT(ISNUMBER(S59))), "", V59-S59)</calculatedColumnFormula>
    </tableColumn>
    <tableColumn id="24" xr3:uid="{7F1A14A7-9AA1-4C71-B693-81D2F6011D42}" name="Reel - Kılıf _x000a_Arası Fark" dataDxfId="35">
      <calculatedColumnFormula>IF(OR(ISBLANK(V59), ISBLANK(K59), NOT(ISNUMBER(V59)), NOT(ISNUMBER(K59))), "", V59-K59)</calculatedColumnFormula>
    </tableColumn>
    <tableColumn id="25" xr3:uid="{6F974DE7-F16E-4189-877B-5E7BFC5AE917}" name="Reel - Öz _x000a_Arası Fark" dataDxfId="34">
      <calculatedColumnFormula>IF(OR(ISBLANK(V59), ISBLANK(F59), NOT(ISNUMBER(V59)), NOT(ISNUMBER(F59))), "", V59-F59)</calculatedColumnFormula>
    </tableColumn>
    <tableColumn id="26" xr3:uid="{92E0E381-5237-4D01-B6DA-D1944374CA31}" name="Kılıf - Öz _x000a_Arası Fark" dataDxfId="33">
      <calculatedColumnFormula>IF(OR(ISBLANK(F59), ISBLANK(K59)), "",K59-F59)</calculatedColumnFormula>
    </tableColumn>
    <tableColumn id="27" xr3:uid="{077A1A1A-79A6-437A-B89A-B1139AEC3F6E}" name="Kangal - Kılıf Arası Fark" dataDxfId="32">
      <calculatedColumnFormula>IF(OR(ISBLANK(K59), ISBLANK(S59)), "",S59-K59)</calculatedColumnFormula>
    </tableColumn>
    <tableColumn id="28" xr3:uid="{0E8452A8-0481-413E-AA79-A41E15AC6EE8}" name="Kangal - Öz Arası Fark" dataDxfId="31">
      <calculatedColumnFormula>IF(OR(ISBLANK(F59), ISBLANK(S59)), "",S59-F59)</calculatedColumnFormula>
    </tableColumn>
  </tableColumns>
  <tableStyleInfo name="Table Style 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1E0E938-EE80-47ED-B786-6F7A315C7664}" name="Table1363" displayName="Table1363" ref="V3:AB6" totalsRowShown="0" headerRowDxfId="30" dataDxfId="29" tableBorderDxfId="28">
  <autoFilter ref="V3:AB6" xr:uid="{97DF06FE-8306-4763-BC8B-746BABA87D86}"/>
  <sortState xmlns:xlrd2="http://schemas.microsoft.com/office/spreadsheetml/2017/richdata2" ref="V4:AB149">
    <sortCondition ref="V3:V150"/>
  </sortState>
  <tableColumns count="7">
    <tableColumn id="1" xr3:uid="{5A55038A-9330-4BCB-A0C8-8452270FE0CD}" name="Reel" dataDxfId="27">
      <calculatedColumnFormula>IF(RIGHT(C4, 1)="1",
    IF(O4&lt;&gt;"", 500*O4 + T4 + IF(R4&lt;=110, R4, 0), IF(P4&lt;&gt;"", 305*P4 + T4 + IF(R4&lt;=110, R4, 0), "")),
    IF(O4&lt;&gt;"", 500*O4 + T4, IF(P4&lt;&gt;"", 305*P4 + T4, ""))
)</calculatedColumnFormula>
    </tableColumn>
    <tableColumn id="6" xr3:uid="{8DAD554A-89AC-41D9-B79D-2A004D5AB8A3}" name="Reel - Kangal _x000a_Arası Fark" dataDxfId="26">
      <calculatedColumnFormula>IF(OR(ISBLANK(V4), ISBLANK(S4), NOT(ISNUMBER(V4)), NOT(ISNUMBER(S4))), "", V4-S4)</calculatedColumnFormula>
    </tableColumn>
    <tableColumn id="2" xr3:uid="{32B5A6B6-2BD2-4D00-B163-B51A7B91670F}" name="Reel - Kılıf _x000a_Arası Fark" dataDxfId="25">
      <calculatedColumnFormula>IF(OR(ISBLANK(V4), ISBLANK(K4), NOT(ISNUMBER(V4)), NOT(ISNUMBER(K4))), "", V4-K4)</calculatedColumnFormula>
    </tableColumn>
    <tableColumn id="7" xr3:uid="{DDD52CA1-AED1-414B-9CCE-3220945BB238}" name="Reel - Öz _x000a_Arası Fark" dataDxfId="24">
      <calculatedColumnFormula>IF(OR(ISBLANK(V4), ISBLANK(F4), NOT(ISNUMBER(V4)), NOT(ISNUMBER(F4))), "", V4-F4)</calculatedColumnFormula>
    </tableColumn>
    <tableColumn id="3" xr3:uid="{F5AF928A-EBD5-41AE-85D1-A3B4CA0CF273}" name="Kılıf - Öz _x000a_Arası Fark" dataDxfId="23">
      <calculatedColumnFormula>IF(OR(ISBLANK(F4), ISBLANK(K4)), "",K4-F4)</calculatedColumnFormula>
    </tableColumn>
    <tableColumn id="4" xr3:uid="{27BCD977-BF6F-4336-8E8B-C10A10F7C6CC}" name="Kangal - Kılıf Arası Fark" dataDxfId="22">
      <calculatedColumnFormula>IF(OR(ISBLANK(K4), ISBLANK(S4)), "",S4-K4)</calculatedColumnFormula>
    </tableColumn>
    <tableColumn id="5" xr3:uid="{0396C734-C369-44FB-A49B-C7E8222AE962}" name="Kangal - Öz Arası Fark" dataDxfId="21">
      <calculatedColumnFormula>IF(OR(ISBLANK(F4), ISBLANK(S4)), "",S4-F4)</calculatedColumnFormula>
    </tableColumn>
  </tableColumns>
  <tableStyleInfo name="Table Style 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BF1571C8-77F8-4805-8A11-ED68827403F2}" name="Table1368" displayName="Table1368" ref="V3:AC11" totalsRowShown="0" headerRowDxfId="20" dataDxfId="19" tableBorderDxfId="18">
  <autoFilter ref="V3:AC11" xr:uid="{97DF06FE-8306-4763-BC8B-746BABA87D86}"/>
  <sortState xmlns:xlrd2="http://schemas.microsoft.com/office/spreadsheetml/2017/richdata2" ref="V4:AB149">
    <sortCondition ref="V3:V150"/>
  </sortState>
  <tableColumns count="8">
    <tableColumn id="1" xr3:uid="{52DAAA03-9C6B-49AC-BB4E-BC3BFFF836B8}" name="Reel" dataDxfId="17">
      <calculatedColumnFormula>IF(RIGHT(C4, 1)="1",
    IF(O4&lt;&gt;"", 500*O4 + T4 + IF(R4&lt;=110, R4, 0), IF(P4&lt;&gt;"", 305*P4 + T4 + IF(R4&lt;=110, R4, 0), "")),
    IF(O4&lt;&gt;"", 500*O4 + T4, IF(P4&lt;&gt;"", 305*P4 + T4, ""))
)</calculatedColumnFormula>
    </tableColumn>
    <tableColumn id="6" xr3:uid="{B817B457-419C-45A1-A7F5-590283A68322}" name="Reel - Kangal _x000a_Arası Fark" dataDxfId="16">
      <calculatedColumnFormula>IF(OR(ISBLANK(V4), ISBLANK(S4), NOT(ISNUMBER(V4)), NOT(ISNUMBER(S4))), "", V4-S4)</calculatedColumnFormula>
    </tableColumn>
    <tableColumn id="2" xr3:uid="{A34F18FA-1BB3-4320-B1D9-DBA187D3A59A}" name="Reel - Kılıf _x000a_Arası Fark" dataDxfId="15">
      <calculatedColumnFormula>IF(OR(ISBLANK(V4), ISBLANK(K4), NOT(ISNUMBER(V4)), NOT(ISNUMBER(K4))), "", V4-K4)</calculatedColumnFormula>
    </tableColumn>
    <tableColumn id="7" xr3:uid="{95D1A0B8-9530-4B9D-B799-9923F67A7030}" name="Reel - Öz _x000a_Arası Fark" dataDxfId="14">
      <calculatedColumnFormula>IF(OR(ISBLANK(V4), ISBLANK(F4), NOT(ISNUMBER(V4)), NOT(ISNUMBER(F4))), "", V4-F4)</calculatedColumnFormula>
    </tableColumn>
    <tableColumn id="3" xr3:uid="{FC6FE088-4A8D-48B4-933C-88871E3379B8}" name="Kılıf - Öz _x000a_Arası Fark" dataDxfId="13">
      <calculatedColumnFormula>IF(OR(ISBLANK(F4), ISBLANK(K4)), "",K4-F4)</calculatedColumnFormula>
    </tableColumn>
    <tableColumn id="4" xr3:uid="{C9509D06-E370-45BC-B63D-A61A93E01069}" name="Kangal - Kılıf Arası Fark" dataDxfId="12">
      <calculatedColumnFormula>IF(OR(ISBLANK(K4), ISBLANK(S4)), "",S4-K4)</calculatedColumnFormula>
    </tableColumn>
    <tableColumn id="5" xr3:uid="{A5F6C3E9-C052-409A-9430-CDE16C829F98}" name="Kangal - Öz Arası Fark" dataDxfId="11">
      <calculatedColumnFormula>IF(OR(ISBLANK(F4), ISBLANK(S4)), "",S4-F4)</calculatedColumnFormula>
    </tableColumn>
    <tableColumn id="8" xr3:uid="{4C731688-6772-43D0-8587-A4D353C5B573}" name="Length Correction" dataDxfId="10"/>
  </tableColumns>
  <tableStyleInfo name="Table Style 1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2CC8BA0F-DDA4-41CC-896B-2357FB6C1913}" name="Table111314" displayName="Table111314" ref="AF5:AJ11" totalsRowShown="0" tableBorderDxfId="9">
  <autoFilter ref="AF5:AJ11" xr:uid="{2CC8BA0F-DDA4-41CC-896B-2357FB6C1913}"/>
  <tableColumns count="5">
    <tableColumn id="1" xr3:uid="{5FB0AB35-0C42-4601-8593-9DB435A37F6A}" name="Length Corrector"/>
    <tableColumn id="2" xr3:uid="{F1A3424B-26FA-480F-8431-35733DBD23E0}" name="Ort. Reel Boy (m)"/>
    <tableColumn id="3" xr3:uid="{23C16016-CAF4-4938-AB51-C3D66BA3186F}" name="Ort. Sayaç Boyu (m)"/>
    <tableColumn id="4" xr3:uid="{8889AD85-E0A1-4CBF-9140-A6DECF0E9C65}" name="Ort. Sapma (m)"/>
    <tableColumn id="5" xr3:uid="{C8B74EAC-6990-4B5F-B374-659DFF83D027}" name="Ort. Sapma (%)"/>
  </tableColumns>
  <tableStyleInfo name="TableStyleLight1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FA1CA312-EDA9-44D9-AF48-4EB034B61CB8}" name="Table13610" displayName="Table13610" ref="V3:AB11" totalsRowShown="0" headerRowDxfId="8" tableBorderDxfId="7">
  <autoFilter ref="V3:AB11" xr:uid="{97DF06FE-8306-4763-BC8B-746BABA87D86}"/>
  <sortState xmlns:xlrd2="http://schemas.microsoft.com/office/spreadsheetml/2017/richdata2" ref="V4:AB149">
    <sortCondition ref="V3:V150"/>
  </sortState>
  <tableColumns count="7">
    <tableColumn id="1" xr3:uid="{E3CCF706-E174-4C20-90E0-B5E0E222E2E8}" name="Reel" dataDxfId="6">
      <calculatedColumnFormula>IF(RIGHT(C4, 1)="1",
    IF(O4&lt;&gt;"", 500*O4 + T4 + IF(R4&lt;=110, R4, 0), IF(P4&lt;&gt;"", 305*P4 + T4 + IF(R4&lt;=110, R4, 0), "")),
    IF(O4&lt;&gt;"", 500*O4 + T4, IF(P4&lt;&gt;"", 305*P4 + T4, ""))
)</calculatedColumnFormula>
    </tableColumn>
    <tableColumn id="6" xr3:uid="{C484AE9C-0545-4434-AE6B-E15DE9D8A595}" name="Reel - Kangal _x000a_Arası Fark" dataDxfId="5">
      <calculatedColumnFormula>IF(OR(ISBLANK(V4), ISBLANK(S4), NOT(ISNUMBER(V4)), NOT(ISNUMBER(S4))), "", V4-S4)</calculatedColumnFormula>
    </tableColumn>
    <tableColumn id="2" xr3:uid="{CB4099E7-3C05-435F-B679-E7F6C9E075D2}" name="Reel - Kılıf _x000a_Arası Fark" dataDxfId="4">
      <calculatedColumnFormula>IF(OR(ISBLANK(V4), ISBLANK(K4), NOT(ISNUMBER(V4)), NOT(ISNUMBER(K4))), "", V4-K4)</calculatedColumnFormula>
    </tableColumn>
    <tableColumn id="7" xr3:uid="{070C3F60-85B3-48FA-9A9E-F4FF4D5D8177}" name="Reel - Öz _x000a_Arası Fark" dataDxfId="3">
      <calculatedColumnFormula>IF(OR(ISBLANK(V4), ISBLANK(F4), NOT(ISNUMBER(V4)), NOT(ISNUMBER(F4))), "", V4-F4)</calculatedColumnFormula>
    </tableColumn>
    <tableColumn id="3" xr3:uid="{B7CFD17A-4F49-462A-A244-16CAF5F0760C}" name="Kılıf - Öz _x000a_Arası Fark" dataDxfId="2">
      <calculatedColumnFormula>IF(OR(ISBLANK(F4), ISBLANK(K4)), "",K4-F4)</calculatedColumnFormula>
    </tableColumn>
    <tableColumn id="4" xr3:uid="{B38C4C0D-5B04-49A0-B4B7-654518EC115F}" name="Kangal - Kılıf Arası Fark" dataDxfId="1">
      <calculatedColumnFormula>IF(OR(ISBLANK(K4), ISBLANK(S4)), "",S4-K4)</calculatedColumnFormula>
    </tableColumn>
    <tableColumn id="5" xr3:uid="{C8C135B2-11BB-49D1-AC65-F26BB591983D}" name="Kangal - Öz Arası Fark" dataDxfId="0">
      <calculatedColumnFormula>IF(OR(ISBLANK(F4), ISBLANK(S4)), "",S4-F4)</calculatedColumnFormula>
    </tableColumn>
  </tableColumns>
  <tableStyleInfo name="Table Style 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Relationship Id="rId4" Type="http://schemas.openxmlformats.org/officeDocument/2006/relationships/table" Target="../tables/table7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7.bin"/><Relationship Id="rId4" Type="http://schemas.openxmlformats.org/officeDocument/2006/relationships/table" Target="../tables/table10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8BB781-C563-4C2C-A1B4-9F3C1BC1387C}">
  <sheetPr codeName="Sheet1" filterMode="1"/>
  <dimension ref="A1:AI323"/>
  <sheetViews>
    <sheetView topLeftCell="B2" zoomScale="40" zoomScaleNormal="40" workbookViewId="0">
      <selection activeCell="O11" sqref="O11"/>
    </sheetView>
  </sheetViews>
  <sheetFormatPr defaultColWidth="35.7109375" defaultRowHeight="30.75" x14ac:dyDescent="0.4"/>
  <cols>
    <col min="1" max="1" width="40.42578125" style="1" customWidth="1"/>
    <col min="2" max="2" width="35.7109375" style="1"/>
    <col min="3" max="5" width="35.7109375" style="1" customWidth="1"/>
    <col min="6" max="6" width="35.7109375" style="2" customWidth="1"/>
    <col min="7" max="10" width="35.7109375" style="1" customWidth="1"/>
    <col min="11" max="11" width="35.7109375" style="2" customWidth="1"/>
    <col min="12" max="12" width="35.7109375" style="1" customWidth="1"/>
    <col min="13" max="13" width="42.5703125" style="1" customWidth="1"/>
    <col min="14" max="18" width="35.7109375" style="1" customWidth="1"/>
    <col min="19" max="19" width="36.42578125" style="2" customWidth="1"/>
    <col min="20" max="21" width="35.7109375" style="1"/>
    <col min="22" max="22" width="35.7109375" style="42"/>
    <col min="23" max="23" width="43.5703125" style="43" customWidth="1"/>
    <col min="24" max="24" width="35.7109375" style="44" customWidth="1"/>
    <col min="25" max="25" width="36.85546875" style="43" customWidth="1"/>
    <col min="26" max="26" width="35.7109375" style="44"/>
    <col min="27" max="28" width="35.7109375" style="43"/>
    <col min="29" max="30" width="35.7109375" style="1"/>
    <col min="31" max="32" width="35.7109375" style="34"/>
    <col min="33" max="16384" width="35.7109375" style="1"/>
  </cols>
  <sheetData>
    <row r="1" spans="1:35" ht="31.5" hidden="1" thickBot="1" x14ac:dyDescent="0.25">
      <c r="V1" s="49"/>
      <c r="W1" s="50"/>
      <c r="X1" s="50"/>
      <c r="Y1" s="50"/>
      <c r="Z1" s="50"/>
      <c r="AA1" s="50"/>
      <c r="AB1" s="50"/>
      <c r="AC1" s="59"/>
      <c r="AD1" s="288"/>
      <c r="AE1" s="288"/>
      <c r="AF1" s="288"/>
      <c r="AG1" s="59"/>
    </row>
    <row r="2" spans="1:35" ht="31.5" thickBot="1" x14ac:dyDescent="0.25">
      <c r="A2" s="285" t="s">
        <v>0</v>
      </c>
      <c r="B2" s="286"/>
      <c r="C2" s="286"/>
      <c r="D2" s="286"/>
      <c r="E2" s="286"/>
      <c r="F2" s="286"/>
      <c r="G2" s="287"/>
      <c r="H2" s="295" t="s">
        <v>4</v>
      </c>
      <c r="I2" s="296"/>
      <c r="J2" s="296"/>
      <c r="K2" s="296"/>
      <c r="L2" s="297"/>
      <c r="M2" s="298" t="s">
        <v>14</v>
      </c>
      <c r="N2" s="299"/>
      <c r="O2" s="299"/>
      <c r="P2" s="299"/>
      <c r="Q2" s="299"/>
      <c r="R2" s="299"/>
      <c r="S2" s="299"/>
      <c r="T2" s="300"/>
      <c r="V2" s="290" t="s">
        <v>73</v>
      </c>
      <c r="W2" s="291"/>
      <c r="X2" s="292"/>
      <c r="Y2" s="292"/>
      <c r="Z2" s="293"/>
      <c r="AA2" s="293"/>
      <c r="AB2" s="294"/>
      <c r="AC2" s="32"/>
      <c r="AD2" s="33"/>
      <c r="AE2" s="33"/>
      <c r="AF2" s="33"/>
      <c r="AG2" s="32"/>
      <c r="AH2" s="50"/>
      <c r="AI2" s="50"/>
    </row>
    <row r="3" spans="1:35" ht="80.099999999999994" customHeight="1" x14ac:dyDescent="0.2">
      <c r="A3" s="35" t="s">
        <v>86</v>
      </c>
      <c r="B3" s="36" t="s">
        <v>136</v>
      </c>
      <c r="C3" s="36" t="s">
        <v>87</v>
      </c>
      <c r="D3" s="36" t="s">
        <v>88</v>
      </c>
      <c r="E3" s="36" t="s">
        <v>89</v>
      </c>
      <c r="F3" s="36" t="s">
        <v>90</v>
      </c>
      <c r="G3" s="3" t="s">
        <v>3</v>
      </c>
      <c r="H3" s="4" t="s">
        <v>9</v>
      </c>
      <c r="I3" s="5" t="s">
        <v>10</v>
      </c>
      <c r="J3" s="5" t="s">
        <v>1</v>
      </c>
      <c r="K3" s="5" t="s">
        <v>2</v>
      </c>
      <c r="L3" s="6" t="s">
        <v>3</v>
      </c>
      <c r="M3" s="7" t="s">
        <v>9</v>
      </c>
      <c r="N3" s="8" t="s">
        <v>10</v>
      </c>
      <c r="O3" s="9" t="s">
        <v>11</v>
      </c>
      <c r="P3" s="9" t="s">
        <v>12</v>
      </c>
      <c r="Q3" s="8" t="s">
        <v>3</v>
      </c>
      <c r="R3" s="9" t="s">
        <v>100</v>
      </c>
      <c r="S3" s="9" t="s">
        <v>95</v>
      </c>
      <c r="T3" s="10" t="s">
        <v>13</v>
      </c>
      <c r="V3" s="40" t="s">
        <v>60</v>
      </c>
      <c r="W3" s="51" t="s">
        <v>91</v>
      </c>
      <c r="X3" s="52" t="s">
        <v>92</v>
      </c>
      <c r="Y3" s="53" t="s">
        <v>93</v>
      </c>
      <c r="Z3" s="41" t="s">
        <v>94</v>
      </c>
      <c r="AA3" s="48" t="s">
        <v>117</v>
      </c>
      <c r="AB3" s="57" t="s">
        <v>118</v>
      </c>
      <c r="AC3" s="32"/>
      <c r="AD3" s="32"/>
      <c r="AE3" s="32"/>
      <c r="AF3" s="32"/>
      <c r="AG3" s="32"/>
      <c r="AH3" s="50"/>
      <c r="AI3" s="50"/>
    </row>
    <row r="4" spans="1:35" hidden="1" x14ac:dyDescent="0.2">
      <c r="A4" s="11" t="s">
        <v>28</v>
      </c>
      <c r="B4" s="12" t="s">
        <v>24</v>
      </c>
      <c r="C4" s="12" t="s">
        <v>45</v>
      </c>
      <c r="D4" s="12" t="s">
        <v>46</v>
      </c>
      <c r="E4" s="12">
        <v>6276804</v>
      </c>
      <c r="F4" s="13">
        <v>8100</v>
      </c>
      <c r="G4" s="14">
        <v>45482</v>
      </c>
      <c r="H4" s="15" t="s">
        <v>31</v>
      </c>
      <c r="I4" s="16" t="s">
        <v>27</v>
      </c>
      <c r="J4" s="16">
        <v>6283782</v>
      </c>
      <c r="K4" s="17">
        <v>8125</v>
      </c>
      <c r="L4" s="18">
        <v>45486</v>
      </c>
      <c r="M4" s="19" t="s">
        <v>17</v>
      </c>
      <c r="N4" s="20" t="s">
        <v>36</v>
      </c>
      <c r="O4" s="20"/>
      <c r="P4" s="20">
        <v>26</v>
      </c>
      <c r="Q4" s="21">
        <v>45486</v>
      </c>
      <c r="R4" s="20">
        <v>310</v>
      </c>
      <c r="S4" s="22">
        <v>8130</v>
      </c>
      <c r="T4" s="23">
        <v>180</v>
      </c>
      <c r="V4" s="37">
        <f t="shared" ref="V4" si="0">IF(RIGHT(C4, 1)="1",
    IF(O4&lt;&gt;"", 500*O4 + T4 + IF(R4&lt;=110, R4, 0), IF(P4&lt;&gt;"", 305*P4 + T4 + IF(R4&lt;=110, R4, 0), "")),
    IF(O4&lt;&gt;"", 500*O4 + T4, IF(P4&lt;&gt;"", 305*P4 + T4, ""))
)</f>
        <v>8110</v>
      </c>
      <c r="W4" s="24">
        <f t="shared" ref="W4" si="1">IF(OR(ISBLANK(V4), ISBLANK(S4), NOT(ISNUMBER(V4)), NOT(ISNUMBER(S4))), "", V4-S4)</f>
        <v>-20</v>
      </c>
      <c r="X4" s="45">
        <f t="shared" ref="X4" si="2">IF(OR(ISBLANK(V4), ISBLANK(K4), NOT(ISNUMBER(V4)), NOT(ISNUMBER(K4))), "", V4-K4)</f>
        <v>-15</v>
      </c>
      <c r="Y4" s="25">
        <f t="shared" ref="Y4" si="3">IF(OR(ISBLANK(V4), ISBLANK(F4), NOT(ISNUMBER(V4)), NOT(ISNUMBER(F4))), "", V4-F4)</f>
        <v>10</v>
      </c>
      <c r="Z4" s="38">
        <f t="shared" ref="Z4" si="4">IF(OR(ISBLANK(F4), ISBLANK(K4)), "",K4-F4)</f>
        <v>25</v>
      </c>
      <c r="AA4" s="39">
        <f t="shared" ref="AA4" si="5">IF(OR(ISBLANK(K4), ISBLANK(S4)), "",S4-K4)</f>
        <v>5</v>
      </c>
      <c r="AB4" s="58">
        <f t="shared" ref="AB4" si="6">IF(OR(ISBLANK(F4), ISBLANK(S4)), "",S4-F4)</f>
        <v>30</v>
      </c>
      <c r="AC4" s="32"/>
      <c r="AD4" s="32"/>
      <c r="AE4" s="32"/>
      <c r="AF4" s="32"/>
      <c r="AG4" s="32"/>
      <c r="AH4" s="50"/>
      <c r="AI4" s="50"/>
    </row>
    <row r="5" spans="1:35" x14ac:dyDescent="0.2">
      <c r="A5" s="11" t="s">
        <v>5</v>
      </c>
      <c r="B5" s="12" t="s">
        <v>19</v>
      </c>
      <c r="C5" s="12" t="s">
        <v>50</v>
      </c>
      <c r="D5" s="12" t="s">
        <v>15</v>
      </c>
      <c r="E5" s="12">
        <v>6279823</v>
      </c>
      <c r="F5" s="13">
        <v>7780</v>
      </c>
      <c r="G5" s="14">
        <v>45483</v>
      </c>
      <c r="H5" s="15" t="s">
        <v>7</v>
      </c>
      <c r="I5" s="16" t="s">
        <v>27</v>
      </c>
      <c r="J5" s="16">
        <v>6284498</v>
      </c>
      <c r="K5" s="17">
        <v>7760</v>
      </c>
      <c r="L5" s="18">
        <v>45489</v>
      </c>
      <c r="M5" s="19" t="s">
        <v>17</v>
      </c>
      <c r="N5" s="20" t="s">
        <v>25</v>
      </c>
      <c r="O5" s="20"/>
      <c r="P5" s="20">
        <v>25</v>
      </c>
      <c r="Q5" s="21">
        <v>45489</v>
      </c>
      <c r="R5" s="20">
        <v>310</v>
      </c>
      <c r="S5" s="22">
        <v>7765</v>
      </c>
      <c r="T5" s="23">
        <v>150</v>
      </c>
      <c r="V5" s="37">
        <f t="shared" ref="V5:V68" si="7">IF(RIGHT(C5, 1)="1",
    IF(O5&lt;&gt;"", 500*O5 + T5 + IF(R5&lt;=110, R5, 0), IF(P5&lt;&gt;"", 305*P5 + T5 + IF(R5&lt;=110, R5, 0), "")),
    IF(O5&lt;&gt;"", 500*O5 + T5, IF(P5&lt;&gt;"", 305*P5 + T5, ""))
)</f>
        <v>7775</v>
      </c>
      <c r="W5" s="46">
        <f t="shared" ref="W5:W68" si="8">IF(OR(ISBLANK(V5), ISBLANK(S5), NOT(ISNUMBER(V5)), NOT(ISNUMBER(S5))), "", V5-S5)</f>
        <v>10</v>
      </c>
      <c r="X5" s="26">
        <f t="shared" ref="X5:X68" si="9">IF(OR(ISBLANK(V5), ISBLANK(K5), NOT(ISNUMBER(V5)), NOT(ISNUMBER(K5))), "", V5-K5)</f>
        <v>15</v>
      </c>
      <c r="Y5" s="25">
        <f t="shared" ref="Y5:Y68" si="10">IF(OR(ISBLANK(V5), ISBLANK(F5), NOT(ISNUMBER(V5)), NOT(ISNUMBER(F5))), "", V5-F5)</f>
        <v>-5</v>
      </c>
      <c r="Z5" s="38">
        <f t="shared" ref="Z5:Z68" si="11">IF(OR(ISBLANK(F5), ISBLANK(K5)), "",K5-F5)</f>
        <v>-20</v>
      </c>
      <c r="AA5" s="39">
        <f t="shared" ref="AA5:AA68" si="12">IF(OR(ISBLANK(K5), ISBLANK(S5)), "",S5-K5)</f>
        <v>5</v>
      </c>
      <c r="AB5" s="58">
        <f t="shared" ref="AB5:AB68" si="13">IF(OR(ISBLANK(F5), ISBLANK(S5)), "",S5-F5)</f>
        <v>-15</v>
      </c>
      <c r="AC5" s="32"/>
      <c r="AD5" s="32"/>
      <c r="AE5" s="32"/>
      <c r="AF5" s="32"/>
      <c r="AG5" s="32"/>
      <c r="AH5" s="50"/>
      <c r="AI5" s="50"/>
    </row>
    <row r="6" spans="1:35" hidden="1" x14ac:dyDescent="0.2">
      <c r="A6" s="11" t="s">
        <v>5</v>
      </c>
      <c r="B6" s="12" t="s">
        <v>20</v>
      </c>
      <c r="C6" s="12" t="s">
        <v>49</v>
      </c>
      <c r="D6" s="12" t="s">
        <v>15</v>
      </c>
      <c r="E6" s="12">
        <v>6279840</v>
      </c>
      <c r="F6" s="13">
        <v>7780</v>
      </c>
      <c r="G6" s="14">
        <v>45483</v>
      </c>
      <c r="H6" s="15" t="s">
        <v>7</v>
      </c>
      <c r="I6" s="16" t="s">
        <v>27</v>
      </c>
      <c r="J6" s="16">
        <v>6284524</v>
      </c>
      <c r="K6" s="17">
        <v>7740</v>
      </c>
      <c r="L6" s="18">
        <v>45489</v>
      </c>
      <c r="M6" s="19" t="s">
        <v>39</v>
      </c>
      <c r="N6" s="20" t="s">
        <v>36</v>
      </c>
      <c r="O6" s="20">
        <v>15</v>
      </c>
      <c r="P6" s="20"/>
      <c r="Q6" s="21">
        <v>45489</v>
      </c>
      <c r="R6" s="20">
        <v>500</v>
      </c>
      <c r="S6" s="22">
        <v>7750</v>
      </c>
      <c r="T6" s="23">
        <v>226</v>
      </c>
      <c r="V6" s="37">
        <f t="shared" si="7"/>
        <v>7726</v>
      </c>
      <c r="W6" s="46">
        <f t="shared" si="8"/>
        <v>-24</v>
      </c>
      <c r="X6" s="27">
        <f t="shared" si="9"/>
        <v>-14</v>
      </c>
      <c r="Y6" s="199">
        <f t="shared" si="10"/>
        <v>-54</v>
      </c>
      <c r="Z6" s="38">
        <f t="shared" si="11"/>
        <v>-40</v>
      </c>
      <c r="AA6" s="39">
        <f t="shared" si="12"/>
        <v>10</v>
      </c>
      <c r="AB6" s="58">
        <f t="shared" si="13"/>
        <v>-30</v>
      </c>
      <c r="AC6" s="32"/>
      <c r="AD6" s="32"/>
      <c r="AE6" s="32"/>
      <c r="AF6" s="32"/>
      <c r="AG6" s="32"/>
      <c r="AH6" s="50"/>
      <c r="AI6" s="50"/>
    </row>
    <row r="7" spans="1:35" x14ac:dyDescent="0.2">
      <c r="A7" s="11" t="s">
        <v>5</v>
      </c>
      <c r="B7" s="12" t="s">
        <v>20</v>
      </c>
      <c r="C7" s="12" t="s">
        <v>58</v>
      </c>
      <c r="D7" s="12" t="s">
        <v>6</v>
      </c>
      <c r="E7" s="12">
        <v>6282989</v>
      </c>
      <c r="F7" s="13">
        <v>7880</v>
      </c>
      <c r="G7" s="14">
        <v>45485</v>
      </c>
      <c r="H7" s="15" t="s">
        <v>7</v>
      </c>
      <c r="I7" s="16" t="s">
        <v>8</v>
      </c>
      <c r="J7" s="16">
        <v>6283398</v>
      </c>
      <c r="K7" s="17">
        <v>7750</v>
      </c>
      <c r="L7" s="18">
        <v>45486</v>
      </c>
      <c r="M7" s="19" t="s">
        <v>35</v>
      </c>
      <c r="N7" s="20"/>
      <c r="O7" s="20"/>
      <c r="P7" s="20">
        <v>25</v>
      </c>
      <c r="Q7" s="21">
        <v>45486</v>
      </c>
      <c r="R7" s="20">
        <v>55</v>
      </c>
      <c r="S7" s="22">
        <v>7727</v>
      </c>
      <c r="T7" s="23">
        <v>30</v>
      </c>
      <c r="V7" s="37">
        <f t="shared" si="7"/>
        <v>7710</v>
      </c>
      <c r="W7" s="28">
        <f t="shared" si="8"/>
        <v>-17</v>
      </c>
      <c r="X7" s="45">
        <f t="shared" si="9"/>
        <v>-40</v>
      </c>
      <c r="Y7" s="199">
        <f t="shared" si="10"/>
        <v>-170</v>
      </c>
      <c r="Z7" s="38">
        <f t="shared" si="11"/>
        <v>-130</v>
      </c>
      <c r="AA7" s="39">
        <f t="shared" si="12"/>
        <v>-23</v>
      </c>
      <c r="AB7" s="58">
        <f t="shared" si="13"/>
        <v>-153</v>
      </c>
      <c r="AC7" s="32"/>
      <c r="AD7" s="289"/>
      <c r="AE7" s="289"/>
      <c r="AF7" s="289"/>
      <c r="AG7" s="32"/>
      <c r="AH7" s="50"/>
      <c r="AI7" s="50"/>
    </row>
    <row r="8" spans="1:35" hidden="1" x14ac:dyDescent="0.2">
      <c r="A8" s="11" t="s">
        <v>5</v>
      </c>
      <c r="B8" s="12" t="s">
        <v>21</v>
      </c>
      <c r="C8" s="12" t="s">
        <v>23</v>
      </c>
      <c r="D8" s="12" t="s">
        <v>15</v>
      </c>
      <c r="E8" s="12">
        <v>6283205</v>
      </c>
      <c r="F8" s="13">
        <v>2760</v>
      </c>
      <c r="G8" s="14">
        <v>45485</v>
      </c>
      <c r="H8" s="29" t="s">
        <v>7</v>
      </c>
      <c r="I8" s="16" t="s">
        <v>16</v>
      </c>
      <c r="J8" s="16">
        <v>2684748</v>
      </c>
      <c r="K8" s="17">
        <v>2760</v>
      </c>
      <c r="L8" s="18">
        <v>45489</v>
      </c>
      <c r="M8" s="19" t="s">
        <v>17</v>
      </c>
      <c r="N8" s="20" t="s">
        <v>18</v>
      </c>
      <c r="O8" s="20"/>
      <c r="P8" s="20">
        <v>9</v>
      </c>
      <c r="Q8" s="21">
        <v>45489</v>
      </c>
      <c r="R8" s="20">
        <v>310</v>
      </c>
      <c r="S8" s="22">
        <v>2740</v>
      </c>
      <c r="T8" s="23">
        <v>10</v>
      </c>
      <c r="V8" s="37">
        <f t="shared" si="7"/>
        <v>2755</v>
      </c>
      <c r="W8" s="24">
        <f t="shared" si="8"/>
        <v>15</v>
      </c>
      <c r="X8" s="27">
        <f t="shared" si="9"/>
        <v>-5</v>
      </c>
      <c r="Y8" s="200">
        <f t="shared" si="10"/>
        <v>-5</v>
      </c>
      <c r="Z8" s="38">
        <f t="shared" si="11"/>
        <v>0</v>
      </c>
      <c r="AA8" s="39">
        <f t="shared" si="12"/>
        <v>-20</v>
      </c>
      <c r="AB8" s="58">
        <f t="shared" si="13"/>
        <v>-20</v>
      </c>
      <c r="AC8" s="32"/>
      <c r="AD8" s="33"/>
      <c r="AE8" s="33"/>
      <c r="AF8" s="33"/>
      <c r="AG8" s="32"/>
      <c r="AH8" s="50"/>
      <c r="AI8" s="50"/>
    </row>
    <row r="9" spans="1:35" x14ac:dyDescent="0.2">
      <c r="A9" s="11" t="s">
        <v>5</v>
      </c>
      <c r="B9" s="12" t="s">
        <v>19</v>
      </c>
      <c r="C9" s="12" t="s">
        <v>26</v>
      </c>
      <c r="D9" s="12" t="s">
        <v>15</v>
      </c>
      <c r="E9" s="12">
        <v>6283025</v>
      </c>
      <c r="F9" s="13">
        <v>7780</v>
      </c>
      <c r="G9" s="14">
        <v>45485</v>
      </c>
      <c r="H9" s="15" t="s">
        <v>7</v>
      </c>
      <c r="I9" s="16" t="s">
        <v>16</v>
      </c>
      <c r="J9" s="16">
        <v>6284038</v>
      </c>
      <c r="K9" s="17">
        <v>7750</v>
      </c>
      <c r="L9" s="18">
        <v>45486</v>
      </c>
      <c r="M9" s="19"/>
      <c r="N9" s="20"/>
      <c r="O9" s="20"/>
      <c r="P9" s="20">
        <v>25</v>
      </c>
      <c r="Q9" s="21">
        <v>45486</v>
      </c>
      <c r="R9" s="20">
        <v>55</v>
      </c>
      <c r="S9" s="22">
        <v>7765</v>
      </c>
      <c r="T9" s="23">
        <v>85</v>
      </c>
      <c r="V9" s="37">
        <f t="shared" si="7"/>
        <v>7765</v>
      </c>
      <c r="W9" s="28">
        <f t="shared" si="8"/>
        <v>0</v>
      </c>
      <c r="X9" s="26">
        <f t="shared" si="9"/>
        <v>15</v>
      </c>
      <c r="Y9" s="200">
        <f t="shared" si="10"/>
        <v>-15</v>
      </c>
      <c r="Z9" s="38">
        <f t="shared" si="11"/>
        <v>-30</v>
      </c>
      <c r="AA9" s="39">
        <f t="shared" si="12"/>
        <v>15</v>
      </c>
      <c r="AB9" s="58">
        <f t="shared" si="13"/>
        <v>-15</v>
      </c>
      <c r="AC9" s="32"/>
      <c r="AD9" s="32"/>
      <c r="AE9" s="32"/>
      <c r="AF9" s="32"/>
      <c r="AG9" s="32"/>
      <c r="AH9" s="50"/>
      <c r="AI9" s="50"/>
    </row>
    <row r="10" spans="1:35" hidden="1" x14ac:dyDescent="0.2">
      <c r="A10" s="11" t="s">
        <v>5</v>
      </c>
      <c r="B10" s="12" t="s">
        <v>20</v>
      </c>
      <c r="C10" s="12" t="s">
        <v>22</v>
      </c>
      <c r="D10" s="12" t="s">
        <v>62</v>
      </c>
      <c r="E10" s="12">
        <v>6282834</v>
      </c>
      <c r="F10" s="13">
        <v>3180</v>
      </c>
      <c r="G10" s="14">
        <v>45485</v>
      </c>
      <c r="H10" s="15" t="s">
        <v>7</v>
      </c>
      <c r="I10" s="16" t="s">
        <v>16</v>
      </c>
      <c r="J10" s="16">
        <v>6283991</v>
      </c>
      <c r="K10" s="17">
        <v>3145</v>
      </c>
      <c r="L10" s="18">
        <v>45486</v>
      </c>
      <c r="M10" s="19" t="s">
        <v>17</v>
      </c>
      <c r="N10" s="20" t="s">
        <v>18</v>
      </c>
      <c r="O10" s="20"/>
      <c r="P10" s="20">
        <v>10</v>
      </c>
      <c r="Q10" s="21">
        <v>45486</v>
      </c>
      <c r="R10" s="20">
        <v>310</v>
      </c>
      <c r="S10" s="22">
        <v>3135</v>
      </c>
      <c r="T10" s="23">
        <v>80</v>
      </c>
      <c r="V10" s="37">
        <f t="shared" si="7"/>
        <v>3130</v>
      </c>
      <c r="W10" s="28">
        <f t="shared" si="8"/>
        <v>-5</v>
      </c>
      <c r="X10" s="45">
        <f t="shared" si="9"/>
        <v>-15</v>
      </c>
      <c r="Y10" s="199">
        <f t="shared" si="10"/>
        <v>-50</v>
      </c>
      <c r="Z10" s="38">
        <f t="shared" si="11"/>
        <v>-35</v>
      </c>
      <c r="AA10" s="39">
        <f t="shared" si="12"/>
        <v>-10</v>
      </c>
      <c r="AB10" s="58">
        <f t="shared" si="13"/>
        <v>-45</v>
      </c>
      <c r="AC10" s="50"/>
      <c r="AD10" s="50"/>
      <c r="AE10" s="50"/>
      <c r="AF10" s="50"/>
      <c r="AG10" s="50"/>
      <c r="AH10" s="50"/>
      <c r="AI10" s="50"/>
    </row>
    <row r="11" spans="1:35" x14ac:dyDescent="0.2">
      <c r="A11" s="11" t="s">
        <v>5</v>
      </c>
      <c r="B11" s="12" t="s">
        <v>24</v>
      </c>
      <c r="C11" s="12" t="s">
        <v>59</v>
      </c>
      <c r="D11" s="12" t="s">
        <v>6</v>
      </c>
      <c r="E11" s="12">
        <v>6282999</v>
      </c>
      <c r="F11" s="13">
        <v>7780</v>
      </c>
      <c r="G11" s="14">
        <v>45485</v>
      </c>
      <c r="H11" s="15" t="s">
        <v>7</v>
      </c>
      <c r="I11" s="16" t="s">
        <v>16</v>
      </c>
      <c r="J11" s="16">
        <v>6284077</v>
      </c>
      <c r="K11" s="17">
        <v>7770</v>
      </c>
      <c r="L11" s="18">
        <v>45486</v>
      </c>
      <c r="M11" s="19" t="s">
        <v>17</v>
      </c>
      <c r="N11" s="20" t="s">
        <v>25</v>
      </c>
      <c r="O11" s="20"/>
      <c r="P11" s="20">
        <v>25</v>
      </c>
      <c r="Q11" s="21">
        <v>45489</v>
      </c>
      <c r="R11" s="20">
        <v>55</v>
      </c>
      <c r="S11" s="22">
        <v>7815</v>
      </c>
      <c r="T11" s="23">
        <v>140</v>
      </c>
      <c r="V11" s="37">
        <f t="shared" si="7"/>
        <v>7820</v>
      </c>
      <c r="W11" s="28">
        <f t="shared" si="8"/>
        <v>5</v>
      </c>
      <c r="X11" s="26">
        <f t="shared" si="9"/>
        <v>50</v>
      </c>
      <c r="Y11" s="200">
        <f t="shared" si="10"/>
        <v>40</v>
      </c>
      <c r="Z11" s="38">
        <f t="shared" si="11"/>
        <v>-10</v>
      </c>
      <c r="AA11" s="39">
        <f t="shared" si="12"/>
        <v>45</v>
      </c>
      <c r="AB11" s="58">
        <f t="shared" si="13"/>
        <v>35</v>
      </c>
      <c r="AC11" s="50"/>
      <c r="AD11" s="50"/>
      <c r="AE11" s="50"/>
      <c r="AF11" s="50"/>
      <c r="AG11" s="50"/>
      <c r="AH11" s="50"/>
      <c r="AI11" s="50"/>
    </row>
    <row r="12" spans="1:35" hidden="1" x14ac:dyDescent="0.2">
      <c r="A12" s="11" t="s">
        <v>28</v>
      </c>
      <c r="B12" s="12" t="s">
        <v>19</v>
      </c>
      <c r="C12" s="12" t="s">
        <v>29</v>
      </c>
      <c r="D12" s="12" t="s">
        <v>30</v>
      </c>
      <c r="E12" s="12">
        <v>6282752</v>
      </c>
      <c r="F12" s="13">
        <v>8135</v>
      </c>
      <c r="G12" s="14">
        <v>45485</v>
      </c>
      <c r="H12" s="15" t="s">
        <v>31</v>
      </c>
      <c r="I12" s="16" t="s">
        <v>32</v>
      </c>
      <c r="J12" s="16">
        <v>6233059</v>
      </c>
      <c r="K12" s="17">
        <v>8170</v>
      </c>
      <c r="L12" s="18">
        <v>45485</v>
      </c>
      <c r="M12" s="19" t="s">
        <v>17</v>
      </c>
      <c r="N12" s="20" t="s">
        <v>18</v>
      </c>
      <c r="O12" s="20"/>
      <c r="P12" s="20">
        <v>26</v>
      </c>
      <c r="Q12" s="21">
        <v>45485</v>
      </c>
      <c r="R12" s="20">
        <v>110</v>
      </c>
      <c r="S12" s="22">
        <v>8150</v>
      </c>
      <c r="T12" s="23">
        <v>120</v>
      </c>
      <c r="V12" s="37">
        <f t="shared" si="7"/>
        <v>8160</v>
      </c>
      <c r="W12" s="28">
        <f t="shared" si="8"/>
        <v>10</v>
      </c>
      <c r="X12" s="45">
        <f t="shared" si="9"/>
        <v>-10</v>
      </c>
      <c r="Y12" s="199">
        <f t="shared" si="10"/>
        <v>25</v>
      </c>
      <c r="Z12" s="38">
        <f t="shared" si="11"/>
        <v>35</v>
      </c>
      <c r="AA12" s="39">
        <f t="shared" si="12"/>
        <v>-20</v>
      </c>
      <c r="AB12" s="58">
        <f t="shared" si="13"/>
        <v>15</v>
      </c>
      <c r="AC12" s="50"/>
      <c r="AD12" s="50"/>
      <c r="AE12" s="50"/>
      <c r="AF12" s="50"/>
      <c r="AG12" s="50"/>
      <c r="AH12" s="50"/>
      <c r="AI12" s="50"/>
    </row>
    <row r="13" spans="1:35" hidden="1" x14ac:dyDescent="0.2">
      <c r="A13" s="11" t="s">
        <v>5</v>
      </c>
      <c r="B13" s="12" t="s">
        <v>20</v>
      </c>
      <c r="C13" s="12" t="s">
        <v>33</v>
      </c>
      <c r="D13" s="12" t="s">
        <v>62</v>
      </c>
      <c r="E13" s="12">
        <v>6282738</v>
      </c>
      <c r="F13" s="13">
        <v>7867</v>
      </c>
      <c r="G13" s="14">
        <v>45485</v>
      </c>
      <c r="H13" s="15" t="s">
        <v>7</v>
      </c>
      <c r="I13" s="16" t="s">
        <v>16</v>
      </c>
      <c r="J13" s="16">
        <v>6233061</v>
      </c>
      <c r="K13" s="17">
        <v>7750</v>
      </c>
      <c r="L13" s="18">
        <v>45485</v>
      </c>
      <c r="M13" s="19"/>
      <c r="N13" s="20"/>
      <c r="O13" s="20">
        <v>15</v>
      </c>
      <c r="P13" s="20"/>
      <c r="Q13" s="21">
        <v>45485</v>
      </c>
      <c r="R13" s="20">
        <v>110</v>
      </c>
      <c r="S13" s="22">
        <v>7718</v>
      </c>
      <c r="T13" s="23">
        <v>108</v>
      </c>
      <c r="V13" s="37">
        <f t="shared" si="7"/>
        <v>7718</v>
      </c>
      <c r="W13" s="28">
        <f t="shared" si="8"/>
        <v>0</v>
      </c>
      <c r="X13" s="45">
        <f t="shared" si="9"/>
        <v>-32</v>
      </c>
      <c r="Y13" s="199">
        <f t="shared" si="10"/>
        <v>-149</v>
      </c>
      <c r="Z13" s="38">
        <f t="shared" si="11"/>
        <v>-117</v>
      </c>
      <c r="AA13" s="39">
        <f t="shared" si="12"/>
        <v>-32</v>
      </c>
      <c r="AB13" s="58">
        <f t="shared" si="13"/>
        <v>-149</v>
      </c>
      <c r="AC13" s="50"/>
      <c r="AD13" s="50"/>
      <c r="AE13" s="50"/>
      <c r="AF13" s="50"/>
      <c r="AG13" s="50"/>
      <c r="AH13" s="50"/>
      <c r="AI13" s="50"/>
    </row>
    <row r="14" spans="1:35" x14ac:dyDescent="0.2">
      <c r="A14" s="11" t="s">
        <v>5</v>
      </c>
      <c r="B14" s="12" t="s">
        <v>24</v>
      </c>
      <c r="C14" s="12" t="s">
        <v>34</v>
      </c>
      <c r="D14" s="12" t="s">
        <v>62</v>
      </c>
      <c r="E14" s="12">
        <v>6282743</v>
      </c>
      <c r="F14" s="13">
        <v>7780</v>
      </c>
      <c r="G14" s="14">
        <v>45485</v>
      </c>
      <c r="H14" s="15" t="s">
        <v>7</v>
      </c>
      <c r="I14" s="16" t="s">
        <v>8</v>
      </c>
      <c r="J14" s="16">
        <v>6283463</v>
      </c>
      <c r="K14" s="17">
        <v>7780</v>
      </c>
      <c r="L14" s="18">
        <v>45486</v>
      </c>
      <c r="M14" s="19" t="s">
        <v>35</v>
      </c>
      <c r="N14" s="20" t="s">
        <v>36</v>
      </c>
      <c r="O14" s="20"/>
      <c r="P14" s="20">
        <v>25</v>
      </c>
      <c r="Q14" s="21">
        <v>45486</v>
      </c>
      <c r="R14" s="20">
        <v>55</v>
      </c>
      <c r="S14" s="22">
        <v>7825</v>
      </c>
      <c r="T14" s="23">
        <v>75</v>
      </c>
      <c r="V14" s="37">
        <f t="shared" si="7"/>
        <v>7755</v>
      </c>
      <c r="W14" s="24">
        <f t="shared" si="8"/>
        <v>-70</v>
      </c>
      <c r="X14" s="27">
        <f t="shared" si="9"/>
        <v>-25</v>
      </c>
      <c r="Y14" s="200">
        <f t="shared" si="10"/>
        <v>-25</v>
      </c>
      <c r="Z14" s="38">
        <f t="shared" si="11"/>
        <v>0</v>
      </c>
      <c r="AA14" s="39">
        <f t="shared" si="12"/>
        <v>45</v>
      </c>
      <c r="AB14" s="58">
        <f t="shared" si="13"/>
        <v>45</v>
      </c>
      <c r="AC14" s="50"/>
      <c r="AD14" s="50"/>
      <c r="AE14" s="50"/>
      <c r="AF14" s="50"/>
      <c r="AG14" s="50"/>
      <c r="AH14" s="50"/>
      <c r="AI14" s="50"/>
    </row>
    <row r="15" spans="1:35" hidden="1" x14ac:dyDescent="0.2">
      <c r="A15" s="11" t="s">
        <v>5</v>
      </c>
      <c r="B15" s="12" t="s">
        <v>21</v>
      </c>
      <c r="C15" s="12" t="s">
        <v>37</v>
      </c>
      <c r="D15" s="12" t="s">
        <v>30</v>
      </c>
      <c r="E15" s="12">
        <v>6282759</v>
      </c>
      <c r="F15" s="13">
        <v>7780</v>
      </c>
      <c r="G15" s="14">
        <v>45485</v>
      </c>
      <c r="H15" s="15" t="s">
        <v>7</v>
      </c>
      <c r="I15" s="16" t="s">
        <v>16</v>
      </c>
      <c r="J15" s="16">
        <v>6283982</v>
      </c>
      <c r="K15" s="17">
        <v>7650</v>
      </c>
      <c r="L15" s="18">
        <v>45486</v>
      </c>
      <c r="M15" s="19"/>
      <c r="N15" s="20"/>
      <c r="O15" s="20"/>
      <c r="P15" s="20">
        <v>24</v>
      </c>
      <c r="Q15" s="21">
        <v>45486</v>
      </c>
      <c r="R15" s="20">
        <v>55</v>
      </c>
      <c r="S15" s="22">
        <v>7650</v>
      </c>
      <c r="T15" s="23">
        <v>275</v>
      </c>
      <c r="V15" s="37">
        <f t="shared" si="7"/>
        <v>7650</v>
      </c>
      <c r="W15" s="28">
        <f t="shared" si="8"/>
        <v>0</v>
      </c>
      <c r="X15" s="45">
        <f t="shared" si="9"/>
        <v>0</v>
      </c>
      <c r="Y15" s="199">
        <f t="shared" si="10"/>
        <v>-130</v>
      </c>
      <c r="Z15" s="38">
        <f t="shared" si="11"/>
        <v>-130</v>
      </c>
      <c r="AA15" s="39">
        <f t="shared" si="12"/>
        <v>0</v>
      </c>
      <c r="AB15" s="58">
        <f t="shared" si="13"/>
        <v>-130</v>
      </c>
      <c r="AC15" s="50"/>
      <c r="AD15" s="50"/>
      <c r="AE15" s="50"/>
      <c r="AF15" s="50"/>
      <c r="AG15" s="50"/>
      <c r="AH15" s="50"/>
      <c r="AI15" s="50"/>
    </row>
    <row r="16" spans="1:35" hidden="1" x14ac:dyDescent="0.2">
      <c r="A16" s="11" t="s">
        <v>5</v>
      </c>
      <c r="B16" s="12" t="s">
        <v>21</v>
      </c>
      <c r="C16" s="12" t="s">
        <v>38</v>
      </c>
      <c r="D16" s="12" t="s">
        <v>15</v>
      </c>
      <c r="E16" s="12">
        <v>6283040</v>
      </c>
      <c r="F16" s="13">
        <v>7780</v>
      </c>
      <c r="G16" s="14">
        <v>45485</v>
      </c>
      <c r="H16" s="15" t="s">
        <v>7</v>
      </c>
      <c r="I16" s="16" t="s">
        <v>8</v>
      </c>
      <c r="J16" s="16">
        <v>6283568</v>
      </c>
      <c r="K16" s="17">
        <v>7712</v>
      </c>
      <c r="L16" s="18">
        <v>45486</v>
      </c>
      <c r="M16" s="19"/>
      <c r="N16" s="20"/>
      <c r="O16" s="20"/>
      <c r="P16" s="20">
        <v>24</v>
      </c>
      <c r="Q16" s="21">
        <v>45486</v>
      </c>
      <c r="R16" s="20">
        <v>55</v>
      </c>
      <c r="S16" s="22">
        <v>7580</v>
      </c>
      <c r="T16" s="23">
        <v>200</v>
      </c>
      <c r="V16" s="37">
        <f t="shared" si="7"/>
        <v>7575</v>
      </c>
      <c r="W16" s="28">
        <f t="shared" si="8"/>
        <v>-5</v>
      </c>
      <c r="X16" s="45">
        <f t="shared" si="9"/>
        <v>-137</v>
      </c>
      <c r="Y16" s="199">
        <f t="shared" si="10"/>
        <v>-205</v>
      </c>
      <c r="Z16" s="38">
        <f t="shared" si="11"/>
        <v>-68</v>
      </c>
      <c r="AA16" s="39">
        <f t="shared" si="12"/>
        <v>-132</v>
      </c>
      <c r="AB16" s="58">
        <f t="shared" si="13"/>
        <v>-200</v>
      </c>
      <c r="AC16" s="50"/>
      <c r="AD16" s="50"/>
      <c r="AE16" s="50"/>
      <c r="AF16" s="50"/>
      <c r="AG16" s="50"/>
      <c r="AH16" s="50"/>
      <c r="AI16" s="50"/>
    </row>
    <row r="17" spans="1:35" hidden="1" x14ac:dyDescent="0.2">
      <c r="A17" s="11" t="s">
        <v>288</v>
      </c>
      <c r="B17" s="12" t="s">
        <v>20</v>
      </c>
      <c r="C17" s="12" t="s">
        <v>47</v>
      </c>
      <c r="D17" s="12" t="s">
        <v>6</v>
      </c>
      <c r="E17" s="12">
        <v>6283272</v>
      </c>
      <c r="F17" s="13">
        <v>7770</v>
      </c>
      <c r="G17" s="14">
        <v>45485</v>
      </c>
      <c r="H17" s="15" t="s">
        <v>48</v>
      </c>
      <c r="I17" s="16" t="s">
        <v>40</v>
      </c>
      <c r="J17" s="16">
        <v>6283272</v>
      </c>
      <c r="K17" s="17">
        <v>7625</v>
      </c>
      <c r="L17" s="18">
        <v>45486</v>
      </c>
      <c r="M17" s="19" t="s">
        <v>39</v>
      </c>
      <c r="N17" s="20" t="s">
        <v>41</v>
      </c>
      <c r="O17" s="20">
        <v>15</v>
      </c>
      <c r="P17" s="20"/>
      <c r="Q17" s="21">
        <v>45486</v>
      </c>
      <c r="R17" s="20">
        <v>501</v>
      </c>
      <c r="S17" s="22">
        <v>7630</v>
      </c>
      <c r="T17" s="23">
        <v>125</v>
      </c>
      <c r="V17" s="37">
        <f t="shared" si="7"/>
        <v>7625</v>
      </c>
      <c r="W17" s="46">
        <f t="shared" si="8"/>
        <v>-5</v>
      </c>
      <c r="X17" s="27">
        <f t="shared" si="9"/>
        <v>0</v>
      </c>
      <c r="Y17" s="199">
        <f t="shared" si="10"/>
        <v>-145</v>
      </c>
      <c r="Z17" s="38">
        <f t="shared" si="11"/>
        <v>-145</v>
      </c>
      <c r="AA17" s="39">
        <f t="shared" si="12"/>
        <v>5</v>
      </c>
      <c r="AB17" s="58">
        <f t="shared" si="13"/>
        <v>-140</v>
      </c>
      <c r="AC17" s="50"/>
      <c r="AD17" s="50"/>
      <c r="AE17" s="50"/>
      <c r="AF17" s="50"/>
      <c r="AG17" s="50"/>
      <c r="AH17" s="50"/>
      <c r="AI17" s="50"/>
    </row>
    <row r="18" spans="1:35" hidden="1" x14ac:dyDescent="0.2">
      <c r="A18" s="11" t="s">
        <v>28</v>
      </c>
      <c r="B18" s="12" t="s">
        <v>19</v>
      </c>
      <c r="C18" s="12" t="s">
        <v>42</v>
      </c>
      <c r="D18" s="12" t="s">
        <v>30</v>
      </c>
      <c r="E18" s="12">
        <v>6282683</v>
      </c>
      <c r="F18" s="13">
        <v>8120</v>
      </c>
      <c r="G18" s="14">
        <v>45485</v>
      </c>
      <c r="H18" s="15" t="s">
        <v>31</v>
      </c>
      <c r="I18" s="16" t="s">
        <v>43</v>
      </c>
      <c r="J18" s="16">
        <v>6283550</v>
      </c>
      <c r="K18" s="17">
        <v>8170</v>
      </c>
      <c r="L18" s="18">
        <v>45486</v>
      </c>
      <c r="M18" s="19" t="s">
        <v>44</v>
      </c>
      <c r="N18" s="20" t="s">
        <v>25</v>
      </c>
      <c r="O18" s="20"/>
      <c r="P18" s="20">
        <v>26</v>
      </c>
      <c r="Q18" s="21">
        <v>45486</v>
      </c>
      <c r="R18" s="20">
        <v>310</v>
      </c>
      <c r="S18" s="22">
        <v>8155</v>
      </c>
      <c r="T18" s="23">
        <v>220</v>
      </c>
      <c r="V18" s="37">
        <f t="shared" si="7"/>
        <v>8150</v>
      </c>
      <c r="W18" s="28">
        <f t="shared" si="8"/>
        <v>-5</v>
      </c>
      <c r="X18" s="45">
        <f t="shared" si="9"/>
        <v>-20</v>
      </c>
      <c r="Y18" s="199">
        <f t="shared" si="10"/>
        <v>30</v>
      </c>
      <c r="Z18" s="38">
        <f t="shared" si="11"/>
        <v>50</v>
      </c>
      <c r="AA18" s="39">
        <f t="shared" si="12"/>
        <v>-15</v>
      </c>
      <c r="AB18" s="58">
        <f t="shared" si="13"/>
        <v>35</v>
      </c>
      <c r="AC18" s="50"/>
      <c r="AD18" s="50"/>
      <c r="AE18" s="50"/>
      <c r="AF18" s="50"/>
      <c r="AG18" s="50"/>
      <c r="AH18" s="50"/>
      <c r="AI18" s="50"/>
    </row>
    <row r="19" spans="1:35" hidden="1" x14ac:dyDescent="0.2">
      <c r="A19" s="11" t="s">
        <v>5</v>
      </c>
      <c r="B19" s="12" t="s">
        <v>20</v>
      </c>
      <c r="C19" s="12"/>
      <c r="D19" s="12" t="s">
        <v>6</v>
      </c>
      <c r="E19" s="12">
        <v>6280165</v>
      </c>
      <c r="F19" s="13">
        <v>7780</v>
      </c>
      <c r="G19" s="14">
        <v>45485</v>
      </c>
      <c r="H19" s="15" t="s">
        <v>163</v>
      </c>
      <c r="I19" s="16" t="s">
        <v>41</v>
      </c>
      <c r="J19" s="16">
        <v>6283713</v>
      </c>
      <c r="K19" s="17">
        <v>7715</v>
      </c>
      <c r="L19" s="18">
        <v>45486</v>
      </c>
      <c r="M19" s="19" t="s">
        <v>39</v>
      </c>
      <c r="N19" s="20" t="s">
        <v>41</v>
      </c>
      <c r="O19" s="20">
        <v>15</v>
      </c>
      <c r="P19" s="20"/>
      <c r="Q19" s="21">
        <v>45486</v>
      </c>
      <c r="R19" s="20">
        <v>110</v>
      </c>
      <c r="S19" s="22">
        <v>7685</v>
      </c>
      <c r="T19" s="23">
        <v>45</v>
      </c>
      <c r="V19" s="37">
        <f t="shared" si="7"/>
        <v>7545</v>
      </c>
      <c r="W19" s="28">
        <f t="shared" si="8"/>
        <v>-140</v>
      </c>
      <c r="X19" s="45">
        <f t="shared" si="9"/>
        <v>-170</v>
      </c>
      <c r="Y19" s="199">
        <f t="shared" si="10"/>
        <v>-235</v>
      </c>
      <c r="Z19" s="38">
        <f t="shared" si="11"/>
        <v>-65</v>
      </c>
      <c r="AA19" s="39">
        <f t="shared" si="12"/>
        <v>-30</v>
      </c>
      <c r="AB19" s="58">
        <f t="shared" si="13"/>
        <v>-95</v>
      </c>
      <c r="AC19" s="50"/>
      <c r="AD19" s="50"/>
      <c r="AE19" s="50"/>
      <c r="AF19" s="50"/>
      <c r="AG19" s="50"/>
      <c r="AH19" s="50"/>
      <c r="AI19" s="50"/>
    </row>
    <row r="20" spans="1:35" hidden="1" x14ac:dyDescent="0.2">
      <c r="A20" s="11" t="s">
        <v>28</v>
      </c>
      <c r="B20" s="12" t="s">
        <v>24</v>
      </c>
      <c r="C20" s="12" t="s">
        <v>56</v>
      </c>
      <c r="D20" s="12" t="s">
        <v>6</v>
      </c>
      <c r="E20" s="12">
        <v>6283162</v>
      </c>
      <c r="F20" s="13">
        <v>8135</v>
      </c>
      <c r="G20" s="14">
        <v>45485</v>
      </c>
      <c r="H20" s="15" t="s">
        <v>31</v>
      </c>
      <c r="I20" s="16" t="s">
        <v>43</v>
      </c>
      <c r="J20" s="16">
        <v>6283354</v>
      </c>
      <c r="K20" s="17">
        <v>8190</v>
      </c>
      <c r="L20" s="18">
        <v>45486</v>
      </c>
      <c r="M20" s="19" t="s">
        <v>44</v>
      </c>
      <c r="N20" s="20" t="s">
        <v>51</v>
      </c>
      <c r="O20" s="20"/>
      <c r="P20" s="20">
        <v>26</v>
      </c>
      <c r="Q20" s="21">
        <v>45486</v>
      </c>
      <c r="R20" s="20">
        <v>110</v>
      </c>
      <c r="S20" s="22">
        <v>8165</v>
      </c>
      <c r="T20" s="23">
        <v>125</v>
      </c>
      <c r="V20" s="37">
        <f t="shared" si="7"/>
        <v>8165</v>
      </c>
      <c r="W20" s="28">
        <f t="shared" si="8"/>
        <v>0</v>
      </c>
      <c r="X20" s="45">
        <f t="shared" si="9"/>
        <v>-25</v>
      </c>
      <c r="Y20" s="199">
        <f t="shared" si="10"/>
        <v>30</v>
      </c>
      <c r="Z20" s="38">
        <f t="shared" si="11"/>
        <v>55</v>
      </c>
      <c r="AA20" s="39">
        <f t="shared" si="12"/>
        <v>-25</v>
      </c>
      <c r="AB20" s="58">
        <f t="shared" si="13"/>
        <v>30</v>
      </c>
      <c r="AC20" s="50"/>
      <c r="AD20" s="50"/>
      <c r="AE20" s="50"/>
      <c r="AF20" s="50"/>
      <c r="AG20" s="50"/>
      <c r="AH20" s="50"/>
      <c r="AI20" s="50"/>
    </row>
    <row r="21" spans="1:35" hidden="1" x14ac:dyDescent="0.2">
      <c r="A21" s="11" t="s">
        <v>28</v>
      </c>
      <c r="B21" s="12" t="s">
        <v>21</v>
      </c>
      <c r="C21" s="12" t="s">
        <v>52</v>
      </c>
      <c r="D21" s="12" t="s">
        <v>30</v>
      </c>
      <c r="E21" s="12">
        <v>6282895</v>
      </c>
      <c r="F21" s="13">
        <v>8100</v>
      </c>
      <c r="G21" s="14">
        <v>45485</v>
      </c>
      <c r="H21" s="15" t="s">
        <v>31</v>
      </c>
      <c r="I21" s="16" t="s">
        <v>27</v>
      </c>
      <c r="J21" s="16">
        <v>6283863</v>
      </c>
      <c r="K21" s="17">
        <v>8150</v>
      </c>
      <c r="L21" s="18">
        <v>45486</v>
      </c>
      <c r="M21" s="19" t="s">
        <v>44</v>
      </c>
      <c r="N21" s="20" t="s">
        <v>18</v>
      </c>
      <c r="O21" s="20"/>
      <c r="P21" s="20">
        <v>26</v>
      </c>
      <c r="Q21" s="21">
        <v>45486</v>
      </c>
      <c r="R21" s="20">
        <v>310</v>
      </c>
      <c r="S21" s="22">
        <v>8120</v>
      </c>
      <c r="T21" s="23">
        <v>120</v>
      </c>
      <c r="V21" s="37">
        <f t="shared" si="7"/>
        <v>8050</v>
      </c>
      <c r="W21" s="46">
        <f t="shared" si="8"/>
        <v>-70</v>
      </c>
      <c r="X21" s="26">
        <f t="shared" si="9"/>
        <v>-100</v>
      </c>
      <c r="Y21" s="25">
        <f t="shared" si="10"/>
        <v>-50</v>
      </c>
      <c r="Z21" s="38">
        <f t="shared" si="11"/>
        <v>50</v>
      </c>
      <c r="AA21" s="39">
        <f t="shared" si="12"/>
        <v>-30</v>
      </c>
      <c r="AB21" s="58">
        <f t="shared" si="13"/>
        <v>20</v>
      </c>
      <c r="AC21" s="50"/>
      <c r="AD21" s="50"/>
      <c r="AE21" s="50"/>
      <c r="AF21" s="50"/>
      <c r="AG21" s="50"/>
      <c r="AH21" s="50"/>
      <c r="AI21" s="50"/>
    </row>
    <row r="22" spans="1:35" hidden="1" x14ac:dyDescent="0.2">
      <c r="A22" s="11" t="s">
        <v>28</v>
      </c>
      <c r="B22" s="12" t="s">
        <v>24</v>
      </c>
      <c r="C22" s="12" t="s">
        <v>57</v>
      </c>
      <c r="D22" s="12" t="s">
        <v>6</v>
      </c>
      <c r="E22" s="12">
        <v>6283269</v>
      </c>
      <c r="F22" s="13">
        <v>5900</v>
      </c>
      <c r="G22" s="14">
        <v>45485</v>
      </c>
      <c r="H22" s="15" t="s">
        <v>31</v>
      </c>
      <c r="I22" s="16" t="s">
        <v>27</v>
      </c>
      <c r="J22" s="16">
        <v>6283903</v>
      </c>
      <c r="K22" s="17">
        <v>5930</v>
      </c>
      <c r="L22" s="18">
        <v>45486</v>
      </c>
      <c r="M22" s="19" t="s">
        <v>44</v>
      </c>
      <c r="N22" s="20" t="s">
        <v>18</v>
      </c>
      <c r="O22" s="20"/>
      <c r="P22" s="20">
        <v>19</v>
      </c>
      <c r="Q22" s="21">
        <v>45489</v>
      </c>
      <c r="R22" s="20">
        <v>310</v>
      </c>
      <c r="S22" s="22">
        <v>5886</v>
      </c>
      <c r="T22" s="23">
        <v>86</v>
      </c>
      <c r="V22" s="37">
        <f t="shared" si="7"/>
        <v>5881</v>
      </c>
      <c r="W22" s="28">
        <f t="shared" si="8"/>
        <v>-5</v>
      </c>
      <c r="X22" s="26">
        <f t="shared" si="9"/>
        <v>-49</v>
      </c>
      <c r="Y22" s="200">
        <f t="shared" si="10"/>
        <v>-19</v>
      </c>
      <c r="Z22" s="38">
        <f t="shared" si="11"/>
        <v>30</v>
      </c>
      <c r="AA22" s="39">
        <f t="shared" si="12"/>
        <v>-44</v>
      </c>
      <c r="AB22" s="58">
        <f t="shared" si="13"/>
        <v>-14</v>
      </c>
      <c r="AC22" s="50"/>
      <c r="AD22" s="50"/>
      <c r="AE22" s="50"/>
      <c r="AF22" s="50"/>
      <c r="AG22" s="50"/>
      <c r="AH22" s="50"/>
      <c r="AI22" s="50"/>
    </row>
    <row r="23" spans="1:35" x14ac:dyDescent="0.2">
      <c r="A23" s="11" t="s">
        <v>5</v>
      </c>
      <c r="B23" s="12" t="s">
        <v>21</v>
      </c>
      <c r="C23" s="12" t="s">
        <v>53</v>
      </c>
      <c r="D23" s="12" t="s">
        <v>15</v>
      </c>
      <c r="E23" s="12">
        <v>6283163</v>
      </c>
      <c r="F23" s="13">
        <v>7780</v>
      </c>
      <c r="G23" s="14">
        <v>45485</v>
      </c>
      <c r="H23" s="15" t="s">
        <v>7</v>
      </c>
      <c r="I23" s="16" t="s">
        <v>16</v>
      </c>
      <c r="J23" s="16">
        <v>6284658</v>
      </c>
      <c r="K23" s="17">
        <v>7710</v>
      </c>
      <c r="L23" s="18">
        <v>45489</v>
      </c>
      <c r="M23" s="19" t="s">
        <v>17</v>
      </c>
      <c r="N23" s="20" t="s">
        <v>18</v>
      </c>
      <c r="O23" s="20"/>
      <c r="P23" s="20">
        <v>25</v>
      </c>
      <c r="Q23" s="21">
        <v>45489</v>
      </c>
      <c r="R23" s="20">
        <v>55</v>
      </c>
      <c r="S23" s="22">
        <v>7689</v>
      </c>
      <c r="T23" s="23">
        <v>9</v>
      </c>
      <c r="V23" s="37">
        <f t="shared" si="7"/>
        <v>7689</v>
      </c>
      <c r="W23" s="28">
        <f t="shared" si="8"/>
        <v>0</v>
      </c>
      <c r="X23" s="45">
        <f t="shared" si="9"/>
        <v>-21</v>
      </c>
      <c r="Y23" s="199">
        <f t="shared" si="10"/>
        <v>-91</v>
      </c>
      <c r="Z23" s="38">
        <f t="shared" si="11"/>
        <v>-70</v>
      </c>
      <c r="AA23" s="39">
        <f t="shared" si="12"/>
        <v>-21</v>
      </c>
      <c r="AB23" s="58">
        <f t="shared" si="13"/>
        <v>-91</v>
      </c>
      <c r="AC23" s="50"/>
      <c r="AD23" s="50"/>
      <c r="AE23" s="50"/>
      <c r="AF23" s="50"/>
      <c r="AG23" s="50"/>
      <c r="AH23" s="50"/>
      <c r="AI23" s="50"/>
    </row>
    <row r="24" spans="1:35" hidden="1" x14ac:dyDescent="0.2">
      <c r="A24" s="11" t="s">
        <v>5</v>
      </c>
      <c r="B24" s="12" t="s">
        <v>19</v>
      </c>
      <c r="C24" s="12" t="s">
        <v>54</v>
      </c>
      <c r="D24" s="12" t="s">
        <v>15</v>
      </c>
      <c r="E24" s="12">
        <v>6283121</v>
      </c>
      <c r="F24" s="13">
        <v>6830</v>
      </c>
      <c r="G24" s="14">
        <v>45485</v>
      </c>
      <c r="H24" s="15" t="s">
        <v>7</v>
      </c>
      <c r="I24" s="16" t="s">
        <v>27</v>
      </c>
      <c r="J24" s="16">
        <v>6285512</v>
      </c>
      <c r="K24" s="17">
        <v>6830</v>
      </c>
      <c r="L24" s="18">
        <v>45490</v>
      </c>
      <c r="M24" s="19" t="s">
        <v>17</v>
      </c>
      <c r="N24" s="20" t="s">
        <v>25</v>
      </c>
      <c r="O24" s="20"/>
      <c r="P24" s="20">
        <v>22</v>
      </c>
      <c r="Q24" s="21">
        <v>45490</v>
      </c>
      <c r="R24" s="20">
        <v>310</v>
      </c>
      <c r="S24" s="22">
        <v>6845</v>
      </c>
      <c r="T24" s="23">
        <v>130</v>
      </c>
      <c r="V24" s="37">
        <f t="shared" si="7"/>
        <v>6840</v>
      </c>
      <c r="W24" s="28">
        <f t="shared" si="8"/>
        <v>-5</v>
      </c>
      <c r="X24" s="26">
        <f t="shared" si="9"/>
        <v>10</v>
      </c>
      <c r="Y24" s="200">
        <f t="shared" si="10"/>
        <v>10</v>
      </c>
      <c r="Z24" s="38">
        <f t="shared" si="11"/>
        <v>0</v>
      </c>
      <c r="AA24" s="39">
        <f t="shared" si="12"/>
        <v>15</v>
      </c>
      <c r="AB24" s="58">
        <f t="shared" si="13"/>
        <v>15</v>
      </c>
      <c r="AC24" s="50"/>
      <c r="AD24" s="50"/>
      <c r="AE24" s="50"/>
      <c r="AF24" s="50"/>
      <c r="AG24" s="50"/>
      <c r="AH24" s="50"/>
      <c r="AI24" s="50"/>
    </row>
    <row r="25" spans="1:35" hidden="1" x14ac:dyDescent="0.2">
      <c r="A25" s="11" t="s">
        <v>5</v>
      </c>
      <c r="B25" s="12" t="s">
        <v>21</v>
      </c>
      <c r="C25" s="12" t="s">
        <v>55</v>
      </c>
      <c r="D25" s="12" t="s">
        <v>30</v>
      </c>
      <c r="E25" s="12">
        <v>6282439</v>
      </c>
      <c r="F25" s="13">
        <v>3100</v>
      </c>
      <c r="G25" s="14">
        <v>45485</v>
      </c>
      <c r="H25" s="15" t="s">
        <v>7</v>
      </c>
      <c r="I25" s="16" t="s">
        <v>27</v>
      </c>
      <c r="J25" s="16">
        <v>6284536</v>
      </c>
      <c r="K25" s="17">
        <v>3100</v>
      </c>
      <c r="L25" s="18">
        <v>45489</v>
      </c>
      <c r="M25" s="19" t="s">
        <v>17</v>
      </c>
      <c r="N25" s="20" t="s">
        <v>18</v>
      </c>
      <c r="O25" s="20"/>
      <c r="P25" s="20">
        <v>10</v>
      </c>
      <c r="Q25" s="21">
        <v>45489</v>
      </c>
      <c r="R25" s="20">
        <v>310</v>
      </c>
      <c r="S25" s="22">
        <v>3100</v>
      </c>
      <c r="T25" s="23">
        <v>40</v>
      </c>
      <c r="V25" s="37">
        <f t="shared" si="7"/>
        <v>3090</v>
      </c>
      <c r="W25" s="24">
        <f t="shared" si="8"/>
        <v>-10</v>
      </c>
      <c r="X25" s="45">
        <f t="shared" si="9"/>
        <v>-10</v>
      </c>
      <c r="Y25" s="200">
        <f t="shared" si="10"/>
        <v>-10</v>
      </c>
      <c r="Z25" s="38">
        <f t="shared" si="11"/>
        <v>0</v>
      </c>
      <c r="AA25" s="39">
        <f t="shared" si="12"/>
        <v>0</v>
      </c>
      <c r="AB25" s="58">
        <f t="shared" si="13"/>
        <v>0</v>
      </c>
      <c r="AC25" s="50"/>
      <c r="AD25" s="50"/>
      <c r="AE25" s="50"/>
      <c r="AF25" s="50"/>
      <c r="AG25" s="50"/>
      <c r="AH25" s="50"/>
      <c r="AI25" s="50"/>
    </row>
    <row r="26" spans="1:35" x14ac:dyDescent="0.2">
      <c r="A26" s="11" t="s">
        <v>5</v>
      </c>
      <c r="B26" s="12" t="s">
        <v>21</v>
      </c>
      <c r="C26" s="12" t="s">
        <v>61</v>
      </c>
      <c r="D26" s="12" t="s">
        <v>62</v>
      </c>
      <c r="E26" s="12">
        <v>6285496</v>
      </c>
      <c r="F26" s="13">
        <v>7780</v>
      </c>
      <c r="G26" s="14">
        <v>45490</v>
      </c>
      <c r="H26" s="15" t="s">
        <v>31</v>
      </c>
      <c r="I26" s="16" t="s">
        <v>63</v>
      </c>
      <c r="J26" s="16">
        <v>6285597</v>
      </c>
      <c r="K26" s="17">
        <v>7747</v>
      </c>
      <c r="L26" s="18">
        <v>45490</v>
      </c>
      <c r="M26" s="19" t="s">
        <v>35</v>
      </c>
      <c r="N26" s="20"/>
      <c r="O26" s="20"/>
      <c r="P26" s="20">
        <v>25</v>
      </c>
      <c r="Q26" s="21">
        <v>45490</v>
      </c>
      <c r="R26" s="20">
        <v>55</v>
      </c>
      <c r="S26" s="22">
        <v>7780</v>
      </c>
      <c r="T26" s="23">
        <v>40</v>
      </c>
      <c r="V26" s="37">
        <f t="shared" si="7"/>
        <v>7720</v>
      </c>
      <c r="W26" s="24">
        <f t="shared" si="8"/>
        <v>-60</v>
      </c>
      <c r="X26" s="27">
        <f t="shared" si="9"/>
        <v>-27</v>
      </c>
      <c r="Y26" s="200">
        <f t="shared" si="10"/>
        <v>-60</v>
      </c>
      <c r="Z26" s="38">
        <f t="shared" si="11"/>
        <v>-33</v>
      </c>
      <c r="AA26" s="39">
        <f t="shared" si="12"/>
        <v>33</v>
      </c>
      <c r="AB26" s="58">
        <f t="shared" si="13"/>
        <v>0</v>
      </c>
      <c r="AC26" s="50"/>
      <c r="AD26" s="50"/>
      <c r="AE26" s="50"/>
      <c r="AF26" s="50"/>
      <c r="AG26" s="50"/>
      <c r="AH26" s="50"/>
      <c r="AI26" s="50"/>
    </row>
    <row r="27" spans="1:35" x14ac:dyDescent="0.2">
      <c r="A27" s="11" t="s">
        <v>5</v>
      </c>
      <c r="B27" s="12" t="s">
        <v>19</v>
      </c>
      <c r="C27" s="12" t="s">
        <v>64</v>
      </c>
      <c r="D27" s="12" t="s">
        <v>65</v>
      </c>
      <c r="E27" s="12">
        <v>6285557</v>
      </c>
      <c r="F27" s="13">
        <v>7650</v>
      </c>
      <c r="G27" s="14">
        <v>45490</v>
      </c>
      <c r="H27" s="15" t="s">
        <v>7</v>
      </c>
      <c r="I27" s="16" t="s">
        <v>66</v>
      </c>
      <c r="J27" s="16">
        <v>6286292</v>
      </c>
      <c r="K27" s="17">
        <v>7630</v>
      </c>
      <c r="L27" s="18">
        <v>45490</v>
      </c>
      <c r="M27" s="19" t="s">
        <v>44</v>
      </c>
      <c r="N27" s="20"/>
      <c r="O27" s="20"/>
      <c r="P27" s="20">
        <v>25</v>
      </c>
      <c r="Q27" s="21">
        <v>45490</v>
      </c>
      <c r="R27" s="20">
        <v>310</v>
      </c>
      <c r="S27" s="22">
        <v>7630</v>
      </c>
      <c r="T27" s="23">
        <v>15</v>
      </c>
      <c r="V27" s="37">
        <f t="shared" si="7"/>
        <v>7640</v>
      </c>
      <c r="W27" s="24">
        <f t="shared" si="8"/>
        <v>10</v>
      </c>
      <c r="X27" s="45">
        <f t="shared" si="9"/>
        <v>10</v>
      </c>
      <c r="Y27" s="200">
        <f t="shared" si="10"/>
        <v>-10</v>
      </c>
      <c r="Z27" s="38">
        <f t="shared" si="11"/>
        <v>-20</v>
      </c>
      <c r="AA27" s="39">
        <f t="shared" si="12"/>
        <v>0</v>
      </c>
      <c r="AB27" s="58">
        <f t="shared" si="13"/>
        <v>-20</v>
      </c>
      <c r="AC27" s="50"/>
      <c r="AD27" s="50"/>
      <c r="AE27" s="50"/>
      <c r="AF27" s="50"/>
      <c r="AG27" s="50"/>
      <c r="AH27" s="50"/>
      <c r="AI27" s="50"/>
    </row>
    <row r="28" spans="1:35" x14ac:dyDescent="0.2">
      <c r="A28" s="11" t="s">
        <v>5</v>
      </c>
      <c r="B28" s="12" t="s">
        <v>21</v>
      </c>
      <c r="C28" s="12" t="s">
        <v>72</v>
      </c>
      <c r="D28" s="12" t="s">
        <v>67</v>
      </c>
      <c r="E28" s="12">
        <v>6286568</v>
      </c>
      <c r="F28" s="13">
        <v>7780</v>
      </c>
      <c r="G28" s="14">
        <v>45490</v>
      </c>
      <c r="H28" s="15" t="s">
        <v>7</v>
      </c>
      <c r="I28" s="16" t="s">
        <v>27</v>
      </c>
      <c r="J28" s="16">
        <v>6286728</v>
      </c>
      <c r="K28" s="17">
        <v>7730</v>
      </c>
      <c r="L28" s="18">
        <v>45491</v>
      </c>
      <c r="M28" s="19" t="s">
        <v>17</v>
      </c>
      <c r="N28" s="20"/>
      <c r="O28" s="20"/>
      <c r="P28" s="20">
        <v>25</v>
      </c>
      <c r="Q28" s="21">
        <v>45491</v>
      </c>
      <c r="R28" s="20">
        <v>55</v>
      </c>
      <c r="S28" s="22">
        <v>7820</v>
      </c>
      <c r="T28" s="23">
        <v>24</v>
      </c>
      <c r="V28" s="37">
        <f t="shared" si="7"/>
        <v>7704</v>
      </c>
      <c r="W28" s="24">
        <f t="shared" si="8"/>
        <v>-116</v>
      </c>
      <c r="X28" s="27">
        <f t="shared" si="9"/>
        <v>-26</v>
      </c>
      <c r="Y28" s="200">
        <f t="shared" si="10"/>
        <v>-76</v>
      </c>
      <c r="Z28" s="38">
        <f t="shared" si="11"/>
        <v>-50</v>
      </c>
      <c r="AA28" s="39">
        <f t="shared" si="12"/>
        <v>90</v>
      </c>
      <c r="AB28" s="58">
        <f t="shared" si="13"/>
        <v>40</v>
      </c>
      <c r="AC28" s="50"/>
      <c r="AD28" s="50"/>
      <c r="AE28" s="50"/>
      <c r="AF28" s="50"/>
      <c r="AG28" s="50"/>
      <c r="AH28" s="50"/>
      <c r="AI28" s="50"/>
    </row>
    <row r="29" spans="1:35" x14ac:dyDescent="0.2">
      <c r="A29" s="11" t="s">
        <v>5</v>
      </c>
      <c r="B29" s="12" t="s">
        <v>19</v>
      </c>
      <c r="C29" s="12" t="s">
        <v>69</v>
      </c>
      <c r="D29" s="12" t="s">
        <v>65</v>
      </c>
      <c r="E29" s="12">
        <v>6285497</v>
      </c>
      <c r="F29" s="13">
        <v>7780</v>
      </c>
      <c r="G29" s="14">
        <v>45490</v>
      </c>
      <c r="H29" s="15" t="s">
        <v>31</v>
      </c>
      <c r="I29" s="16" t="s">
        <v>63</v>
      </c>
      <c r="J29" s="16">
        <v>6285679</v>
      </c>
      <c r="K29" s="17">
        <v>7795</v>
      </c>
      <c r="L29" s="18">
        <v>45490</v>
      </c>
      <c r="M29" s="19" t="s">
        <v>17</v>
      </c>
      <c r="N29" s="20"/>
      <c r="O29" s="20"/>
      <c r="P29" s="20">
        <v>25</v>
      </c>
      <c r="Q29" s="21">
        <v>45490</v>
      </c>
      <c r="R29" s="20">
        <v>55</v>
      </c>
      <c r="S29" s="22">
        <v>7790</v>
      </c>
      <c r="T29" s="23">
        <v>35</v>
      </c>
      <c r="V29" s="37">
        <f t="shared" si="7"/>
        <v>7715</v>
      </c>
      <c r="W29" s="46">
        <f t="shared" si="8"/>
        <v>-75</v>
      </c>
      <c r="X29" s="26">
        <f t="shared" si="9"/>
        <v>-80</v>
      </c>
      <c r="Y29" s="25">
        <f t="shared" si="10"/>
        <v>-65</v>
      </c>
      <c r="Z29" s="38">
        <f t="shared" si="11"/>
        <v>15</v>
      </c>
      <c r="AA29" s="39">
        <f t="shared" si="12"/>
        <v>-5</v>
      </c>
      <c r="AB29" s="58">
        <f t="shared" si="13"/>
        <v>10</v>
      </c>
      <c r="AE29" s="1"/>
      <c r="AF29" s="1"/>
    </row>
    <row r="30" spans="1:35" x14ac:dyDescent="0.2">
      <c r="A30" s="11" t="s">
        <v>5</v>
      </c>
      <c r="B30" s="12" t="s">
        <v>19</v>
      </c>
      <c r="C30" s="12" t="s">
        <v>71</v>
      </c>
      <c r="D30" s="12" t="s">
        <v>67</v>
      </c>
      <c r="E30" s="12">
        <v>6286356</v>
      </c>
      <c r="F30" s="13">
        <v>7780</v>
      </c>
      <c r="G30" s="14">
        <v>45490</v>
      </c>
      <c r="H30" s="15" t="s">
        <v>7</v>
      </c>
      <c r="I30" s="16" t="s">
        <v>27</v>
      </c>
      <c r="J30" s="16">
        <v>6286813</v>
      </c>
      <c r="K30" s="17">
        <v>7770</v>
      </c>
      <c r="L30" s="18">
        <v>45491</v>
      </c>
      <c r="M30" s="19" t="s">
        <v>35</v>
      </c>
      <c r="N30" s="20"/>
      <c r="O30" s="20"/>
      <c r="P30" s="20">
        <v>25</v>
      </c>
      <c r="Q30" s="21">
        <v>45491</v>
      </c>
      <c r="R30" s="20">
        <v>55</v>
      </c>
      <c r="S30" s="22">
        <v>7762</v>
      </c>
      <c r="T30" s="23">
        <v>82</v>
      </c>
      <c r="V30" s="37">
        <f t="shared" si="7"/>
        <v>7762</v>
      </c>
      <c r="W30" s="28">
        <f t="shared" si="8"/>
        <v>0</v>
      </c>
      <c r="X30" s="45">
        <f t="shared" si="9"/>
        <v>-8</v>
      </c>
      <c r="Y30" s="199">
        <f t="shared" si="10"/>
        <v>-18</v>
      </c>
      <c r="Z30" s="38">
        <f t="shared" si="11"/>
        <v>-10</v>
      </c>
      <c r="AA30" s="39">
        <f t="shared" si="12"/>
        <v>-8</v>
      </c>
      <c r="AB30" s="58">
        <f t="shared" si="13"/>
        <v>-18</v>
      </c>
      <c r="AE30" s="1"/>
      <c r="AF30" s="1"/>
    </row>
    <row r="31" spans="1:35" x14ac:dyDescent="0.2">
      <c r="A31" s="11" t="s">
        <v>5</v>
      </c>
      <c r="B31" s="12" t="s">
        <v>21</v>
      </c>
      <c r="C31" s="12" t="s">
        <v>68</v>
      </c>
      <c r="D31" s="12" t="s">
        <v>62</v>
      </c>
      <c r="E31" s="12">
        <v>6286740</v>
      </c>
      <c r="F31" s="13">
        <v>7780</v>
      </c>
      <c r="G31" s="14">
        <v>45491</v>
      </c>
      <c r="H31" s="15" t="s">
        <v>7</v>
      </c>
      <c r="I31" s="16" t="s">
        <v>27</v>
      </c>
      <c r="J31" s="16">
        <v>6286860</v>
      </c>
      <c r="K31" s="17">
        <v>7730</v>
      </c>
      <c r="L31" s="18">
        <v>45491</v>
      </c>
      <c r="M31" s="19" t="s">
        <v>17</v>
      </c>
      <c r="N31" s="20"/>
      <c r="O31" s="20"/>
      <c r="P31" s="20">
        <v>25</v>
      </c>
      <c r="Q31" s="21">
        <v>45491</v>
      </c>
      <c r="R31" s="20">
        <v>55</v>
      </c>
      <c r="S31" s="22">
        <v>7747</v>
      </c>
      <c r="T31" s="23">
        <v>67</v>
      </c>
      <c r="V31" s="37">
        <f t="shared" si="7"/>
        <v>7692</v>
      </c>
      <c r="W31" s="46">
        <f t="shared" si="8"/>
        <v>-55</v>
      </c>
      <c r="X31" s="27">
        <f t="shared" si="9"/>
        <v>-38</v>
      </c>
      <c r="Y31" s="199">
        <f t="shared" si="10"/>
        <v>-88</v>
      </c>
      <c r="Z31" s="38">
        <f t="shared" si="11"/>
        <v>-50</v>
      </c>
      <c r="AA31" s="39">
        <f t="shared" si="12"/>
        <v>17</v>
      </c>
      <c r="AB31" s="58">
        <f t="shared" si="13"/>
        <v>-33</v>
      </c>
      <c r="AE31" s="1"/>
      <c r="AF31" s="1"/>
    </row>
    <row r="32" spans="1:35" x14ac:dyDescent="0.2">
      <c r="A32" s="11" t="s">
        <v>5</v>
      </c>
      <c r="B32" s="12" t="s">
        <v>19</v>
      </c>
      <c r="C32" s="12" t="s">
        <v>70</v>
      </c>
      <c r="D32" s="12" t="s">
        <v>62</v>
      </c>
      <c r="E32" s="12">
        <v>6286687</v>
      </c>
      <c r="F32" s="13">
        <v>7780</v>
      </c>
      <c r="G32" s="14">
        <v>45491</v>
      </c>
      <c r="H32" s="15" t="s">
        <v>7</v>
      </c>
      <c r="I32" s="16" t="s">
        <v>16</v>
      </c>
      <c r="J32" s="16">
        <v>6286938</v>
      </c>
      <c r="K32" s="17">
        <v>7770</v>
      </c>
      <c r="L32" s="18">
        <v>45491</v>
      </c>
      <c r="M32" s="19"/>
      <c r="N32" s="20"/>
      <c r="O32" s="20"/>
      <c r="P32" s="20">
        <v>25</v>
      </c>
      <c r="Q32" s="21">
        <v>45491</v>
      </c>
      <c r="R32" s="20">
        <v>55</v>
      </c>
      <c r="S32" s="22">
        <v>7770</v>
      </c>
      <c r="T32" s="23">
        <v>30</v>
      </c>
      <c r="V32" s="37">
        <f t="shared" si="7"/>
        <v>7710</v>
      </c>
      <c r="W32" s="28">
        <f t="shared" si="8"/>
        <v>-60</v>
      </c>
      <c r="X32" s="45">
        <f t="shared" si="9"/>
        <v>-60</v>
      </c>
      <c r="Y32" s="199">
        <f t="shared" si="10"/>
        <v>-70</v>
      </c>
      <c r="Z32" s="38">
        <f t="shared" si="11"/>
        <v>-10</v>
      </c>
      <c r="AA32" s="39">
        <f t="shared" si="12"/>
        <v>0</v>
      </c>
      <c r="AB32" s="58">
        <f t="shared" si="13"/>
        <v>-10</v>
      </c>
      <c r="AE32" s="1"/>
      <c r="AF32" s="1"/>
    </row>
    <row r="33" spans="1:32" hidden="1" x14ac:dyDescent="0.2">
      <c r="A33" s="11" t="s">
        <v>5</v>
      </c>
      <c r="B33" s="12" t="s">
        <v>20</v>
      </c>
      <c r="C33" s="12" t="s">
        <v>80</v>
      </c>
      <c r="D33" s="12" t="s">
        <v>6</v>
      </c>
      <c r="E33" s="12">
        <v>6287026</v>
      </c>
      <c r="F33" s="13">
        <v>7630</v>
      </c>
      <c r="G33" s="14">
        <v>45491</v>
      </c>
      <c r="H33" s="15" t="s">
        <v>7</v>
      </c>
      <c r="I33" s="16" t="s">
        <v>27</v>
      </c>
      <c r="J33" s="16">
        <v>6287669</v>
      </c>
      <c r="K33" s="17">
        <v>7536</v>
      </c>
      <c r="L33" s="18">
        <v>45492</v>
      </c>
      <c r="M33" s="19"/>
      <c r="N33" s="20" t="s">
        <v>41</v>
      </c>
      <c r="O33" s="20">
        <v>15</v>
      </c>
      <c r="P33" s="20"/>
      <c r="Q33" s="21">
        <v>45492</v>
      </c>
      <c r="R33" s="20">
        <v>501</v>
      </c>
      <c r="S33" s="22">
        <v>7538</v>
      </c>
      <c r="T33" s="23">
        <v>36</v>
      </c>
      <c r="V33" s="37">
        <f t="shared" si="7"/>
        <v>7536</v>
      </c>
      <c r="W33" s="46">
        <f t="shared" si="8"/>
        <v>-2</v>
      </c>
      <c r="X33" s="27">
        <f t="shared" si="9"/>
        <v>0</v>
      </c>
      <c r="Y33" s="199">
        <f t="shared" si="10"/>
        <v>-94</v>
      </c>
      <c r="Z33" s="38">
        <f t="shared" si="11"/>
        <v>-94</v>
      </c>
      <c r="AA33" s="39">
        <f t="shared" si="12"/>
        <v>2</v>
      </c>
      <c r="AB33" s="58">
        <f t="shared" si="13"/>
        <v>-92</v>
      </c>
      <c r="AE33" s="1"/>
      <c r="AF33" s="1"/>
    </row>
    <row r="34" spans="1:32" x14ac:dyDescent="0.2">
      <c r="A34" s="11" t="s">
        <v>5</v>
      </c>
      <c r="B34" s="12" t="s">
        <v>24</v>
      </c>
      <c r="C34" s="12" t="s">
        <v>81</v>
      </c>
      <c r="D34" s="12" t="s">
        <v>67</v>
      </c>
      <c r="E34" s="12">
        <v>6286357</v>
      </c>
      <c r="F34" s="13">
        <v>7780</v>
      </c>
      <c r="G34" s="14">
        <v>45490</v>
      </c>
      <c r="H34" s="15" t="s">
        <v>7</v>
      </c>
      <c r="I34" s="16" t="s">
        <v>16</v>
      </c>
      <c r="J34" s="16">
        <v>6287023</v>
      </c>
      <c r="K34" s="17">
        <v>7810</v>
      </c>
      <c r="L34" s="18">
        <v>45491</v>
      </c>
      <c r="M34" s="19" t="s">
        <v>35</v>
      </c>
      <c r="N34" s="20" t="s">
        <v>101</v>
      </c>
      <c r="O34" s="20"/>
      <c r="P34" s="20">
        <v>25</v>
      </c>
      <c r="Q34" s="21">
        <v>45491</v>
      </c>
      <c r="R34" s="20">
        <v>55</v>
      </c>
      <c r="S34" s="22">
        <v>7814</v>
      </c>
      <c r="T34" s="23">
        <v>134</v>
      </c>
      <c r="V34" s="37">
        <f t="shared" si="7"/>
        <v>7814</v>
      </c>
      <c r="W34" s="28">
        <f t="shared" si="8"/>
        <v>0</v>
      </c>
      <c r="X34" s="45">
        <f t="shared" si="9"/>
        <v>4</v>
      </c>
      <c r="Y34" s="199">
        <f t="shared" si="10"/>
        <v>34</v>
      </c>
      <c r="Z34" s="38">
        <f t="shared" si="11"/>
        <v>30</v>
      </c>
      <c r="AA34" s="39">
        <f t="shared" si="12"/>
        <v>4</v>
      </c>
      <c r="AB34" s="58">
        <f t="shared" si="13"/>
        <v>34</v>
      </c>
      <c r="AE34" s="1"/>
      <c r="AF34" s="1"/>
    </row>
    <row r="35" spans="1:32" hidden="1" x14ac:dyDescent="0.2">
      <c r="A35" s="11" t="s">
        <v>5</v>
      </c>
      <c r="B35" s="12" t="s">
        <v>21</v>
      </c>
      <c r="C35" s="12" t="s">
        <v>76</v>
      </c>
      <c r="D35" s="12" t="s">
        <v>62</v>
      </c>
      <c r="E35" s="12">
        <v>6285559</v>
      </c>
      <c r="F35" s="13">
        <v>7250</v>
      </c>
      <c r="G35" s="14">
        <v>45490</v>
      </c>
      <c r="H35" s="15" t="s">
        <v>7</v>
      </c>
      <c r="I35" s="16" t="s">
        <v>66</v>
      </c>
      <c r="J35" s="16">
        <v>6286355</v>
      </c>
      <c r="K35" s="17">
        <v>7240</v>
      </c>
      <c r="L35" s="18">
        <v>45490</v>
      </c>
      <c r="M35" s="19"/>
      <c r="N35" s="20"/>
      <c r="O35" s="20"/>
      <c r="P35" s="20">
        <v>23</v>
      </c>
      <c r="Q35" s="21">
        <v>45491</v>
      </c>
      <c r="R35" s="20">
        <v>310</v>
      </c>
      <c r="S35" s="22">
        <v>7020</v>
      </c>
      <c r="T35" s="23">
        <v>180</v>
      </c>
      <c r="V35" s="37">
        <f t="shared" si="7"/>
        <v>7195</v>
      </c>
      <c r="W35" s="24">
        <f t="shared" si="8"/>
        <v>175</v>
      </c>
      <c r="X35" s="27">
        <f t="shared" si="9"/>
        <v>-45</v>
      </c>
      <c r="Y35" s="200">
        <f t="shared" si="10"/>
        <v>-55</v>
      </c>
      <c r="Z35" s="38">
        <f t="shared" si="11"/>
        <v>-10</v>
      </c>
      <c r="AA35" s="39">
        <f t="shared" si="12"/>
        <v>-220</v>
      </c>
      <c r="AB35" s="58">
        <f t="shared" si="13"/>
        <v>-230</v>
      </c>
      <c r="AE35" s="1"/>
      <c r="AF35" s="1"/>
    </row>
    <row r="36" spans="1:32" hidden="1" x14ac:dyDescent="0.2">
      <c r="A36" s="11" t="s">
        <v>5</v>
      </c>
      <c r="B36" s="12" t="s">
        <v>19</v>
      </c>
      <c r="C36" s="12" t="s">
        <v>82</v>
      </c>
      <c r="D36" s="12" t="s">
        <v>6</v>
      </c>
      <c r="E36" s="12">
        <v>6287157</v>
      </c>
      <c r="F36" s="13">
        <v>2300</v>
      </c>
      <c r="G36" s="14">
        <v>45491</v>
      </c>
      <c r="H36" s="15" t="s">
        <v>7</v>
      </c>
      <c r="I36" s="16" t="s">
        <v>16</v>
      </c>
      <c r="J36" s="16">
        <v>6287295</v>
      </c>
      <c r="K36" s="17">
        <v>2300</v>
      </c>
      <c r="L36" s="18">
        <v>45491</v>
      </c>
      <c r="M36" s="19" t="s">
        <v>44</v>
      </c>
      <c r="N36" s="20" t="s">
        <v>74</v>
      </c>
      <c r="O36" s="20">
        <v>4</v>
      </c>
      <c r="P36" s="20"/>
      <c r="Q36" s="21">
        <v>45491</v>
      </c>
      <c r="R36" s="20">
        <v>110</v>
      </c>
      <c r="S36" s="22">
        <v>2000</v>
      </c>
      <c r="T36" s="23">
        <v>150</v>
      </c>
      <c r="V36" s="37">
        <f t="shared" si="7"/>
        <v>2260</v>
      </c>
      <c r="W36" s="24">
        <f t="shared" si="8"/>
        <v>260</v>
      </c>
      <c r="X36" s="27">
        <f t="shared" si="9"/>
        <v>-40</v>
      </c>
      <c r="Y36" s="200">
        <f t="shared" si="10"/>
        <v>-40</v>
      </c>
      <c r="Z36" s="38">
        <f t="shared" si="11"/>
        <v>0</v>
      </c>
      <c r="AA36" s="39">
        <f t="shared" si="12"/>
        <v>-300</v>
      </c>
      <c r="AB36" s="58">
        <f t="shared" si="13"/>
        <v>-300</v>
      </c>
      <c r="AE36" s="1"/>
      <c r="AF36" s="1"/>
    </row>
    <row r="37" spans="1:32" hidden="1" x14ac:dyDescent="0.2">
      <c r="A37" s="11" t="s">
        <v>5</v>
      </c>
      <c r="B37" s="12" t="s">
        <v>19</v>
      </c>
      <c r="C37" s="12" t="s">
        <v>75</v>
      </c>
      <c r="D37" s="12" t="s">
        <v>62</v>
      </c>
      <c r="E37" s="12">
        <v>6286885</v>
      </c>
      <c r="F37" s="13">
        <v>7550</v>
      </c>
      <c r="G37" s="14">
        <v>45491</v>
      </c>
      <c r="H37" s="15" t="s">
        <v>7</v>
      </c>
      <c r="I37" s="16" t="s">
        <v>66</v>
      </c>
      <c r="J37" s="16">
        <v>6287397</v>
      </c>
      <c r="K37" s="17">
        <v>7530</v>
      </c>
      <c r="L37" s="18">
        <v>45491</v>
      </c>
      <c r="M37" s="19"/>
      <c r="N37" s="20" t="s">
        <v>51</v>
      </c>
      <c r="O37" s="20"/>
      <c r="P37" s="20">
        <v>24</v>
      </c>
      <c r="Q37" s="21">
        <v>45491</v>
      </c>
      <c r="R37" s="20">
        <v>310</v>
      </c>
      <c r="S37" s="22">
        <v>7615</v>
      </c>
      <c r="T37" s="23">
        <v>265</v>
      </c>
      <c r="V37" s="37">
        <f t="shared" si="7"/>
        <v>7585</v>
      </c>
      <c r="W37" s="28">
        <f t="shared" si="8"/>
        <v>-30</v>
      </c>
      <c r="X37" s="26">
        <f t="shared" si="9"/>
        <v>55</v>
      </c>
      <c r="Y37" s="200">
        <f t="shared" si="10"/>
        <v>35</v>
      </c>
      <c r="Z37" s="38">
        <f t="shared" si="11"/>
        <v>-20</v>
      </c>
      <c r="AA37" s="39">
        <f t="shared" si="12"/>
        <v>85</v>
      </c>
      <c r="AB37" s="58">
        <f t="shared" si="13"/>
        <v>65</v>
      </c>
      <c r="AE37" s="1"/>
      <c r="AF37" s="1"/>
    </row>
    <row r="38" spans="1:32" x14ac:dyDescent="0.2">
      <c r="A38" s="11" t="s">
        <v>5</v>
      </c>
      <c r="B38" s="12" t="s">
        <v>19</v>
      </c>
      <c r="C38" s="12" t="s">
        <v>83</v>
      </c>
      <c r="D38" s="12" t="s">
        <v>6</v>
      </c>
      <c r="E38" s="12">
        <v>6287117</v>
      </c>
      <c r="F38" s="13">
        <v>7580</v>
      </c>
      <c r="G38" s="14">
        <v>45491</v>
      </c>
      <c r="H38" s="15" t="s">
        <v>7</v>
      </c>
      <c r="I38" s="16" t="s">
        <v>66</v>
      </c>
      <c r="J38" s="16">
        <v>6287430</v>
      </c>
      <c r="K38" s="17">
        <v>7625</v>
      </c>
      <c r="L38" s="18">
        <v>45491</v>
      </c>
      <c r="M38" s="19" t="s">
        <v>44</v>
      </c>
      <c r="N38" s="20" t="s">
        <v>74</v>
      </c>
      <c r="O38" s="20"/>
      <c r="P38" s="20">
        <v>25</v>
      </c>
      <c r="Q38" s="21">
        <v>45491</v>
      </c>
      <c r="R38" s="20">
        <v>310</v>
      </c>
      <c r="S38" s="22">
        <v>7630</v>
      </c>
      <c r="T38" s="23">
        <v>4</v>
      </c>
      <c r="V38" s="37">
        <f t="shared" si="7"/>
        <v>7629</v>
      </c>
      <c r="W38" s="28">
        <f t="shared" si="8"/>
        <v>-1</v>
      </c>
      <c r="X38" s="45">
        <f t="shared" si="9"/>
        <v>4</v>
      </c>
      <c r="Y38" s="199">
        <f t="shared" si="10"/>
        <v>49</v>
      </c>
      <c r="Z38" s="38">
        <f t="shared" si="11"/>
        <v>45</v>
      </c>
      <c r="AA38" s="39">
        <f t="shared" si="12"/>
        <v>5</v>
      </c>
      <c r="AB38" s="58">
        <f t="shared" si="13"/>
        <v>50</v>
      </c>
      <c r="AE38" s="1"/>
      <c r="AF38" s="1"/>
    </row>
    <row r="39" spans="1:32" x14ac:dyDescent="0.2">
      <c r="A39" s="11" t="s">
        <v>5</v>
      </c>
      <c r="B39" s="12" t="s">
        <v>21</v>
      </c>
      <c r="C39" s="12" t="s">
        <v>84</v>
      </c>
      <c r="D39" s="12" t="s">
        <v>6</v>
      </c>
      <c r="E39" s="12">
        <v>6287259</v>
      </c>
      <c r="F39" s="13">
        <v>7780</v>
      </c>
      <c r="G39" s="14">
        <v>45491</v>
      </c>
      <c r="H39" s="15" t="s">
        <v>7</v>
      </c>
      <c r="I39" s="16" t="s">
        <v>40</v>
      </c>
      <c r="J39" s="16">
        <v>6287756</v>
      </c>
      <c r="K39" s="17">
        <v>7732</v>
      </c>
      <c r="L39" s="18">
        <v>45492</v>
      </c>
      <c r="M39" s="19" t="s">
        <v>35</v>
      </c>
      <c r="N39" s="20" t="s">
        <v>36</v>
      </c>
      <c r="O39" s="20"/>
      <c r="P39" s="20">
        <v>25</v>
      </c>
      <c r="Q39" s="21">
        <v>45492</v>
      </c>
      <c r="R39" s="20">
        <v>60</v>
      </c>
      <c r="S39" s="22">
        <v>7707</v>
      </c>
      <c r="T39" s="23">
        <v>24</v>
      </c>
      <c r="V39" s="37">
        <f t="shared" si="7"/>
        <v>7709</v>
      </c>
      <c r="W39" s="28">
        <f t="shared" si="8"/>
        <v>2</v>
      </c>
      <c r="X39" s="45">
        <f t="shared" si="9"/>
        <v>-23</v>
      </c>
      <c r="Y39" s="199">
        <f t="shared" si="10"/>
        <v>-71</v>
      </c>
      <c r="Z39" s="38">
        <f t="shared" si="11"/>
        <v>-48</v>
      </c>
      <c r="AA39" s="39">
        <f t="shared" si="12"/>
        <v>-25</v>
      </c>
      <c r="AB39" s="58">
        <f t="shared" si="13"/>
        <v>-73</v>
      </c>
      <c r="AE39" s="1"/>
      <c r="AF39" s="1"/>
    </row>
    <row r="40" spans="1:32" x14ac:dyDescent="0.2">
      <c r="A40" s="11" t="s">
        <v>5</v>
      </c>
      <c r="B40" s="12" t="s">
        <v>21</v>
      </c>
      <c r="C40" s="12" t="s">
        <v>77</v>
      </c>
      <c r="D40" s="12" t="s">
        <v>62</v>
      </c>
      <c r="E40" s="12">
        <v>6286795</v>
      </c>
      <c r="F40" s="13">
        <v>7780</v>
      </c>
      <c r="G40" s="14">
        <v>45491</v>
      </c>
      <c r="H40" s="15" t="s">
        <v>7</v>
      </c>
      <c r="I40" s="16" t="s">
        <v>16</v>
      </c>
      <c r="J40" s="16">
        <v>6287160</v>
      </c>
      <c r="K40" s="17">
        <v>7730</v>
      </c>
      <c r="L40" s="18">
        <v>45491</v>
      </c>
      <c r="M40" s="19" t="s">
        <v>17</v>
      </c>
      <c r="N40" s="20" t="s">
        <v>51</v>
      </c>
      <c r="O40" s="20"/>
      <c r="P40" s="20">
        <v>25</v>
      </c>
      <c r="Q40" s="21">
        <v>45491</v>
      </c>
      <c r="R40" s="20">
        <v>110</v>
      </c>
      <c r="S40" s="22">
        <v>7750</v>
      </c>
      <c r="T40" s="23">
        <v>50</v>
      </c>
      <c r="V40" s="37">
        <f t="shared" si="7"/>
        <v>7785</v>
      </c>
      <c r="W40" s="46">
        <f t="shared" si="8"/>
        <v>35</v>
      </c>
      <c r="X40" s="26">
        <f t="shared" si="9"/>
        <v>55</v>
      </c>
      <c r="Y40" s="25">
        <f t="shared" si="10"/>
        <v>5</v>
      </c>
      <c r="Z40" s="38">
        <f t="shared" si="11"/>
        <v>-50</v>
      </c>
      <c r="AA40" s="39">
        <f t="shared" si="12"/>
        <v>20</v>
      </c>
      <c r="AB40" s="58">
        <f t="shared" si="13"/>
        <v>-30</v>
      </c>
      <c r="AE40" s="1"/>
      <c r="AF40" s="1"/>
    </row>
    <row r="41" spans="1:32" x14ac:dyDescent="0.2">
      <c r="A41" s="11" t="s">
        <v>5</v>
      </c>
      <c r="B41" s="12" t="s">
        <v>19</v>
      </c>
      <c r="C41" s="12" t="s">
        <v>78</v>
      </c>
      <c r="D41" s="12" t="s">
        <v>62</v>
      </c>
      <c r="E41" s="12">
        <v>6286796</v>
      </c>
      <c r="F41" s="13">
        <v>7780</v>
      </c>
      <c r="G41" s="14">
        <v>45491</v>
      </c>
      <c r="H41" s="15" t="s">
        <v>7</v>
      </c>
      <c r="I41" s="16" t="s">
        <v>16</v>
      </c>
      <c r="J41" s="16">
        <v>6287266</v>
      </c>
      <c r="K41" s="17">
        <v>7770</v>
      </c>
      <c r="L41" s="18">
        <v>45491</v>
      </c>
      <c r="M41" s="19" t="s">
        <v>35</v>
      </c>
      <c r="N41" s="20" t="s">
        <v>79</v>
      </c>
      <c r="O41" s="20"/>
      <c r="P41" s="20">
        <v>25</v>
      </c>
      <c r="Q41" s="21">
        <v>45491</v>
      </c>
      <c r="R41" s="20">
        <v>55</v>
      </c>
      <c r="S41" s="22">
        <v>7770</v>
      </c>
      <c r="T41" s="23">
        <v>89</v>
      </c>
      <c r="V41" s="37">
        <f t="shared" si="7"/>
        <v>7769</v>
      </c>
      <c r="W41" s="28">
        <f t="shared" si="8"/>
        <v>-1</v>
      </c>
      <c r="X41" s="45">
        <f t="shared" si="9"/>
        <v>-1</v>
      </c>
      <c r="Y41" s="199">
        <f t="shared" si="10"/>
        <v>-11</v>
      </c>
      <c r="Z41" s="38">
        <f t="shared" si="11"/>
        <v>-10</v>
      </c>
      <c r="AA41" s="39">
        <f t="shared" si="12"/>
        <v>0</v>
      </c>
      <c r="AB41" s="58">
        <f t="shared" si="13"/>
        <v>-10</v>
      </c>
      <c r="AE41" s="1"/>
      <c r="AF41" s="1"/>
    </row>
    <row r="42" spans="1:32" x14ac:dyDescent="0.2">
      <c r="A42" s="11" t="s">
        <v>5</v>
      </c>
      <c r="B42" s="12" t="s">
        <v>19</v>
      </c>
      <c r="C42" s="12" t="s">
        <v>85</v>
      </c>
      <c r="D42" s="12" t="s">
        <v>6</v>
      </c>
      <c r="E42" s="12">
        <v>6287021</v>
      </c>
      <c r="F42" s="13">
        <v>7780</v>
      </c>
      <c r="G42" s="14">
        <v>45491</v>
      </c>
      <c r="H42" s="15" t="s">
        <v>7</v>
      </c>
      <c r="I42" s="16" t="s">
        <v>66</v>
      </c>
      <c r="J42" s="16">
        <v>6287457</v>
      </c>
      <c r="K42" s="17">
        <v>7750</v>
      </c>
      <c r="L42" s="18">
        <v>45491</v>
      </c>
      <c r="M42" s="19" t="s">
        <v>35</v>
      </c>
      <c r="N42" s="20" t="s">
        <v>79</v>
      </c>
      <c r="O42" s="20"/>
      <c r="P42" s="20">
        <v>25</v>
      </c>
      <c r="Q42" s="21">
        <v>45491</v>
      </c>
      <c r="R42" s="20">
        <v>55</v>
      </c>
      <c r="S42" s="22">
        <v>7768</v>
      </c>
      <c r="T42" s="23">
        <v>88</v>
      </c>
      <c r="V42" s="37">
        <f t="shared" si="7"/>
        <v>7768</v>
      </c>
      <c r="W42" s="28">
        <f t="shared" si="8"/>
        <v>0</v>
      </c>
      <c r="X42" s="26">
        <f t="shared" si="9"/>
        <v>18</v>
      </c>
      <c r="Y42" s="200">
        <f t="shared" si="10"/>
        <v>-12</v>
      </c>
      <c r="Z42" s="38">
        <f t="shared" si="11"/>
        <v>-30</v>
      </c>
      <c r="AA42" s="39">
        <f t="shared" si="12"/>
        <v>18</v>
      </c>
      <c r="AB42" s="58">
        <f t="shared" si="13"/>
        <v>-12</v>
      </c>
      <c r="AE42" s="1"/>
      <c r="AF42" s="1"/>
    </row>
    <row r="43" spans="1:32" hidden="1" x14ac:dyDescent="0.2">
      <c r="A43" s="11" t="s">
        <v>5</v>
      </c>
      <c r="B43" s="12" t="s">
        <v>21</v>
      </c>
      <c r="C43" s="12" t="s">
        <v>102</v>
      </c>
      <c r="D43" s="12" t="s">
        <v>62</v>
      </c>
      <c r="E43" s="12">
        <v>6288850</v>
      </c>
      <c r="F43" s="13">
        <v>7780</v>
      </c>
      <c r="G43" s="14">
        <v>45493</v>
      </c>
      <c r="H43" s="15" t="s">
        <v>7</v>
      </c>
      <c r="I43" s="16" t="s">
        <v>16</v>
      </c>
      <c r="J43" s="16">
        <v>6289634</v>
      </c>
      <c r="K43" s="17">
        <v>7470</v>
      </c>
      <c r="L43" s="18">
        <v>45495</v>
      </c>
      <c r="M43" s="19" t="s">
        <v>44</v>
      </c>
      <c r="N43" s="20" t="s">
        <v>74</v>
      </c>
      <c r="O43" s="20"/>
      <c r="P43" s="20">
        <v>24</v>
      </c>
      <c r="Q43" s="21">
        <v>45495</v>
      </c>
      <c r="R43" s="20">
        <v>55</v>
      </c>
      <c r="S43" s="22">
        <v>7345</v>
      </c>
      <c r="T43" s="23">
        <v>25</v>
      </c>
      <c r="V43" s="37">
        <f t="shared" si="7"/>
        <v>7400</v>
      </c>
      <c r="W43" s="28">
        <f t="shared" si="8"/>
        <v>55</v>
      </c>
      <c r="X43" s="45">
        <f t="shared" si="9"/>
        <v>-70</v>
      </c>
      <c r="Y43" s="199">
        <f t="shared" si="10"/>
        <v>-380</v>
      </c>
      <c r="Z43" s="38">
        <f t="shared" si="11"/>
        <v>-310</v>
      </c>
      <c r="AA43" s="39">
        <f t="shared" si="12"/>
        <v>-125</v>
      </c>
      <c r="AB43" s="58">
        <f t="shared" si="13"/>
        <v>-435</v>
      </c>
      <c r="AE43" s="1"/>
      <c r="AF43" s="1"/>
    </row>
    <row r="44" spans="1:32" x14ac:dyDescent="0.2">
      <c r="A44" s="11" t="s">
        <v>5</v>
      </c>
      <c r="B44" s="12" t="s">
        <v>21</v>
      </c>
      <c r="C44" s="12" t="s">
        <v>103</v>
      </c>
      <c r="D44" s="12" t="s">
        <v>62</v>
      </c>
      <c r="E44" s="12">
        <v>6288754</v>
      </c>
      <c r="F44" s="13">
        <v>7780</v>
      </c>
      <c r="G44" s="14">
        <v>45493</v>
      </c>
      <c r="H44" s="15" t="s">
        <v>7</v>
      </c>
      <c r="I44" s="16" t="s">
        <v>16</v>
      </c>
      <c r="J44" s="16">
        <v>6288972</v>
      </c>
      <c r="K44" s="17">
        <v>7720</v>
      </c>
      <c r="L44" s="18">
        <v>45493</v>
      </c>
      <c r="M44" s="19" t="s">
        <v>17</v>
      </c>
      <c r="N44" s="20" t="s">
        <v>18</v>
      </c>
      <c r="O44" s="20"/>
      <c r="P44" s="20">
        <v>25</v>
      </c>
      <c r="Q44" s="21">
        <v>45493</v>
      </c>
      <c r="R44" s="20">
        <v>55</v>
      </c>
      <c r="S44" s="22">
        <v>7746</v>
      </c>
      <c r="T44" s="23">
        <v>26</v>
      </c>
      <c r="V44" s="37">
        <f t="shared" si="7"/>
        <v>7706</v>
      </c>
      <c r="W44" s="46">
        <f t="shared" si="8"/>
        <v>-40</v>
      </c>
      <c r="X44" s="27">
        <f t="shared" si="9"/>
        <v>-14</v>
      </c>
      <c r="Y44" s="199">
        <f t="shared" si="10"/>
        <v>-74</v>
      </c>
      <c r="Z44" s="38">
        <f t="shared" si="11"/>
        <v>-60</v>
      </c>
      <c r="AA44" s="39">
        <f t="shared" si="12"/>
        <v>26</v>
      </c>
      <c r="AB44" s="58">
        <f t="shared" si="13"/>
        <v>-34</v>
      </c>
      <c r="AE44" s="1"/>
      <c r="AF44" s="1"/>
    </row>
    <row r="45" spans="1:32" x14ac:dyDescent="0.2">
      <c r="A45" s="11" t="s">
        <v>5</v>
      </c>
      <c r="B45" s="12" t="s">
        <v>21</v>
      </c>
      <c r="C45" s="12" t="s">
        <v>104</v>
      </c>
      <c r="D45" s="12" t="s">
        <v>6</v>
      </c>
      <c r="E45" s="12">
        <v>6288378</v>
      </c>
      <c r="F45" s="13">
        <v>7700</v>
      </c>
      <c r="G45" s="14">
        <v>45492</v>
      </c>
      <c r="H45" s="15" t="s">
        <v>7</v>
      </c>
      <c r="I45" s="16" t="s">
        <v>66</v>
      </c>
      <c r="J45" s="16">
        <v>6289369</v>
      </c>
      <c r="K45" s="17">
        <v>7690</v>
      </c>
      <c r="L45" s="18">
        <v>45493</v>
      </c>
      <c r="M45" s="19" t="s">
        <v>17</v>
      </c>
      <c r="N45" s="20" t="s">
        <v>51</v>
      </c>
      <c r="O45" s="20"/>
      <c r="P45" s="20">
        <v>25</v>
      </c>
      <c r="Q45" s="21">
        <v>45494</v>
      </c>
      <c r="R45" s="20">
        <v>310</v>
      </c>
      <c r="S45" s="22">
        <v>7687</v>
      </c>
      <c r="T45" s="23">
        <v>57</v>
      </c>
      <c r="V45" s="37">
        <f t="shared" si="7"/>
        <v>7682</v>
      </c>
      <c r="W45" s="28">
        <f t="shared" si="8"/>
        <v>-5</v>
      </c>
      <c r="X45" s="45">
        <f t="shared" si="9"/>
        <v>-8</v>
      </c>
      <c r="Y45" s="199">
        <f t="shared" si="10"/>
        <v>-18</v>
      </c>
      <c r="Z45" s="38">
        <f t="shared" si="11"/>
        <v>-10</v>
      </c>
      <c r="AA45" s="39">
        <f t="shared" si="12"/>
        <v>-3</v>
      </c>
      <c r="AB45" s="58">
        <f t="shared" si="13"/>
        <v>-13</v>
      </c>
      <c r="AE45" s="1"/>
      <c r="AF45" s="1"/>
    </row>
    <row r="46" spans="1:32" x14ac:dyDescent="0.2">
      <c r="A46" s="11" t="s">
        <v>5</v>
      </c>
      <c r="B46" s="12" t="s">
        <v>19</v>
      </c>
      <c r="C46" s="12" t="s">
        <v>105</v>
      </c>
      <c r="D46" s="12" t="s">
        <v>62</v>
      </c>
      <c r="E46" s="12">
        <v>6288851</v>
      </c>
      <c r="F46" s="13">
        <v>7780</v>
      </c>
      <c r="G46" s="14">
        <v>45493</v>
      </c>
      <c r="H46" s="15" t="s">
        <v>31</v>
      </c>
      <c r="I46" s="16" t="s">
        <v>32</v>
      </c>
      <c r="J46" s="16">
        <v>6289087</v>
      </c>
      <c r="K46" s="17">
        <v>7790</v>
      </c>
      <c r="L46" s="18">
        <v>45493</v>
      </c>
      <c r="M46" s="19" t="s">
        <v>17</v>
      </c>
      <c r="N46" s="20" t="s">
        <v>18</v>
      </c>
      <c r="O46" s="20"/>
      <c r="P46" s="20">
        <v>25</v>
      </c>
      <c r="Q46" s="21">
        <v>45493</v>
      </c>
      <c r="R46" s="20">
        <v>55</v>
      </c>
      <c r="S46" s="22">
        <v>7805</v>
      </c>
      <c r="T46" s="23">
        <v>25</v>
      </c>
      <c r="V46" s="37">
        <f t="shared" si="7"/>
        <v>7705</v>
      </c>
      <c r="W46" s="24">
        <f t="shared" si="8"/>
        <v>-100</v>
      </c>
      <c r="X46" s="45">
        <f t="shared" si="9"/>
        <v>-85</v>
      </c>
      <c r="Y46" s="25">
        <f t="shared" si="10"/>
        <v>-75</v>
      </c>
      <c r="Z46" s="38">
        <f t="shared" si="11"/>
        <v>10</v>
      </c>
      <c r="AA46" s="39">
        <f t="shared" si="12"/>
        <v>15</v>
      </c>
      <c r="AB46" s="58">
        <f t="shared" si="13"/>
        <v>25</v>
      </c>
      <c r="AE46" s="1"/>
      <c r="AF46" s="1"/>
    </row>
    <row r="47" spans="1:32" hidden="1" x14ac:dyDescent="0.2">
      <c r="A47" s="11" t="s">
        <v>5</v>
      </c>
      <c r="B47" s="12" t="s">
        <v>19</v>
      </c>
      <c r="C47" s="12" t="s">
        <v>106</v>
      </c>
      <c r="D47" s="12" t="s">
        <v>6</v>
      </c>
      <c r="E47" s="12">
        <v>6288223</v>
      </c>
      <c r="F47" s="13">
        <v>7640</v>
      </c>
      <c r="G47" s="14">
        <v>45492</v>
      </c>
      <c r="H47" s="15" t="s">
        <v>7</v>
      </c>
      <c r="I47" s="16" t="s">
        <v>16</v>
      </c>
      <c r="J47" s="16">
        <v>6289600</v>
      </c>
      <c r="K47" s="17">
        <v>7600</v>
      </c>
      <c r="L47" s="18">
        <v>45495</v>
      </c>
      <c r="M47" s="19" t="s">
        <v>17</v>
      </c>
      <c r="N47" s="20" t="s">
        <v>18</v>
      </c>
      <c r="O47" s="20"/>
      <c r="P47" s="20">
        <v>22</v>
      </c>
      <c r="Q47" s="21">
        <v>45495</v>
      </c>
      <c r="R47" s="20">
        <v>310</v>
      </c>
      <c r="S47" s="22">
        <v>7200</v>
      </c>
      <c r="T47" s="23">
        <v>180</v>
      </c>
      <c r="V47" s="37">
        <f t="shared" si="7"/>
        <v>6890</v>
      </c>
      <c r="W47" s="28">
        <f t="shared" si="8"/>
        <v>-310</v>
      </c>
      <c r="X47" s="45">
        <f t="shared" si="9"/>
        <v>-710</v>
      </c>
      <c r="Y47" s="199">
        <f t="shared" si="10"/>
        <v>-750</v>
      </c>
      <c r="Z47" s="38">
        <f t="shared" si="11"/>
        <v>-40</v>
      </c>
      <c r="AA47" s="39">
        <f t="shared" si="12"/>
        <v>-400</v>
      </c>
      <c r="AB47" s="58">
        <f t="shared" si="13"/>
        <v>-440</v>
      </c>
      <c r="AE47" s="1"/>
      <c r="AF47" s="1"/>
    </row>
    <row r="48" spans="1:32" x14ac:dyDescent="0.2">
      <c r="A48" s="11" t="s">
        <v>5</v>
      </c>
      <c r="B48" s="12" t="s">
        <v>19</v>
      </c>
      <c r="C48" s="12" t="s">
        <v>107</v>
      </c>
      <c r="D48" s="12" t="s">
        <v>6</v>
      </c>
      <c r="E48" s="12">
        <v>6288793</v>
      </c>
      <c r="F48" s="13">
        <v>7750</v>
      </c>
      <c r="G48" s="14">
        <v>45493</v>
      </c>
      <c r="H48" s="15" t="s">
        <v>31</v>
      </c>
      <c r="I48" s="16" t="s">
        <v>32</v>
      </c>
      <c r="J48" s="16">
        <v>6289631</v>
      </c>
      <c r="K48" s="17">
        <v>7790</v>
      </c>
      <c r="L48" s="18">
        <v>45495</v>
      </c>
      <c r="M48" s="19" t="s">
        <v>17</v>
      </c>
      <c r="N48" s="20" t="s">
        <v>18</v>
      </c>
      <c r="O48" s="20"/>
      <c r="P48" s="20">
        <v>25</v>
      </c>
      <c r="Q48" s="21">
        <v>45495</v>
      </c>
      <c r="R48" s="20">
        <v>310</v>
      </c>
      <c r="S48" s="22">
        <v>7785</v>
      </c>
      <c r="T48" s="23">
        <v>155</v>
      </c>
      <c r="V48" s="37">
        <f t="shared" si="7"/>
        <v>7780</v>
      </c>
      <c r="W48" s="28">
        <f t="shared" si="8"/>
        <v>-5</v>
      </c>
      <c r="X48" s="45">
        <f t="shared" si="9"/>
        <v>-10</v>
      </c>
      <c r="Y48" s="199">
        <f t="shared" si="10"/>
        <v>30</v>
      </c>
      <c r="Z48" s="38">
        <f t="shared" si="11"/>
        <v>40</v>
      </c>
      <c r="AA48" s="39">
        <f t="shared" si="12"/>
        <v>-5</v>
      </c>
      <c r="AB48" s="58">
        <f t="shared" si="13"/>
        <v>35</v>
      </c>
      <c r="AE48" s="1"/>
      <c r="AF48" s="1"/>
    </row>
    <row r="49" spans="1:32" x14ac:dyDescent="0.2">
      <c r="A49" s="11" t="s">
        <v>5</v>
      </c>
      <c r="B49" s="12" t="s">
        <v>24</v>
      </c>
      <c r="C49" s="12" t="s">
        <v>108</v>
      </c>
      <c r="D49" s="12" t="s">
        <v>62</v>
      </c>
      <c r="E49" s="12">
        <v>6287806</v>
      </c>
      <c r="F49" s="13">
        <v>7720</v>
      </c>
      <c r="G49" s="14">
        <v>45492</v>
      </c>
      <c r="H49" s="15" t="s">
        <v>31</v>
      </c>
      <c r="I49" s="16" t="s">
        <v>66</v>
      </c>
      <c r="J49" s="16">
        <v>6289318</v>
      </c>
      <c r="K49" s="17">
        <v>7680</v>
      </c>
      <c r="L49" s="18">
        <v>45493</v>
      </c>
      <c r="M49" s="19" t="s">
        <v>17</v>
      </c>
      <c r="N49" s="20" t="s">
        <v>51</v>
      </c>
      <c r="O49" s="20"/>
      <c r="P49" s="20">
        <v>25</v>
      </c>
      <c r="Q49" s="21">
        <v>45493</v>
      </c>
      <c r="R49" s="20">
        <v>310</v>
      </c>
      <c r="S49" s="22">
        <v>7768</v>
      </c>
      <c r="T49" s="23">
        <v>110</v>
      </c>
      <c r="V49" s="37">
        <f t="shared" si="7"/>
        <v>7735</v>
      </c>
      <c r="W49" s="46">
        <f t="shared" si="8"/>
        <v>-33</v>
      </c>
      <c r="X49" s="26">
        <f t="shared" si="9"/>
        <v>55</v>
      </c>
      <c r="Y49" s="25">
        <f t="shared" si="10"/>
        <v>15</v>
      </c>
      <c r="Z49" s="38">
        <f t="shared" si="11"/>
        <v>-40</v>
      </c>
      <c r="AA49" s="39">
        <f t="shared" si="12"/>
        <v>88</v>
      </c>
      <c r="AB49" s="58">
        <f t="shared" si="13"/>
        <v>48</v>
      </c>
      <c r="AE49" s="1"/>
      <c r="AF49" s="1"/>
    </row>
    <row r="50" spans="1:32" hidden="1" x14ac:dyDescent="0.2">
      <c r="A50" s="11" t="s">
        <v>5</v>
      </c>
      <c r="B50" s="12" t="s">
        <v>24</v>
      </c>
      <c r="C50" s="12" t="s">
        <v>109</v>
      </c>
      <c r="D50" s="12" t="s">
        <v>62</v>
      </c>
      <c r="E50" s="12">
        <v>6287703</v>
      </c>
      <c r="F50" s="13">
        <v>7560</v>
      </c>
      <c r="G50" s="14">
        <v>45492</v>
      </c>
      <c r="H50" s="15" t="s">
        <v>31</v>
      </c>
      <c r="I50" s="16" t="s">
        <v>32</v>
      </c>
      <c r="J50" s="16">
        <v>6289046</v>
      </c>
      <c r="K50" s="17">
        <v>7610</v>
      </c>
      <c r="L50" s="18">
        <v>45493</v>
      </c>
      <c r="M50" s="19" t="s">
        <v>35</v>
      </c>
      <c r="N50" s="20" t="s">
        <v>101</v>
      </c>
      <c r="O50" s="20"/>
      <c r="P50" s="20">
        <v>24</v>
      </c>
      <c r="Q50" s="21">
        <v>45493</v>
      </c>
      <c r="R50" s="20">
        <v>310</v>
      </c>
      <c r="S50" s="22">
        <v>7505</v>
      </c>
      <c r="T50" s="23">
        <v>175</v>
      </c>
      <c r="V50" s="37">
        <f t="shared" si="7"/>
        <v>7495</v>
      </c>
      <c r="W50" s="28">
        <f t="shared" si="8"/>
        <v>-10</v>
      </c>
      <c r="X50" s="26">
        <f t="shared" si="9"/>
        <v>-115</v>
      </c>
      <c r="Y50" s="200">
        <f t="shared" si="10"/>
        <v>-65</v>
      </c>
      <c r="Z50" s="38">
        <f t="shared" si="11"/>
        <v>50</v>
      </c>
      <c r="AA50" s="39">
        <f t="shared" si="12"/>
        <v>-105</v>
      </c>
      <c r="AB50" s="58">
        <f t="shared" si="13"/>
        <v>-55</v>
      </c>
      <c r="AE50" s="1"/>
      <c r="AF50" s="1"/>
    </row>
    <row r="51" spans="1:32" x14ac:dyDescent="0.2">
      <c r="A51" s="11" t="s">
        <v>5</v>
      </c>
      <c r="B51" s="12" t="s">
        <v>19</v>
      </c>
      <c r="C51" s="12" t="s">
        <v>110</v>
      </c>
      <c r="D51" s="12" t="s">
        <v>62</v>
      </c>
      <c r="E51" s="12">
        <v>6288755</v>
      </c>
      <c r="F51" s="13">
        <v>7780</v>
      </c>
      <c r="G51" s="14">
        <v>45493</v>
      </c>
      <c r="H51" s="15" t="s">
        <v>7</v>
      </c>
      <c r="I51" s="16" t="s">
        <v>27</v>
      </c>
      <c r="J51" s="16">
        <v>6288911</v>
      </c>
      <c r="K51" s="17">
        <v>7775</v>
      </c>
      <c r="L51" s="18">
        <v>45493</v>
      </c>
      <c r="M51" s="19" t="s">
        <v>35</v>
      </c>
      <c r="N51" s="20" t="s">
        <v>101</v>
      </c>
      <c r="O51" s="20"/>
      <c r="P51" s="20">
        <v>25</v>
      </c>
      <c r="Q51" s="21">
        <v>45493</v>
      </c>
      <c r="R51" s="20">
        <v>55</v>
      </c>
      <c r="S51" s="22">
        <v>7749</v>
      </c>
      <c r="T51" s="23">
        <v>72</v>
      </c>
      <c r="V51" s="37">
        <f t="shared" si="7"/>
        <v>7752</v>
      </c>
      <c r="W51" s="28">
        <f t="shared" si="8"/>
        <v>3</v>
      </c>
      <c r="X51" s="45">
        <f t="shared" si="9"/>
        <v>-23</v>
      </c>
      <c r="Y51" s="199">
        <f t="shared" si="10"/>
        <v>-28</v>
      </c>
      <c r="Z51" s="38">
        <f t="shared" si="11"/>
        <v>-5</v>
      </c>
      <c r="AA51" s="39">
        <f t="shared" si="12"/>
        <v>-26</v>
      </c>
      <c r="AB51" s="58">
        <f t="shared" si="13"/>
        <v>-31</v>
      </c>
      <c r="AE51" s="1"/>
      <c r="AF51" s="1"/>
    </row>
    <row r="52" spans="1:32" hidden="1" x14ac:dyDescent="0.2">
      <c r="A52" s="11" t="s">
        <v>5</v>
      </c>
      <c r="B52" s="12" t="s">
        <v>24</v>
      </c>
      <c r="C52" s="12" t="s">
        <v>111</v>
      </c>
      <c r="D52" s="12" t="s">
        <v>6</v>
      </c>
      <c r="E52" s="12">
        <v>6287310</v>
      </c>
      <c r="F52" s="13">
        <v>4250</v>
      </c>
      <c r="G52" s="14">
        <v>45491</v>
      </c>
      <c r="H52" s="15" t="s">
        <v>7</v>
      </c>
      <c r="I52" s="16" t="s">
        <v>16</v>
      </c>
      <c r="J52" s="16">
        <v>6288077</v>
      </c>
      <c r="K52" s="17">
        <v>4250</v>
      </c>
      <c r="L52" s="18">
        <v>45492</v>
      </c>
      <c r="M52" s="19"/>
      <c r="N52" s="20"/>
      <c r="O52" s="20"/>
      <c r="P52" s="20">
        <v>13</v>
      </c>
      <c r="Q52" s="21">
        <v>45492</v>
      </c>
      <c r="R52" s="20">
        <v>55</v>
      </c>
      <c r="S52" s="22">
        <v>4241</v>
      </c>
      <c r="T52" s="23">
        <v>217</v>
      </c>
      <c r="V52" s="37">
        <f t="shared" si="7"/>
        <v>4237</v>
      </c>
      <c r="W52" s="28">
        <f t="shared" si="8"/>
        <v>-4</v>
      </c>
      <c r="X52" s="26">
        <f t="shared" si="9"/>
        <v>-13</v>
      </c>
      <c r="Y52" s="200">
        <f t="shared" si="10"/>
        <v>-13</v>
      </c>
      <c r="Z52" s="38">
        <f t="shared" si="11"/>
        <v>0</v>
      </c>
      <c r="AA52" s="39">
        <f t="shared" si="12"/>
        <v>-9</v>
      </c>
      <c r="AB52" s="58">
        <f t="shared" si="13"/>
        <v>-9</v>
      </c>
      <c r="AE52" s="1"/>
      <c r="AF52" s="1"/>
    </row>
    <row r="53" spans="1:32" x14ac:dyDescent="0.2">
      <c r="A53" s="11" t="s">
        <v>5</v>
      </c>
      <c r="B53" s="12" t="s">
        <v>24</v>
      </c>
      <c r="C53" s="12" t="s">
        <v>112</v>
      </c>
      <c r="D53" s="12" t="s">
        <v>62</v>
      </c>
      <c r="E53" s="12">
        <v>6287757</v>
      </c>
      <c r="F53" s="13">
        <v>7780</v>
      </c>
      <c r="G53" s="14">
        <v>45492</v>
      </c>
      <c r="H53" s="15" t="s">
        <v>7</v>
      </c>
      <c r="I53" s="16" t="s">
        <v>16</v>
      </c>
      <c r="J53" s="16">
        <v>6288024</v>
      </c>
      <c r="K53" s="17">
        <v>7790</v>
      </c>
      <c r="L53" s="18">
        <v>45492</v>
      </c>
      <c r="M53" s="19"/>
      <c r="N53" s="20" t="s">
        <v>101</v>
      </c>
      <c r="O53" s="20"/>
      <c r="P53" s="20">
        <v>25</v>
      </c>
      <c r="Q53" s="21">
        <v>45492</v>
      </c>
      <c r="R53" s="20">
        <v>55</v>
      </c>
      <c r="S53" s="22">
        <v>7734</v>
      </c>
      <c r="T53" s="23">
        <v>50</v>
      </c>
      <c r="V53" s="37">
        <f t="shared" si="7"/>
        <v>7730</v>
      </c>
      <c r="W53" s="28">
        <f t="shared" si="8"/>
        <v>-4</v>
      </c>
      <c r="X53" s="26">
        <f t="shared" si="9"/>
        <v>-60</v>
      </c>
      <c r="Y53" s="200">
        <f t="shared" si="10"/>
        <v>-50</v>
      </c>
      <c r="Z53" s="38">
        <f t="shared" si="11"/>
        <v>10</v>
      </c>
      <c r="AA53" s="39">
        <f t="shared" si="12"/>
        <v>-56</v>
      </c>
      <c r="AB53" s="58">
        <f t="shared" si="13"/>
        <v>-46</v>
      </c>
      <c r="AE53" s="1"/>
      <c r="AF53" s="1"/>
    </row>
    <row r="54" spans="1:32" hidden="1" x14ac:dyDescent="0.2">
      <c r="A54" s="11" t="s">
        <v>5</v>
      </c>
      <c r="B54" s="12" t="s">
        <v>19</v>
      </c>
      <c r="C54" s="12" t="s">
        <v>113</v>
      </c>
      <c r="D54" s="12" t="s">
        <v>62</v>
      </c>
      <c r="E54" s="12">
        <v>6286741</v>
      </c>
      <c r="F54" s="13">
        <v>7590</v>
      </c>
      <c r="G54" s="14">
        <v>45492</v>
      </c>
      <c r="H54" s="15" t="s">
        <v>7</v>
      </c>
      <c r="I54" s="16" t="s">
        <v>66</v>
      </c>
      <c r="J54" s="16">
        <v>6288478</v>
      </c>
      <c r="K54" s="17">
        <v>7590</v>
      </c>
      <c r="L54" s="18">
        <v>45492</v>
      </c>
      <c r="M54" s="19" t="s">
        <v>35</v>
      </c>
      <c r="N54" s="20" t="s">
        <v>79</v>
      </c>
      <c r="O54" s="20"/>
      <c r="P54" s="20">
        <v>24</v>
      </c>
      <c r="Q54" s="21">
        <v>45492</v>
      </c>
      <c r="R54" s="20">
        <v>310</v>
      </c>
      <c r="S54" s="22">
        <v>7585</v>
      </c>
      <c r="T54" s="23">
        <v>259</v>
      </c>
      <c r="V54" s="37">
        <f t="shared" si="7"/>
        <v>7579</v>
      </c>
      <c r="W54" s="28">
        <f t="shared" si="8"/>
        <v>-6</v>
      </c>
      <c r="X54" s="26">
        <f t="shared" si="9"/>
        <v>-11</v>
      </c>
      <c r="Y54" s="200">
        <f t="shared" si="10"/>
        <v>-11</v>
      </c>
      <c r="Z54" s="38">
        <f t="shared" si="11"/>
        <v>0</v>
      </c>
      <c r="AA54" s="39">
        <f t="shared" si="12"/>
        <v>-5</v>
      </c>
      <c r="AB54" s="58">
        <f t="shared" si="13"/>
        <v>-5</v>
      </c>
      <c r="AE54" s="1"/>
      <c r="AF54" s="1"/>
    </row>
    <row r="55" spans="1:32" x14ac:dyDescent="0.2">
      <c r="A55" s="11" t="s">
        <v>5</v>
      </c>
      <c r="B55" s="12" t="s">
        <v>21</v>
      </c>
      <c r="C55" s="12" t="s">
        <v>114</v>
      </c>
      <c r="D55" s="12" t="s">
        <v>62</v>
      </c>
      <c r="E55" s="12">
        <v>6288932</v>
      </c>
      <c r="F55" s="13">
        <v>7780</v>
      </c>
      <c r="G55" s="14">
        <v>45493</v>
      </c>
      <c r="H55" s="15" t="s">
        <v>7</v>
      </c>
      <c r="I55" s="16" t="s">
        <v>8</v>
      </c>
      <c r="J55" s="16">
        <v>6289766</v>
      </c>
      <c r="K55" s="17">
        <v>7770</v>
      </c>
      <c r="L55" s="18">
        <v>45495</v>
      </c>
      <c r="M55" s="19" t="s">
        <v>44</v>
      </c>
      <c r="N55" s="20" t="s">
        <v>115</v>
      </c>
      <c r="O55" s="20"/>
      <c r="P55" s="20">
        <v>25</v>
      </c>
      <c r="Q55" s="21">
        <v>45495</v>
      </c>
      <c r="R55" s="20">
        <v>310</v>
      </c>
      <c r="S55" s="22">
        <v>7780</v>
      </c>
      <c r="T55" s="23">
        <v>140</v>
      </c>
      <c r="V55" s="37">
        <f t="shared" si="7"/>
        <v>7765</v>
      </c>
      <c r="W55" s="24">
        <f t="shared" si="8"/>
        <v>-15</v>
      </c>
      <c r="X55" s="27">
        <f t="shared" si="9"/>
        <v>-5</v>
      </c>
      <c r="Y55" s="200">
        <f t="shared" si="10"/>
        <v>-15</v>
      </c>
      <c r="Z55" s="38">
        <f t="shared" si="11"/>
        <v>-10</v>
      </c>
      <c r="AA55" s="39">
        <f t="shared" si="12"/>
        <v>10</v>
      </c>
      <c r="AB55" s="58">
        <f t="shared" si="13"/>
        <v>0</v>
      </c>
      <c r="AE55" s="1"/>
      <c r="AF55" s="1"/>
    </row>
    <row r="56" spans="1:32" x14ac:dyDescent="0.2">
      <c r="A56" s="11" t="s">
        <v>5</v>
      </c>
      <c r="B56" s="12" t="s">
        <v>20</v>
      </c>
      <c r="C56" s="12" t="s">
        <v>116</v>
      </c>
      <c r="D56" s="12" t="s">
        <v>6</v>
      </c>
      <c r="E56" s="12">
        <v>6283063</v>
      </c>
      <c r="F56" s="13">
        <v>7770</v>
      </c>
      <c r="G56" s="14">
        <v>45485</v>
      </c>
      <c r="H56" s="15" t="s">
        <v>7</v>
      </c>
      <c r="I56" s="16" t="s">
        <v>16</v>
      </c>
      <c r="J56" s="16">
        <v>6289671</v>
      </c>
      <c r="K56" s="17">
        <v>7670</v>
      </c>
      <c r="L56" s="18">
        <v>45495</v>
      </c>
      <c r="M56" s="19" t="s">
        <v>44</v>
      </c>
      <c r="N56" s="20" t="s">
        <v>115</v>
      </c>
      <c r="O56" s="20"/>
      <c r="P56" s="20">
        <v>25</v>
      </c>
      <c r="Q56" s="21">
        <v>45495</v>
      </c>
      <c r="R56" s="20">
        <v>310</v>
      </c>
      <c r="S56" s="22">
        <v>7637</v>
      </c>
      <c r="T56" s="23">
        <v>5</v>
      </c>
      <c r="V56" s="37">
        <f t="shared" si="7"/>
        <v>7630</v>
      </c>
      <c r="W56" s="28">
        <f t="shared" si="8"/>
        <v>-7</v>
      </c>
      <c r="X56" s="45">
        <f t="shared" si="9"/>
        <v>-40</v>
      </c>
      <c r="Y56" s="199">
        <f t="shared" si="10"/>
        <v>-140</v>
      </c>
      <c r="Z56" s="38">
        <f t="shared" si="11"/>
        <v>-100</v>
      </c>
      <c r="AA56" s="39">
        <f t="shared" si="12"/>
        <v>-33</v>
      </c>
      <c r="AB56" s="58">
        <f t="shared" si="13"/>
        <v>-133</v>
      </c>
      <c r="AE56" s="1"/>
      <c r="AF56" s="1"/>
    </row>
    <row r="57" spans="1:32" x14ac:dyDescent="0.2">
      <c r="A57" s="11" t="s">
        <v>5</v>
      </c>
      <c r="B57" s="12" t="s">
        <v>24</v>
      </c>
      <c r="C57" s="12" t="s">
        <v>119</v>
      </c>
      <c r="D57" s="12" t="s">
        <v>6</v>
      </c>
      <c r="E57" s="12">
        <v>6288853</v>
      </c>
      <c r="F57" s="13">
        <v>7780</v>
      </c>
      <c r="G57" s="14">
        <v>45493</v>
      </c>
      <c r="H57" s="15" t="s">
        <v>31</v>
      </c>
      <c r="I57" s="16" t="s">
        <v>32</v>
      </c>
      <c r="J57" s="16">
        <v>6289151</v>
      </c>
      <c r="K57" s="17">
        <v>7810</v>
      </c>
      <c r="L57" s="18">
        <v>45493</v>
      </c>
      <c r="M57" s="19" t="s">
        <v>44</v>
      </c>
      <c r="N57" s="20" t="s">
        <v>79</v>
      </c>
      <c r="O57" s="20"/>
      <c r="P57" s="20">
        <v>25</v>
      </c>
      <c r="Q57" s="21">
        <v>45493</v>
      </c>
      <c r="R57" s="20">
        <v>55</v>
      </c>
      <c r="S57" s="22">
        <v>7768</v>
      </c>
      <c r="T57" s="23">
        <v>100</v>
      </c>
      <c r="V57" s="37">
        <f t="shared" si="7"/>
        <v>7780</v>
      </c>
      <c r="W57" s="46">
        <f t="shared" si="8"/>
        <v>12</v>
      </c>
      <c r="X57" s="26">
        <f t="shared" si="9"/>
        <v>-30</v>
      </c>
      <c r="Y57" s="25">
        <f t="shared" si="10"/>
        <v>0</v>
      </c>
      <c r="Z57" s="38">
        <f t="shared" si="11"/>
        <v>30</v>
      </c>
      <c r="AA57" s="39">
        <f t="shared" si="12"/>
        <v>-42</v>
      </c>
      <c r="AB57" s="58">
        <f t="shared" si="13"/>
        <v>-12</v>
      </c>
      <c r="AE57" s="1"/>
      <c r="AF57" s="1"/>
    </row>
    <row r="58" spans="1:32" hidden="1" x14ac:dyDescent="0.2">
      <c r="A58" s="11" t="s">
        <v>5</v>
      </c>
      <c r="B58" s="12" t="s">
        <v>24</v>
      </c>
      <c r="C58" s="12" t="s">
        <v>120</v>
      </c>
      <c r="D58" s="12" t="s">
        <v>6</v>
      </c>
      <c r="E58" s="12">
        <v>6288952</v>
      </c>
      <c r="F58" s="13">
        <v>7610</v>
      </c>
      <c r="G58" s="14">
        <v>45493</v>
      </c>
      <c r="H58" s="15" t="s">
        <v>7</v>
      </c>
      <c r="I58" s="16" t="s">
        <v>121</v>
      </c>
      <c r="J58" s="16">
        <v>6289886</v>
      </c>
      <c r="K58" s="17">
        <v>7625</v>
      </c>
      <c r="L58" s="18">
        <v>45495</v>
      </c>
      <c r="M58" s="19" t="s">
        <v>122</v>
      </c>
      <c r="N58" s="20" t="s">
        <v>115</v>
      </c>
      <c r="O58" s="20"/>
      <c r="P58" s="20">
        <v>24</v>
      </c>
      <c r="Q58" s="21">
        <v>45495</v>
      </c>
      <c r="R58" s="20">
        <v>310</v>
      </c>
      <c r="S58" s="22">
        <v>7620</v>
      </c>
      <c r="T58" s="23">
        <v>278</v>
      </c>
      <c r="V58" s="37">
        <f t="shared" si="7"/>
        <v>7598</v>
      </c>
      <c r="W58" s="46">
        <f t="shared" si="8"/>
        <v>-22</v>
      </c>
      <c r="X58" s="26">
        <f t="shared" si="9"/>
        <v>-27</v>
      </c>
      <c r="Y58" s="25">
        <f t="shared" si="10"/>
        <v>-12</v>
      </c>
      <c r="Z58" s="38">
        <f t="shared" si="11"/>
        <v>15</v>
      </c>
      <c r="AA58" s="39">
        <f t="shared" si="12"/>
        <v>-5</v>
      </c>
      <c r="AB58" s="58">
        <f t="shared" si="13"/>
        <v>10</v>
      </c>
      <c r="AE58" s="1"/>
      <c r="AF58" s="1"/>
    </row>
    <row r="59" spans="1:32" x14ac:dyDescent="0.2">
      <c r="A59" s="11" t="s">
        <v>5</v>
      </c>
      <c r="B59" s="12" t="s">
        <v>21</v>
      </c>
      <c r="C59" s="12" t="s">
        <v>196</v>
      </c>
      <c r="D59" s="12" t="s">
        <v>6</v>
      </c>
      <c r="E59" s="12">
        <v>6289583</v>
      </c>
      <c r="F59" s="13">
        <v>7780</v>
      </c>
      <c r="G59" s="14">
        <v>45492</v>
      </c>
      <c r="H59" s="15" t="s">
        <v>7</v>
      </c>
      <c r="I59" s="16" t="s">
        <v>66</v>
      </c>
      <c r="J59" s="16">
        <v>6288652</v>
      </c>
      <c r="K59" s="17">
        <v>7750</v>
      </c>
      <c r="L59" s="18">
        <v>45492</v>
      </c>
      <c r="M59" s="19"/>
      <c r="N59" s="20" t="s">
        <v>25</v>
      </c>
      <c r="O59" s="20"/>
      <c r="P59" s="20">
        <v>25</v>
      </c>
      <c r="Q59" s="21">
        <v>45493</v>
      </c>
      <c r="R59" s="20">
        <v>55</v>
      </c>
      <c r="S59" s="22">
        <v>7708</v>
      </c>
      <c r="T59" s="23">
        <v>27</v>
      </c>
      <c r="V59" s="37">
        <f t="shared" si="7"/>
        <v>7707</v>
      </c>
      <c r="W59" s="28">
        <f t="shared" si="8"/>
        <v>-1</v>
      </c>
      <c r="X59" s="45">
        <f t="shared" si="9"/>
        <v>-43</v>
      </c>
      <c r="Y59" s="199">
        <f t="shared" si="10"/>
        <v>-73</v>
      </c>
      <c r="Z59" s="38">
        <f t="shared" si="11"/>
        <v>-30</v>
      </c>
      <c r="AA59" s="39">
        <f t="shared" si="12"/>
        <v>-42</v>
      </c>
      <c r="AB59" s="58">
        <f t="shared" si="13"/>
        <v>-72</v>
      </c>
      <c r="AE59" s="1"/>
      <c r="AF59" s="1"/>
    </row>
    <row r="60" spans="1:32" x14ac:dyDescent="0.2">
      <c r="A60" s="11" t="s">
        <v>5</v>
      </c>
      <c r="B60" s="12" t="s">
        <v>19</v>
      </c>
      <c r="C60" s="12" t="s">
        <v>123</v>
      </c>
      <c r="D60" s="12" t="s">
        <v>62</v>
      </c>
      <c r="E60" s="12">
        <v>6288799</v>
      </c>
      <c r="F60" s="13">
        <v>7720</v>
      </c>
      <c r="G60" s="14">
        <v>45493</v>
      </c>
      <c r="H60" s="15" t="s">
        <v>31</v>
      </c>
      <c r="I60" s="16" t="s">
        <v>32</v>
      </c>
      <c r="J60" s="16">
        <v>6289674</v>
      </c>
      <c r="K60" s="17">
        <v>7740</v>
      </c>
      <c r="L60" s="18">
        <v>45495</v>
      </c>
      <c r="M60" s="19" t="s">
        <v>17</v>
      </c>
      <c r="N60" s="20" t="s">
        <v>79</v>
      </c>
      <c r="O60" s="20"/>
      <c r="P60" s="20">
        <v>25</v>
      </c>
      <c r="Q60" s="21">
        <v>45495</v>
      </c>
      <c r="R60" s="20">
        <v>310</v>
      </c>
      <c r="S60" s="22">
        <v>7752</v>
      </c>
      <c r="T60" s="23">
        <v>122</v>
      </c>
      <c r="V60" s="37">
        <f t="shared" si="7"/>
        <v>7747</v>
      </c>
      <c r="W60" s="28">
        <f t="shared" si="8"/>
        <v>-5</v>
      </c>
      <c r="X60" s="45">
        <f t="shared" si="9"/>
        <v>7</v>
      </c>
      <c r="Y60" s="199">
        <f t="shared" si="10"/>
        <v>27</v>
      </c>
      <c r="Z60" s="38">
        <f t="shared" si="11"/>
        <v>20</v>
      </c>
      <c r="AA60" s="39">
        <f t="shared" si="12"/>
        <v>12</v>
      </c>
      <c r="AB60" s="58">
        <f t="shared" si="13"/>
        <v>32</v>
      </c>
      <c r="AE60" s="1"/>
      <c r="AF60" s="1"/>
    </row>
    <row r="61" spans="1:32" x14ac:dyDescent="0.2">
      <c r="A61" s="11" t="s">
        <v>5</v>
      </c>
      <c r="B61" s="12" t="s">
        <v>19</v>
      </c>
      <c r="C61" s="12" t="s">
        <v>124</v>
      </c>
      <c r="D61" s="12" t="s">
        <v>62</v>
      </c>
      <c r="E61" s="12">
        <v>6288936</v>
      </c>
      <c r="F61" s="13">
        <v>7630</v>
      </c>
      <c r="G61" s="14">
        <v>45493</v>
      </c>
      <c r="H61" s="15" t="s">
        <v>7</v>
      </c>
      <c r="I61" s="16" t="s">
        <v>121</v>
      </c>
      <c r="J61" s="16">
        <v>6289724</v>
      </c>
      <c r="K61" s="17">
        <v>7630</v>
      </c>
      <c r="L61" s="18">
        <v>45495</v>
      </c>
      <c r="M61" s="19" t="s">
        <v>17</v>
      </c>
      <c r="N61" s="20" t="s">
        <v>79</v>
      </c>
      <c r="O61" s="20"/>
      <c r="P61" s="20">
        <v>25</v>
      </c>
      <c r="Q61" s="21">
        <v>45495</v>
      </c>
      <c r="R61" s="20">
        <v>310</v>
      </c>
      <c r="S61" s="22">
        <v>7653</v>
      </c>
      <c r="T61" s="23">
        <v>23</v>
      </c>
      <c r="V61" s="37">
        <f t="shared" si="7"/>
        <v>7648</v>
      </c>
      <c r="W61" s="28">
        <f t="shared" si="8"/>
        <v>-5</v>
      </c>
      <c r="X61" s="26">
        <f t="shared" si="9"/>
        <v>18</v>
      </c>
      <c r="Y61" s="200">
        <f t="shared" si="10"/>
        <v>18</v>
      </c>
      <c r="Z61" s="38">
        <f t="shared" si="11"/>
        <v>0</v>
      </c>
      <c r="AA61" s="39">
        <f t="shared" si="12"/>
        <v>23</v>
      </c>
      <c r="AB61" s="58">
        <f t="shared" si="13"/>
        <v>23</v>
      </c>
      <c r="AE61" s="1"/>
      <c r="AF61" s="1"/>
    </row>
    <row r="62" spans="1:32" x14ac:dyDescent="0.2">
      <c r="A62" s="11" t="s">
        <v>5</v>
      </c>
      <c r="B62" s="12" t="s">
        <v>20</v>
      </c>
      <c r="C62" s="12" t="s">
        <v>125</v>
      </c>
      <c r="D62" s="12" t="s">
        <v>6</v>
      </c>
      <c r="E62" s="12">
        <v>6287342</v>
      </c>
      <c r="F62" s="13">
        <v>7900</v>
      </c>
      <c r="G62" s="14">
        <v>45491</v>
      </c>
      <c r="H62" s="15" t="s">
        <v>7</v>
      </c>
      <c r="I62" s="16" t="s">
        <v>27</v>
      </c>
      <c r="J62" s="16">
        <v>6288809</v>
      </c>
      <c r="K62" s="17">
        <v>7799</v>
      </c>
      <c r="L62" s="18">
        <v>45493</v>
      </c>
      <c r="M62" s="19" t="s">
        <v>35</v>
      </c>
      <c r="N62" s="20" t="s">
        <v>36</v>
      </c>
      <c r="O62" s="20"/>
      <c r="P62" s="20">
        <v>25</v>
      </c>
      <c r="Q62" s="21">
        <v>45493</v>
      </c>
      <c r="R62" s="20">
        <v>55</v>
      </c>
      <c r="S62" s="22">
        <v>7778</v>
      </c>
      <c r="T62" s="23">
        <v>90</v>
      </c>
      <c r="V62" s="37">
        <f t="shared" si="7"/>
        <v>7770</v>
      </c>
      <c r="W62" s="28">
        <f t="shared" si="8"/>
        <v>-8</v>
      </c>
      <c r="X62" s="45">
        <f t="shared" si="9"/>
        <v>-29</v>
      </c>
      <c r="Y62" s="199">
        <f t="shared" si="10"/>
        <v>-130</v>
      </c>
      <c r="Z62" s="38">
        <f t="shared" si="11"/>
        <v>-101</v>
      </c>
      <c r="AA62" s="39">
        <f t="shared" si="12"/>
        <v>-21</v>
      </c>
      <c r="AB62" s="58">
        <f t="shared" si="13"/>
        <v>-122</v>
      </c>
      <c r="AE62" s="1"/>
      <c r="AF62" s="1"/>
    </row>
    <row r="63" spans="1:32" x14ac:dyDescent="0.2">
      <c r="A63" s="11" t="s">
        <v>5</v>
      </c>
      <c r="B63" s="12" t="s">
        <v>24</v>
      </c>
      <c r="C63" s="12" t="s">
        <v>134</v>
      </c>
      <c r="D63" s="12" t="s">
        <v>67</v>
      </c>
      <c r="E63" s="12">
        <v>6289694</v>
      </c>
      <c r="F63" s="13">
        <v>7690</v>
      </c>
      <c r="G63" s="14">
        <v>45495</v>
      </c>
      <c r="H63" s="15" t="s">
        <v>7</v>
      </c>
      <c r="I63" s="16" t="s">
        <v>16</v>
      </c>
      <c r="J63" s="16">
        <v>6290832</v>
      </c>
      <c r="K63" s="17">
        <v>7710</v>
      </c>
      <c r="L63" s="18">
        <v>45496</v>
      </c>
      <c r="M63" s="19" t="s">
        <v>44</v>
      </c>
      <c r="N63" s="20" t="s">
        <v>74</v>
      </c>
      <c r="O63" s="20"/>
      <c r="P63" s="20">
        <v>25</v>
      </c>
      <c r="Q63" s="21">
        <v>45496</v>
      </c>
      <c r="R63" s="20">
        <v>310</v>
      </c>
      <c r="S63" s="22">
        <v>7630</v>
      </c>
      <c r="T63" s="23">
        <v>100</v>
      </c>
      <c r="V63" s="37">
        <f t="shared" si="7"/>
        <v>7725</v>
      </c>
      <c r="W63" s="24">
        <f t="shared" si="8"/>
        <v>95</v>
      </c>
      <c r="X63" s="27">
        <f t="shared" si="9"/>
        <v>15</v>
      </c>
      <c r="Y63" s="200">
        <f t="shared" si="10"/>
        <v>35</v>
      </c>
      <c r="Z63" s="38">
        <f t="shared" si="11"/>
        <v>20</v>
      </c>
      <c r="AA63" s="39">
        <f t="shared" si="12"/>
        <v>-80</v>
      </c>
      <c r="AB63" s="58">
        <f t="shared" si="13"/>
        <v>-60</v>
      </c>
      <c r="AE63" s="1"/>
      <c r="AF63" s="1"/>
    </row>
    <row r="64" spans="1:32" x14ac:dyDescent="0.2">
      <c r="A64" s="11" t="s">
        <v>5</v>
      </c>
      <c r="B64" s="12" t="s">
        <v>21</v>
      </c>
      <c r="C64" s="12" t="s">
        <v>126</v>
      </c>
      <c r="D64" s="12" t="s">
        <v>127</v>
      </c>
      <c r="E64" s="12">
        <v>6289013</v>
      </c>
      <c r="F64" s="13">
        <v>7780</v>
      </c>
      <c r="G64" s="14">
        <v>45493</v>
      </c>
      <c r="H64" s="15" t="s">
        <v>7</v>
      </c>
      <c r="I64" s="16" t="s">
        <v>121</v>
      </c>
      <c r="J64" s="16">
        <v>6290124</v>
      </c>
      <c r="K64" s="17">
        <v>7720</v>
      </c>
      <c r="L64" s="18">
        <v>45495</v>
      </c>
      <c r="M64" s="19" t="s">
        <v>44</v>
      </c>
      <c r="N64" s="20" t="s">
        <v>25</v>
      </c>
      <c r="O64" s="20"/>
      <c r="P64" s="20">
        <v>25</v>
      </c>
      <c r="Q64" s="21">
        <v>45495</v>
      </c>
      <c r="R64" s="20">
        <v>55</v>
      </c>
      <c r="S64" s="22">
        <v>7722</v>
      </c>
      <c r="T64" s="23">
        <v>42</v>
      </c>
      <c r="V64" s="37">
        <f t="shared" si="7"/>
        <v>7722</v>
      </c>
      <c r="W64" s="28">
        <f t="shared" si="8"/>
        <v>0</v>
      </c>
      <c r="X64" s="45">
        <f t="shared" si="9"/>
        <v>2</v>
      </c>
      <c r="Y64" s="199">
        <f t="shared" si="10"/>
        <v>-58</v>
      </c>
      <c r="Z64" s="38">
        <f t="shared" si="11"/>
        <v>-60</v>
      </c>
      <c r="AA64" s="39">
        <f t="shared" si="12"/>
        <v>2</v>
      </c>
      <c r="AB64" s="58">
        <f t="shared" si="13"/>
        <v>-58</v>
      </c>
      <c r="AE64" s="1"/>
      <c r="AF64" s="1"/>
    </row>
    <row r="65" spans="1:32" x14ac:dyDescent="0.2">
      <c r="A65" s="11" t="s">
        <v>5</v>
      </c>
      <c r="B65" s="12" t="s">
        <v>19</v>
      </c>
      <c r="C65" s="12" t="s">
        <v>128</v>
      </c>
      <c r="D65" s="12" t="s">
        <v>62</v>
      </c>
      <c r="E65" s="12">
        <v>6290367</v>
      </c>
      <c r="F65" s="13">
        <v>7780</v>
      </c>
      <c r="G65" s="14">
        <v>45495</v>
      </c>
      <c r="H65" s="15" t="s">
        <v>7</v>
      </c>
      <c r="I65" s="16" t="s">
        <v>16</v>
      </c>
      <c r="J65" s="16">
        <v>6290752</v>
      </c>
      <c r="K65" s="17">
        <v>7770</v>
      </c>
      <c r="L65" s="18">
        <v>45496</v>
      </c>
      <c r="M65" s="19" t="s">
        <v>44</v>
      </c>
      <c r="N65" s="20" t="s">
        <v>74</v>
      </c>
      <c r="O65" s="20"/>
      <c r="P65" s="20">
        <v>25</v>
      </c>
      <c r="Q65" s="21">
        <v>45496</v>
      </c>
      <c r="R65" s="20">
        <v>55</v>
      </c>
      <c r="S65" s="22">
        <v>7690</v>
      </c>
      <c r="T65" s="23">
        <v>130</v>
      </c>
      <c r="V65" s="37">
        <f t="shared" si="7"/>
        <v>7810</v>
      </c>
      <c r="W65" s="24">
        <f t="shared" si="8"/>
        <v>120</v>
      </c>
      <c r="X65" s="45">
        <f t="shared" si="9"/>
        <v>40</v>
      </c>
      <c r="Y65" s="25">
        <f t="shared" si="10"/>
        <v>30</v>
      </c>
      <c r="Z65" s="38">
        <f t="shared" si="11"/>
        <v>-10</v>
      </c>
      <c r="AA65" s="39">
        <f t="shared" si="12"/>
        <v>-80</v>
      </c>
      <c r="AB65" s="58">
        <f t="shared" si="13"/>
        <v>-90</v>
      </c>
      <c r="AE65" s="1"/>
      <c r="AF65" s="1"/>
    </row>
    <row r="66" spans="1:32" x14ac:dyDescent="0.2">
      <c r="A66" s="11" t="s">
        <v>5</v>
      </c>
      <c r="B66" s="12" t="s">
        <v>24</v>
      </c>
      <c r="C66" s="12" t="s">
        <v>129</v>
      </c>
      <c r="D66" s="12" t="s">
        <v>46</v>
      </c>
      <c r="E66" s="12">
        <v>6289871</v>
      </c>
      <c r="F66" s="13">
        <v>7780</v>
      </c>
      <c r="G66" s="14">
        <v>45495</v>
      </c>
      <c r="H66" s="15" t="s">
        <v>7</v>
      </c>
      <c r="I66" s="16" t="s">
        <v>27</v>
      </c>
      <c r="J66" s="16">
        <v>6290541</v>
      </c>
      <c r="K66" s="17">
        <v>7790</v>
      </c>
      <c r="L66" s="18">
        <v>45495</v>
      </c>
      <c r="M66" s="19" t="s">
        <v>44</v>
      </c>
      <c r="N66" s="20" t="s">
        <v>25</v>
      </c>
      <c r="O66" s="20"/>
      <c r="P66" s="20">
        <v>25</v>
      </c>
      <c r="Q66" s="21">
        <v>45495</v>
      </c>
      <c r="R66" s="20">
        <v>55</v>
      </c>
      <c r="S66" s="22">
        <v>7795</v>
      </c>
      <c r="T66" s="23">
        <v>115</v>
      </c>
      <c r="V66" s="37">
        <f t="shared" si="7"/>
        <v>7795</v>
      </c>
      <c r="W66" s="28">
        <f t="shared" si="8"/>
        <v>0</v>
      </c>
      <c r="X66" s="45">
        <f t="shared" si="9"/>
        <v>5</v>
      </c>
      <c r="Y66" s="199">
        <f t="shared" si="10"/>
        <v>15</v>
      </c>
      <c r="Z66" s="38">
        <f t="shared" si="11"/>
        <v>10</v>
      </c>
      <c r="AA66" s="39">
        <f t="shared" si="12"/>
        <v>5</v>
      </c>
      <c r="AB66" s="58">
        <f t="shared" si="13"/>
        <v>15</v>
      </c>
      <c r="AE66" s="1"/>
      <c r="AF66" s="1"/>
    </row>
    <row r="67" spans="1:32" x14ac:dyDescent="0.2">
      <c r="A67" s="11" t="s">
        <v>5</v>
      </c>
      <c r="B67" s="12" t="s">
        <v>19</v>
      </c>
      <c r="C67" s="12" t="s">
        <v>130</v>
      </c>
      <c r="D67" s="12" t="s">
        <v>46</v>
      </c>
      <c r="E67" s="12">
        <v>6289881</v>
      </c>
      <c r="F67" s="13">
        <v>7780</v>
      </c>
      <c r="G67" s="14">
        <v>45495</v>
      </c>
      <c r="H67" s="15" t="s">
        <v>7</v>
      </c>
      <c r="I67" s="16" t="s">
        <v>27</v>
      </c>
      <c r="J67" s="16">
        <v>6290692</v>
      </c>
      <c r="K67" s="17">
        <v>7772</v>
      </c>
      <c r="L67" s="18">
        <v>45495</v>
      </c>
      <c r="M67" s="19" t="s">
        <v>17</v>
      </c>
      <c r="N67" s="20" t="s">
        <v>18</v>
      </c>
      <c r="O67" s="20"/>
      <c r="P67" s="20">
        <v>25</v>
      </c>
      <c r="Q67" s="21">
        <v>45496</v>
      </c>
      <c r="R67" s="20">
        <v>55</v>
      </c>
      <c r="S67" s="22">
        <v>7795</v>
      </c>
      <c r="T67" s="23">
        <v>115</v>
      </c>
      <c r="V67" s="37">
        <f t="shared" si="7"/>
        <v>7795</v>
      </c>
      <c r="W67" s="28">
        <f t="shared" si="8"/>
        <v>0</v>
      </c>
      <c r="X67" s="26">
        <f t="shared" si="9"/>
        <v>23</v>
      </c>
      <c r="Y67" s="200">
        <f t="shared" si="10"/>
        <v>15</v>
      </c>
      <c r="Z67" s="38">
        <f t="shared" si="11"/>
        <v>-8</v>
      </c>
      <c r="AA67" s="39">
        <f t="shared" si="12"/>
        <v>23</v>
      </c>
      <c r="AB67" s="58">
        <f t="shared" si="13"/>
        <v>15</v>
      </c>
      <c r="AE67" s="1"/>
      <c r="AF67" s="1"/>
    </row>
    <row r="68" spans="1:32" x14ac:dyDescent="0.2">
      <c r="A68" s="11" t="s">
        <v>5</v>
      </c>
      <c r="B68" s="12" t="s">
        <v>24</v>
      </c>
      <c r="C68" s="12" t="s">
        <v>131</v>
      </c>
      <c r="D68" s="12" t="s">
        <v>67</v>
      </c>
      <c r="E68" s="12">
        <v>6290783</v>
      </c>
      <c r="F68" s="13">
        <v>7780</v>
      </c>
      <c r="G68" s="14">
        <v>45496</v>
      </c>
      <c r="H68" s="15" t="s">
        <v>7</v>
      </c>
      <c r="I68" s="16" t="s">
        <v>16</v>
      </c>
      <c r="J68" s="16">
        <v>6290876</v>
      </c>
      <c r="K68" s="17">
        <v>7740</v>
      </c>
      <c r="L68" s="18">
        <v>45496</v>
      </c>
      <c r="M68" s="19" t="s">
        <v>17</v>
      </c>
      <c r="N68" s="20" t="s">
        <v>18</v>
      </c>
      <c r="O68" s="20"/>
      <c r="P68" s="20">
        <v>25</v>
      </c>
      <c r="Q68" s="21">
        <v>45496</v>
      </c>
      <c r="R68" s="20">
        <v>55</v>
      </c>
      <c r="S68" s="22">
        <v>7777</v>
      </c>
      <c r="T68" s="23">
        <v>70</v>
      </c>
      <c r="V68" s="37">
        <f t="shared" si="7"/>
        <v>7750</v>
      </c>
      <c r="W68" s="46">
        <f t="shared" si="8"/>
        <v>-27</v>
      </c>
      <c r="X68" s="27">
        <f t="shared" si="9"/>
        <v>10</v>
      </c>
      <c r="Y68" s="199">
        <f t="shared" si="10"/>
        <v>-30</v>
      </c>
      <c r="Z68" s="38">
        <f t="shared" si="11"/>
        <v>-40</v>
      </c>
      <c r="AA68" s="39">
        <f t="shared" si="12"/>
        <v>37</v>
      </c>
      <c r="AB68" s="58">
        <f t="shared" si="13"/>
        <v>-3</v>
      </c>
      <c r="AE68" s="1"/>
      <c r="AF68" s="1"/>
    </row>
    <row r="69" spans="1:32" x14ac:dyDescent="0.2">
      <c r="A69" s="11" t="s">
        <v>5</v>
      </c>
      <c r="B69" s="12" t="s">
        <v>19</v>
      </c>
      <c r="C69" s="12" t="s">
        <v>132</v>
      </c>
      <c r="D69" s="12" t="s">
        <v>46</v>
      </c>
      <c r="E69" s="12">
        <v>6290051</v>
      </c>
      <c r="F69" s="13">
        <v>7780</v>
      </c>
      <c r="G69" s="14">
        <v>45495</v>
      </c>
      <c r="H69" s="15" t="s">
        <v>7</v>
      </c>
      <c r="I69" s="16" t="s">
        <v>27</v>
      </c>
      <c r="J69" s="16">
        <v>6290587</v>
      </c>
      <c r="K69" s="17">
        <v>7770</v>
      </c>
      <c r="L69" s="18">
        <v>45495</v>
      </c>
      <c r="M69" s="19" t="s">
        <v>17</v>
      </c>
      <c r="N69" s="20" t="s">
        <v>36</v>
      </c>
      <c r="O69" s="20"/>
      <c r="P69" s="20">
        <v>25</v>
      </c>
      <c r="Q69" s="21">
        <v>45495</v>
      </c>
      <c r="R69" s="20">
        <v>55</v>
      </c>
      <c r="S69" s="22">
        <v>7790</v>
      </c>
      <c r="T69" s="23">
        <v>95</v>
      </c>
      <c r="V69" s="37">
        <f t="shared" ref="V69:V132" si="14">IF(RIGHT(C69, 1)="1",
    IF(O69&lt;&gt;"", 500*O69 + T69 + IF(R69&lt;=110, R69, 0), IF(P69&lt;&gt;"", 305*P69 + T69 + IF(R69&lt;=110, R69, 0), "")),
    IF(O69&lt;&gt;"", 500*O69 + T69, IF(P69&lt;&gt;"", 305*P69 + T69, ""))
)</f>
        <v>7775</v>
      </c>
      <c r="W69" s="24">
        <f t="shared" ref="W69:W132" si="15">IF(OR(ISBLANK(V69), ISBLANK(S69), NOT(ISNUMBER(V69)), NOT(ISNUMBER(S69))), "", V69-S69)</f>
        <v>-15</v>
      </c>
      <c r="X69" s="27">
        <f t="shared" ref="X69:X132" si="16">IF(OR(ISBLANK(V69), ISBLANK(K69), NOT(ISNUMBER(V69)), NOT(ISNUMBER(K69))), "", V69-K69)</f>
        <v>5</v>
      </c>
      <c r="Y69" s="200">
        <f t="shared" ref="Y69:Y132" si="17">IF(OR(ISBLANK(V69), ISBLANK(F69), NOT(ISNUMBER(V69)), NOT(ISNUMBER(F69))), "", V69-F69)</f>
        <v>-5</v>
      </c>
      <c r="Z69" s="38">
        <f t="shared" ref="Z69:Z132" si="18">IF(OR(ISBLANK(F69), ISBLANK(K69)), "",K69-F69)</f>
        <v>-10</v>
      </c>
      <c r="AA69" s="39">
        <f t="shared" ref="AA69:AA132" si="19">IF(OR(ISBLANK(K69), ISBLANK(S69)), "",S69-K69)</f>
        <v>20</v>
      </c>
      <c r="AB69" s="58">
        <f t="shared" ref="AB69:AB132" si="20">IF(OR(ISBLANK(F69), ISBLANK(S69)), "",S69-F69)</f>
        <v>10</v>
      </c>
      <c r="AE69" s="1"/>
      <c r="AF69" s="1"/>
    </row>
    <row r="70" spans="1:32" x14ac:dyDescent="0.2">
      <c r="A70" s="11" t="s">
        <v>5</v>
      </c>
      <c r="B70" s="12" t="s">
        <v>19</v>
      </c>
      <c r="C70" s="12" t="s">
        <v>133</v>
      </c>
      <c r="D70" s="12" t="s">
        <v>67</v>
      </c>
      <c r="E70" s="12">
        <v>6290785</v>
      </c>
      <c r="F70" s="13">
        <v>7780</v>
      </c>
      <c r="G70" s="14">
        <v>45496</v>
      </c>
      <c r="H70" s="15" t="s">
        <v>7</v>
      </c>
      <c r="I70" s="16" t="s">
        <v>16</v>
      </c>
      <c r="J70" s="16">
        <v>6290973</v>
      </c>
      <c r="K70" s="17">
        <v>7800</v>
      </c>
      <c r="L70" s="18">
        <v>45496</v>
      </c>
      <c r="M70" s="19" t="s">
        <v>17</v>
      </c>
      <c r="N70" s="20" t="s">
        <v>79</v>
      </c>
      <c r="O70" s="20"/>
      <c r="P70" s="20">
        <v>25</v>
      </c>
      <c r="Q70" s="21">
        <v>45496</v>
      </c>
      <c r="R70" s="20">
        <v>55</v>
      </c>
      <c r="S70" s="22">
        <v>7826</v>
      </c>
      <c r="T70" s="23">
        <v>70</v>
      </c>
      <c r="V70" s="37">
        <f t="shared" si="14"/>
        <v>7750</v>
      </c>
      <c r="W70" s="24">
        <f t="shared" si="15"/>
        <v>-76</v>
      </c>
      <c r="X70" s="45">
        <f t="shared" si="16"/>
        <v>-50</v>
      </c>
      <c r="Y70" s="25">
        <f t="shared" si="17"/>
        <v>-30</v>
      </c>
      <c r="Z70" s="38">
        <f t="shared" si="18"/>
        <v>20</v>
      </c>
      <c r="AA70" s="39">
        <f t="shared" si="19"/>
        <v>26</v>
      </c>
      <c r="AB70" s="58">
        <f t="shared" si="20"/>
        <v>46</v>
      </c>
      <c r="AE70" s="1"/>
      <c r="AF70" s="1"/>
    </row>
    <row r="71" spans="1:32" hidden="1" x14ac:dyDescent="0.2">
      <c r="A71" s="11" t="s">
        <v>5</v>
      </c>
      <c r="B71" s="12" t="s">
        <v>24</v>
      </c>
      <c r="C71" s="12" t="s">
        <v>156</v>
      </c>
      <c r="D71" s="12" t="s">
        <v>46</v>
      </c>
      <c r="E71" s="12">
        <v>6291469</v>
      </c>
      <c r="F71" s="13">
        <v>7600</v>
      </c>
      <c r="G71" s="14">
        <v>45495</v>
      </c>
      <c r="H71" s="15" t="s">
        <v>7</v>
      </c>
      <c r="I71" s="16" t="s">
        <v>16</v>
      </c>
      <c r="J71" s="16">
        <v>6291898</v>
      </c>
      <c r="K71" s="17">
        <v>7610</v>
      </c>
      <c r="L71" s="18">
        <v>45497</v>
      </c>
      <c r="M71" s="19" t="s">
        <v>35</v>
      </c>
      <c r="N71" s="20" t="s">
        <v>74</v>
      </c>
      <c r="O71" s="20">
        <v>15</v>
      </c>
      <c r="P71" s="20"/>
      <c r="Q71" s="21">
        <v>45497</v>
      </c>
      <c r="R71" s="20">
        <v>500</v>
      </c>
      <c r="S71" s="22">
        <v>7500</v>
      </c>
      <c r="T71" s="23">
        <v>100</v>
      </c>
      <c r="V71" s="37">
        <f t="shared" si="14"/>
        <v>7600</v>
      </c>
      <c r="W71" s="24">
        <f t="shared" si="15"/>
        <v>100</v>
      </c>
      <c r="X71" s="45">
        <f t="shared" si="16"/>
        <v>-10</v>
      </c>
      <c r="Y71" s="25">
        <f t="shared" si="17"/>
        <v>0</v>
      </c>
      <c r="Z71" s="38">
        <f t="shared" si="18"/>
        <v>10</v>
      </c>
      <c r="AA71" s="39">
        <f t="shared" si="19"/>
        <v>-110</v>
      </c>
      <c r="AB71" s="58">
        <f t="shared" si="20"/>
        <v>-100</v>
      </c>
      <c r="AE71" s="1"/>
      <c r="AF71" s="1"/>
    </row>
    <row r="72" spans="1:32" hidden="1" x14ac:dyDescent="0.2">
      <c r="A72" s="11" t="s">
        <v>5</v>
      </c>
      <c r="B72" s="12" t="s">
        <v>24</v>
      </c>
      <c r="C72" s="12" t="s">
        <v>158</v>
      </c>
      <c r="D72" s="12" t="s">
        <v>46</v>
      </c>
      <c r="E72" s="12">
        <v>6291129</v>
      </c>
      <c r="F72" s="13">
        <v>7780</v>
      </c>
      <c r="G72" s="14">
        <v>45496</v>
      </c>
      <c r="H72" s="15" t="s">
        <v>7</v>
      </c>
      <c r="I72" s="16" t="s">
        <v>27</v>
      </c>
      <c r="J72" s="16">
        <v>6291705</v>
      </c>
      <c r="K72" s="17">
        <v>7765</v>
      </c>
      <c r="L72" s="18">
        <v>45496</v>
      </c>
      <c r="M72" s="19" t="s">
        <v>35</v>
      </c>
      <c r="N72" s="20" t="s">
        <v>36</v>
      </c>
      <c r="O72" s="20">
        <v>15</v>
      </c>
      <c r="P72" s="20"/>
      <c r="Q72" s="21">
        <v>45496</v>
      </c>
      <c r="R72" s="20">
        <v>55</v>
      </c>
      <c r="S72" s="22">
        <v>7747</v>
      </c>
      <c r="T72" s="23">
        <v>185</v>
      </c>
      <c r="V72" s="37">
        <f t="shared" si="14"/>
        <v>7740</v>
      </c>
      <c r="W72" s="28">
        <f t="shared" si="15"/>
        <v>-7</v>
      </c>
      <c r="X72" s="45">
        <f t="shared" si="16"/>
        <v>-25</v>
      </c>
      <c r="Y72" s="199">
        <f t="shared" si="17"/>
        <v>-40</v>
      </c>
      <c r="Z72" s="38">
        <f t="shared" si="18"/>
        <v>-15</v>
      </c>
      <c r="AA72" s="39">
        <f t="shared" si="19"/>
        <v>-18</v>
      </c>
      <c r="AB72" s="58">
        <f t="shared" si="20"/>
        <v>-33</v>
      </c>
      <c r="AE72" s="1"/>
      <c r="AF72" s="1"/>
    </row>
    <row r="73" spans="1:32" hidden="1" x14ac:dyDescent="0.4">
      <c r="A73" s="11" t="s">
        <v>5</v>
      </c>
      <c r="B73" s="12" t="s">
        <v>24</v>
      </c>
      <c r="C73" s="12" t="s">
        <v>159</v>
      </c>
      <c r="D73" s="12" t="s">
        <v>46</v>
      </c>
      <c r="E73" s="12">
        <v>6291380</v>
      </c>
      <c r="F73" s="13">
        <v>7780</v>
      </c>
      <c r="G73" s="14">
        <v>45496</v>
      </c>
      <c r="H73" s="15" t="s">
        <v>7</v>
      </c>
      <c r="I73" s="16" t="s">
        <v>27</v>
      </c>
      <c r="J73" s="142">
        <v>6291658</v>
      </c>
      <c r="K73" s="17">
        <v>7785</v>
      </c>
      <c r="L73" s="18">
        <v>45496</v>
      </c>
      <c r="M73" s="19" t="s">
        <v>44</v>
      </c>
      <c r="N73" s="20" t="s">
        <v>25</v>
      </c>
      <c r="O73" s="20">
        <v>15</v>
      </c>
      <c r="P73" s="20"/>
      <c r="Q73" s="21">
        <v>45496</v>
      </c>
      <c r="R73" s="20">
        <v>55</v>
      </c>
      <c r="S73" s="22">
        <v>7795</v>
      </c>
      <c r="T73" s="23">
        <v>240</v>
      </c>
      <c r="V73" s="37">
        <f t="shared" si="14"/>
        <v>7795</v>
      </c>
      <c r="W73" s="28">
        <f t="shared" si="15"/>
        <v>0</v>
      </c>
      <c r="X73" s="45">
        <f t="shared" si="16"/>
        <v>10</v>
      </c>
      <c r="Y73" s="199">
        <f t="shared" si="17"/>
        <v>15</v>
      </c>
      <c r="Z73" s="38">
        <f t="shared" si="18"/>
        <v>5</v>
      </c>
      <c r="AA73" s="39">
        <f t="shared" si="19"/>
        <v>10</v>
      </c>
      <c r="AB73" s="58">
        <f t="shared" si="20"/>
        <v>15</v>
      </c>
      <c r="AE73" s="1"/>
      <c r="AF73" s="1"/>
    </row>
    <row r="74" spans="1:32" hidden="1" x14ac:dyDescent="0.2">
      <c r="A74" s="11" t="s">
        <v>5</v>
      </c>
      <c r="B74" s="12" t="s">
        <v>19</v>
      </c>
      <c r="C74" s="12" t="s">
        <v>160</v>
      </c>
      <c r="D74" s="12" t="s">
        <v>62</v>
      </c>
      <c r="E74" s="12">
        <v>6291736</v>
      </c>
      <c r="F74" s="13">
        <v>7780</v>
      </c>
      <c r="G74" s="14">
        <v>45496</v>
      </c>
      <c r="H74" s="15" t="s">
        <v>31</v>
      </c>
      <c r="I74" s="16" t="s">
        <v>16</v>
      </c>
      <c r="J74" s="16">
        <v>6291895</v>
      </c>
      <c r="K74" s="17">
        <v>7790</v>
      </c>
      <c r="L74" s="18">
        <v>45497</v>
      </c>
      <c r="M74" s="19" t="s">
        <v>35</v>
      </c>
      <c r="N74" s="20" t="s">
        <v>74</v>
      </c>
      <c r="O74" s="20">
        <v>15</v>
      </c>
      <c r="P74" s="20"/>
      <c r="Q74" s="21">
        <v>45497</v>
      </c>
      <c r="R74" s="20">
        <v>55</v>
      </c>
      <c r="S74" s="22">
        <v>7555</v>
      </c>
      <c r="T74" s="23">
        <v>200</v>
      </c>
      <c r="V74" s="37">
        <f t="shared" si="14"/>
        <v>7755</v>
      </c>
      <c r="W74" s="24">
        <f t="shared" si="15"/>
        <v>200</v>
      </c>
      <c r="X74" s="45">
        <f t="shared" si="16"/>
        <v>-35</v>
      </c>
      <c r="Y74" s="25">
        <f t="shared" si="17"/>
        <v>-25</v>
      </c>
      <c r="Z74" s="38">
        <f t="shared" si="18"/>
        <v>10</v>
      </c>
      <c r="AA74" s="39">
        <f t="shared" si="19"/>
        <v>-235</v>
      </c>
      <c r="AB74" s="58">
        <f t="shared" si="20"/>
        <v>-225</v>
      </c>
      <c r="AE74" s="1"/>
      <c r="AF74" s="1"/>
    </row>
    <row r="75" spans="1:32" hidden="1" x14ac:dyDescent="0.2">
      <c r="A75" s="11" t="s">
        <v>5</v>
      </c>
      <c r="B75" s="12" t="s">
        <v>19</v>
      </c>
      <c r="C75" s="12" t="s">
        <v>154</v>
      </c>
      <c r="D75" s="12" t="s">
        <v>62</v>
      </c>
      <c r="E75" s="12">
        <v>6291649</v>
      </c>
      <c r="F75" s="13">
        <v>7780</v>
      </c>
      <c r="G75" s="14">
        <v>45496</v>
      </c>
      <c r="H75" s="15" t="s">
        <v>31</v>
      </c>
      <c r="I75" s="16" t="s">
        <v>16</v>
      </c>
      <c r="J75" s="16">
        <v>6291938</v>
      </c>
      <c r="K75" s="17">
        <v>7765</v>
      </c>
      <c r="L75" s="18">
        <v>45497</v>
      </c>
      <c r="M75" s="19" t="s">
        <v>35</v>
      </c>
      <c r="N75" s="20" t="s">
        <v>74</v>
      </c>
      <c r="O75" s="20">
        <v>14</v>
      </c>
      <c r="P75" s="20"/>
      <c r="Q75" s="21">
        <v>45497</v>
      </c>
      <c r="R75" s="20">
        <v>110</v>
      </c>
      <c r="S75" s="22">
        <v>7748</v>
      </c>
      <c r="T75" s="23">
        <v>155</v>
      </c>
      <c r="V75" s="37">
        <f t="shared" si="14"/>
        <v>7265</v>
      </c>
      <c r="W75" s="28">
        <f t="shared" si="15"/>
        <v>-483</v>
      </c>
      <c r="X75" s="45">
        <f t="shared" si="16"/>
        <v>-500</v>
      </c>
      <c r="Y75" s="199">
        <f t="shared" si="17"/>
        <v>-515</v>
      </c>
      <c r="Z75" s="38">
        <f t="shared" si="18"/>
        <v>-15</v>
      </c>
      <c r="AA75" s="39">
        <f t="shared" si="19"/>
        <v>-17</v>
      </c>
      <c r="AB75" s="58">
        <f t="shared" si="20"/>
        <v>-32</v>
      </c>
      <c r="AE75" s="1"/>
      <c r="AF75" s="1"/>
    </row>
    <row r="76" spans="1:32" hidden="1" x14ac:dyDescent="0.2">
      <c r="A76" s="11" t="s">
        <v>5</v>
      </c>
      <c r="B76" s="12" t="s">
        <v>19</v>
      </c>
      <c r="C76" s="12" t="s">
        <v>155</v>
      </c>
      <c r="D76" s="12" t="s">
        <v>127</v>
      </c>
      <c r="E76" s="12">
        <v>6291912</v>
      </c>
      <c r="F76" s="13">
        <v>5200</v>
      </c>
      <c r="G76" s="14">
        <v>45497</v>
      </c>
      <c r="H76" s="15" t="s">
        <v>31</v>
      </c>
      <c r="I76" s="16" t="s">
        <v>16</v>
      </c>
      <c r="J76" s="16">
        <v>6292107</v>
      </c>
      <c r="K76" s="17">
        <v>5200</v>
      </c>
      <c r="L76" s="18">
        <v>45497</v>
      </c>
      <c r="M76" s="19" t="s">
        <v>35</v>
      </c>
      <c r="N76" s="20" t="s">
        <v>79</v>
      </c>
      <c r="O76" s="20">
        <v>10</v>
      </c>
      <c r="P76" s="20"/>
      <c r="Q76" s="21">
        <v>45497</v>
      </c>
      <c r="R76" s="20">
        <v>55</v>
      </c>
      <c r="S76" s="22">
        <v>5163</v>
      </c>
      <c r="T76" s="23">
        <v>110</v>
      </c>
      <c r="V76" s="37">
        <f t="shared" si="14"/>
        <v>5165</v>
      </c>
      <c r="W76" s="28">
        <f t="shared" si="15"/>
        <v>2</v>
      </c>
      <c r="X76" s="26">
        <f t="shared" si="16"/>
        <v>-35</v>
      </c>
      <c r="Y76" s="200">
        <f t="shared" si="17"/>
        <v>-35</v>
      </c>
      <c r="Z76" s="38">
        <f t="shared" si="18"/>
        <v>0</v>
      </c>
      <c r="AA76" s="39">
        <f t="shared" si="19"/>
        <v>-37</v>
      </c>
      <c r="AB76" s="58">
        <f t="shared" si="20"/>
        <v>-37</v>
      </c>
      <c r="AE76" s="1"/>
      <c r="AF76" s="1"/>
    </row>
    <row r="77" spans="1:32" hidden="1" x14ac:dyDescent="0.2">
      <c r="A77" s="11" t="s">
        <v>5</v>
      </c>
      <c r="B77" s="12" t="s">
        <v>19</v>
      </c>
      <c r="C77" s="12" t="s">
        <v>195</v>
      </c>
      <c r="D77" s="12" t="s">
        <v>62</v>
      </c>
      <c r="E77" s="12">
        <v>6286449</v>
      </c>
      <c r="F77" s="13">
        <v>7780</v>
      </c>
      <c r="G77" s="14">
        <v>45491</v>
      </c>
      <c r="H77" s="15" t="s">
        <v>31</v>
      </c>
      <c r="I77" s="16" t="s">
        <v>16</v>
      </c>
      <c r="J77" s="16">
        <v>6292032</v>
      </c>
      <c r="K77" s="17">
        <v>7760</v>
      </c>
      <c r="L77" s="18">
        <v>45497</v>
      </c>
      <c r="M77" s="19" t="s">
        <v>35</v>
      </c>
      <c r="N77" s="20" t="s">
        <v>79</v>
      </c>
      <c r="O77" s="20">
        <v>15</v>
      </c>
      <c r="P77" s="20"/>
      <c r="Q77" s="21">
        <v>45497</v>
      </c>
      <c r="R77" s="20">
        <v>500</v>
      </c>
      <c r="S77" s="22">
        <v>7707</v>
      </c>
      <c r="T77" s="23">
        <v>237</v>
      </c>
      <c r="V77" s="37">
        <f t="shared" si="14"/>
        <v>7737</v>
      </c>
      <c r="W77" s="46">
        <f t="shared" si="15"/>
        <v>30</v>
      </c>
      <c r="X77" s="27">
        <f t="shared" si="16"/>
        <v>-23</v>
      </c>
      <c r="Y77" s="199">
        <f t="shared" si="17"/>
        <v>-43</v>
      </c>
      <c r="Z77" s="38">
        <f t="shared" si="18"/>
        <v>-20</v>
      </c>
      <c r="AA77" s="39">
        <f t="shared" si="19"/>
        <v>-53</v>
      </c>
      <c r="AB77" s="58">
        <f t="shared" si="20"/>
        <v>-73</v>
      </c>
      <c r="AE77" s="1"/>
      <c r="AF77" s="1"/>
    </row>
    <row r="78" spans="1:32" x14ac:dyDescent="0.2">
      <c r="A78" s="11" t="s">
        <v>5</v>
      </c>
      <c r="B78" s="12" t="s">
        <v>24</v>
      </c>
      <c r="C78" s="12" t="s">
        <v>161</v>
      </c>
      <c r="D78" s="12" t="s">
        <v>127</v>
      </c>
      <c r="E78" s="12">
        <v>6291927</v>
      </c>
      <c r="F78" s="13">
        <v>7780</v>
      </c>
      <c r="G78" s="14">
        <v>45497</v>
      </c>
      <c r="H78" s="15" t="s">
        <v>31</v>
      </c>
      <c r="I78" s="16" t="s">
        <v>121</v>
      </c>
      <c r="J78" s="16">
        <v>6292207</v>
      </c>
      <c r="K78" s="17">
        <v>7770</v>
      </c>
      <c r="L78" s="18">
        <v>45496</v>
      </c>
      <c r="M78" s="19" t="s">
        <v>17</v>
      </c>
      <c r="N78" s="20" t="s">
        <v>79</v>
      </c>
      <c r="O78" s="20"/>
      <c r="P78" s="20">
        <v>25</v>
      </c>
      <c r="Q78" s="21">
        <v>45497</v>
      </c>
      <c r="R78" s="20">
        <v>110</v>
      </c>
      <c r="S78" s="22">
        <v>7760</v>
      </c>
      <c r="T78" s="23">
        <v>25</v>
      </c>
      <c r="V78" s="37">
        <f t="shared" si="14"/>
        <v>7760</v>
      </c>
      <c r="W78" s="28">
        <f t="shared" si="15"/>
        <v>0</v>
      </c>
      <c r="X78" s="45">
        <f t="shared" si="16"/>
        <v>-10</v>
      </c>
      <c r="Y78" s="199">
        <f t="shared" si="17"/>
        <v>-20</v>
      </c>
      <c r="Z78" s="38">
        <f t="shared" si="18"/>
        <v>-10</v>
      </c>
      <c r="AA78" s="39">
        <f t="shared" si="19"/>
        <v>-10</v>
      </c>
      <c r="AB78" s="58">
        <f t="shared" si="20"/>
        <v>-20</v>
      </c>
      <c r="AE78" s="1"/>
      <c r="AF78" s="1"/>
    </row>
    <row r="79" spans="1:32" x14ac:dyDescent="0.2">
      <c r="A79" s="11" t="s">
        <v>5</v>
      </c>
      <c r="B79" s="12" t="s">
        <v>19</v>
      </c>
      <c r="C79" s="12" t="s">
        <v>162</v>
      </c>
      <c r="D79" s="12" t="s">
        <v>62</v>
      </c>
      <c r="E79" s="12">
        <v>6294186</v>
      </c>
      <c r="F79" s="13">
        <v>7780</v>
      </c>
      <c r="G79" s="14">
        <v>45496</v>
      </c>
      <c r="H79" s="15" t="s">
        <v>31</v>
      </c>
      <c r="I79" s="16" t="s">
        <v>121</v>
      </c>
      <c r="J79" s="16">
        <v>6292376</v>
      </c>
      <c r="K79" s="17">
        <v>7655</v>
      </c>
      <c r="L79" s="18">
        <v>45496</v>
      </c>
      <c r="M79" s="19" t="s">
        <v>17</v>
      </c>
      <c r="N79" s="20" t="s">
        <v>79</v>
      </c>
      <c r="O79" s="20"/>
      <c r="P79" s="20">
        <v>25</v>
      </c>
      <c r="Q79" s="21">
        <v>45497</v>
      </c>
      <c r="R79" s="20">
        <v>310</v>
      </c>
      <c r="S79" s="22">
        <v>6776</v>
      </c>
      <c r="T79" s="23">
        <v>50</v>
      </c>
      <c r="V79" s="37">
        <f t="shared" si="14"/>
        <v>7675</v>
      </c>
      <c r="W79" s="24">
        <f t="shared" si="15"/>
        <v>899</v>
      </c>
      <c r="X79" s="27">
        <f t="shared" si="16"/>
        <v>20</v>
      </c>
      <c r="Y79" s="200">
        <f t="shared" si="17"/>
        <v>-105</v>
      </c>
      <c r="Z79" s="38">
        <f t="shared" si="18"/>
        <v>-125</v>
      </c>
      <c r="AA79" s="39">
        <f t="shared" si="19"/>
        <v>-879</v>
      </c>
      <c r="AB79" s="58">
        <f t="shared" si="20"/>
        <v>-1004</v>
      </c>
      <c r="AE79" s="1"/>
      <c r="AF79" s="1"/>
    </row>
    <row r="80" spans="1:32" hidden="1" x14ac:dyDescent="0.2">
      <c r="A80" s="11" t="s">
        <v>5</v>
      </c>
      <c r="B80" s="12" t="s">
        <v>24</v>
      </c>
      <c r="C80" s="12" t="s">
        <v>166</v>
      </c>
      <c r="D80" s="12" t="s">
        <v>46</v>
      </c>
      <c r="E80" s="12">
        <v>6291231</v>
      </c>
      <c r="F80" s="13">
        <v>7150</v>
      </c>
      <c r="G80" s="14">
        <v>45496</v>
      </c>
      <c r="H80" s="15" t="s">
        <v>163</v>
      </c>
      <c r="I80" s="16" t="s">
        <v>121</v>
      </c>
      <c r="J80" s="16">
        <v>6292099</v>
      </c>
      <c r="K80" s="17">
        <v>7150</v>
      </c>
      <c r="L80" s="18">
        <v>45497</v>
      </c>
      <c r="M80" s="19" t="s">
        <v>39</v>
      </c>
      <c r="N80" s="20" t="s">
        <v>51</v>
      </c>
      <c r="O80" s="20">
        <v>14</v>
      </c>
      <c r="P80" s="20"/>
      <c r="Q80" s="21">
        <v>45497</v>
      </c>
      <c r="R80" s="20">
        <v>500</v>
      </c>
      <c r="S80" s="22">
        <v>7155</v>
      </c>
      <c r="T80" s="23">
        <v>150</v>
      </c>
      <c r="V80" s="37">
        <f t="shared" si="14"/>
        <v>7150</v>
      </c>
      <c r="W80" s="24">
        <f t="shared" si="15"/>
        <v>-5</v>
      </c>
      <c r="X80" s="27">
        <f t="shared" si="16"/>
        <v>0</v>
      </c>
      <c r="Y80" s="200">
        <f t="shared" si="17"/>
        <v>0</v>
      </c>
      <c r="Z80" s="38">
        <f t="shared" si="18"/>
        <v>0</v>
      </c>
      <c r="AA80" s="39">
        <f t="shared" si="19"/>
        <v>5</v>
      </c>
      <c r="AB80" s="58">
        <f t="shared" si="20"/>
        <v>5</v>
      </c>
      <c r="AE80" s="1"/>
      <c r="AF80" s="1"/>
    </row>
    <row r="81" spans="1:32" hidden="1" x14ac:dyDescent="0.2">
      <c r="A81" s="11" t="s">
        <v>5</v>
      </c>
      <c r="B81" s="12" t="s">
        <v>19</v>
      </c>
      <c r="C81" s="12" t="s">
        <v>164</v>
      </c>
      <c r="D81" s="12" t="s">
        <v>15</v>
      </c>
      <c r="E81" s="12">
        <v>6283273</v>
      </c>
      <c r="F81" s="13">
        <v>7680</v>
      </c>
      <c r="G81" s="14">
        <v>45485</v>
      </c>
      <c r="H81" s="15" t="s">
        <v>163</v>
      </c>
      <c r="I81" s="16" t="s">
        <v>8</v>
      </c>
      <c r="J81" s="16">
        <v>6292277</v>
      </c>
      <c r="K81" s="17">
        <v>7725</v>
      </c>
      <c r="L81" s="18">
        <v>45497</v>
      </c>
      <c r="M81" s="19" t="s">
        <v>39</v>
      </c>
      <c r="N81" s="20" t="s">
        <v>51</v>
      </c>
      <c r="O81" s="20">
        <v>15</v>
      </c>
      <c r="P81" s="20"/>
      <c r="Q81" s="21">
        <v>45497</v>
      </c>
      <c r="R81" s="20">
        <v>502</v>
      </c>
      <c r="S81" s="22">
        <v>7510</v>
      </c>
      <c r="T81" s="23">
        <v>215</v>
      </c>
      <c r="V81" s="37">
        <f t="shared" si="14"/>
        <v>7715</v>
      </c>
      <c r="W81" s="24">
        <f t="shared" si="15"/>
        <v>205</v>
      </c>
      <c r="X81" s="27">
        <f t="shared" si="16"/>
        <v>-10</v>
      </c>
      <c r="Y81" s="200">
        <f t="shared" si="17"/>
        <v>35</v>
      </c>
      <c r="Z81" s="38">
        <f t="shared" si="18"/>
        <v>45</v>
      </c>
      <c r="AA81" s="39">
        <f t="shared" si="19"/>
        <v>-215</v>
      </c>
      <c r="AB81" s="58">
        <f t="shared" si="20"/>
        <v>-170</v>
      </c>
      <c r="AE81" s="1"/>
      <c r="AF81" s="1"/>
    </row>
    <row r="82" spans="1:32" hidden="1" x14ac:dyDescent="0.2">
      <c r="A82" s="11" t="s">
        <v>5</v>
      </c>
      <c r="B82" s="12" t="s">
        <v>24</v>
      </c>
      <c r="C82" s="12" t="s">
        <v>157</v>
      </c>
      <c r="D82" s="12" t="s">
        <v>46</v>
      </c>
      <c r="E82" s="12">
        <v>6289995</v>
      </c>
      <c r="F82" s="13">
        <v>7660</v>
      </c>
      <c r="G82" s="14">
        <v>45495</v>
      </c>
      <c r="H82" s="15" t="s">
        <v>163</v>
      </c>
      <c r="I82" s="16" t="s">
        <v>8</v>
      </c>
      <c r="J82" s="16">
        <v>6291450</v>
      </c>
      <c r="K82" s="17">
        <v>7660</v>
      </c>
      <c r="L82" s="18">
        <v>45496</v>
      </c>
      <c r="M82" s="19" t="s">
        <v>39</v>
      </c>
      <c r="N82" s="20" t="s">
        <v>41</v>
      </c>
      <c r="O82" s="20">
        <v>15</v>
      </c>
      <c r="P82" s="20"/>
      <c r="Q82" s="21">
        <v>45496</v>
      </c>
      <c r="R82" s="20">
        <v>500</v>
      </c>
      <c r="S82" s="22">
        <v>7667</v>
      </c>
      <c r="T82" s="23">
        <v>165</v>
      </c>
      <c r="V82" s="37">
        <f t="shared" si="14"/>
        <v>7665</v>
      </c>
      <c r="W82" s="28">
        <f t="shared" si="15"/>
        <v>-2</v>
      </c>
      <c r="X82" s="26">
        <f t="shared" si="16"/>
        <v>5</v>
      </c>
      <c r="Y82" s="200">
        <f t="shared" si="17"/>
        <v>5</v>
      </c>
      <c r="Z82" s="38">
        <f t="shared" si="18"/>
        <v>0</v>
      </c>
      <c r="AA82" s="39">
        <f t="shared" si="19"/>
        <v>7</v>
      </c>
      <c r="AB82" s="58">
        <f t="shared" si="20"/>
        <v>7</v>
      </c>
      <c r="AE82" s="1"/>
      <c r="AF82" s="1"/>
    </row>
    <row r="83" spans="1:32" hidden="1" x14ac:dyDescent="0.2">
      <c r="A83" s="11" t="s">
        <v>5</v>
      </c>
      <c r="B83" s="12" t="s">
        <v>24</v>
      </c>
      <c r="C83" s="12" t="s">
        <v>165</v>
      </c>
      <c r="D83" s="12" t="s">
        <v>62</v>
      </c>
      <c r="E83" s="12">
        <v>6291652</v>
      </c>
      <c r="F83" s="13">
        <v>7780</v>
      </c>
      <c r="G83" s="14">
        <v>45496</v>
      </c>
      <c r="H83" s="15" t="s">
        <v>163</v>
      </c>
      <c r="I83" s="16" t="s">
        <v>32</v>
      </c>
      <c r="J83" s="16">
        <v>6291901</v>
      </c>
      <c r="K83" s="17">
        <v>7780</v>
      </c>
      <c r="L83" s="18">
        <v>45497</v>
      </c>
      <c r="M83" s="19" t="s">
        <v>39</v>
      </c>
      <c r="N83" s="20" t="s">
        <v>18</v>
      </c>
      <c r="O83" s="20">
        <v>15</v>
      </c>
      <c r="P83" s="20"/>
      <c r="Q83" s="21">
        <v>45497</v>
      </c>
      <c r="R83" s="20">
        <v>110</v>
      </c>
      <c r="S83" s="22">
        <v>7795</v>
      </c>
      <c r="T83" s="23">
        <v>180</v>
      </c>
      <c r="V83" s="37">
        <f t="shared" si="14"/>
        <v>7790</v>
      </c>
      <c r="W83" s="28">
        <f t="shared" si="15"/>
        <v>-5</v>
      </c>
      <c r="X83" s="26">
        <f t="shared" si="16"/>
        <v>10</v>
      </c>
      <c r="Y83" s="200">
        <f t="shared" si="17"/>
        <v>10</v>
      </c>
      <c r="Z83" s="38">
        <f t="shared" si="18"/>
        <v>0</v>
      </c>
      <c r="AA83" s="39">
        <f t="shared" si="19"/>
        <v>15</v>
      </c>
      <c r="AB83" s="58">
        <f t="shared" si="20"/>
        <v>15</v>
      </c>
      <c r="AE83" s="1"/>
      <c r="AF83" s="1"/>
    </row>
    <row r="84" spans="1:32" hidden="1" x14ac:dyDescent="0.2">
      <c r="A84" s="11" t="s">
        <v>5</v>
      </c>
      <c r="B84" s="12" t="s">
        <v>19</v>
      </c>
      <c r="C84" s="12" t="s">
        <v>167</v>
      </c>
      <c r="D84" s="12" t="s">
        <v>46</v>
      </c>
      <c r="E84" s="12">
        <v>6291369</v>
      </c>
      <c r="F84" s="13">
        <v>7780</v>
      </c>
      <c r="G84" s="14">
        <v>45496</v>
      </c>
      <c r="H84" s="15" t="s">
        <v>163</v>
      </c>
      <c r="I84" s="16" t="s">
        <v>63</v>
      </c>
      <c r="J84" s="16">
        <v>6291831</v>
      </c>
      <c r="K84" s="17">
        <v>7772</v>
      </c>
      <c r="L84" s="18">
        <v>45496</v>
      </c>
      <c r="M84" s="19" t="s">
        <v>39</v>
      </c>
      <c r="N84" s="20" t="s">
        <v>18</v>
      </c>
      <c r="O84" s="20">
        <v>15</v>
      </c>
      <c r="P84" s="20"/>
      <c r="Q84" s="21">
        <v>45497</v>
      </c>
      <c r="R84" s="20">
        <v>110</v>
      </c>
      <c r="S84" s="22">
        <v>7780</v>
      </c>
      <c r="T84" s="23">
        <v>180</v>
      </c>
      <c r="V84" s="37">
        <f t="shared" si="14"/>
        <v>7790</v>
      </c>
      <c r="W84" s="28">
        <f t="shared" si="15"/>
        <v>10</v>
      </c>
      <c r="X84" s="26">
        <f t="shared" si="16"/>
        <v>18</v>
      </c>
      <c r="Y84" s="200">
        <f t="shared" si="17"/>
        <v>10</v>
      </c>
      <c r="Z84" s="38">
        <f t="shared" si="18"/>
        <v>-8</v>
      </c>
      <c r="AA84" s="39">
        <f t="shared" si="19"/>
        <v>8</v>
      </c>
      <c r="AB84" s="58">
        <f t="shared" si="20"/>
        <v>0</v>
      </c>
      <c r="AE84" s="1"/>
      <c r="AF84" s="1"/>
    </row>
    <row r="85" spans="1:32" hidden="1" x14ac:dyDescent="0.2">
      <c r="A85" s="11" t="s">
        <v>5</v>
      </c>
      <c r="B85" s="12" t="s">
        <v>24</v>
      </c>
      <c r="C85" s="12" t="s">
        <v>134</v>
      </c>
      <c r="D85" s="12" t="s">
        <v>67</v>
      </c>
      <c r="E85" s="12">
        <v>6290838</v>
      </c>
      <c r="F85" s="13">
        <v>7680</v>
      </c>
      <c r="G85" s="14">
        <v>45496</v>
      </c>
      <c r="H85" s="15" t="s">
        <v>7</v>
      </c>
      <c r="I85" s="16" t="s">
        <v>63</v>
      </c>
      <c r="J85" s="16">
        <v>6292805</v>
      </c>
      <c r="K85" s="17">
        <v>7700</v>
      </c>
      <c r="L85" s="18">
        <v>45497</v>
      </c>
      <c r="M85" s="19" t="s">
        <v>35</v>
      </c>
      <c r="N85" s="20" t="s">
        <v>36</v>
      </c>
      <c r="O85" s="20">
        <v>15</v>
      </c>
      <c r="P85" s="20"/>
      <c r="Q85" s="21">
        <v>45497</v>
      </c>
      <c r="R85" s="20">
        <v>500</v>
      </c>
      <c r="S85" s="22">
        <v>7687</v>
      </c>
      <c r="T85" s="23">
        <v>187</v>
      </c>
      <c r="V85" s="37">
        <f t="shared" si="14"/>
        <v>7687</v>
      </c>
      <c r="W85" s="28">
        <f t="shared" si="15"/>
        <v>0</v>
      </c>
      <c r="X85" s="26">
        <f t="shared" si="16"/>
        <v>-13</v>
      </c>
      <c r="Y85" s="200">
        <f t="shared" si="17"/>
        <v>7</v>
      </c>
      <c r="Z85" s="38">
        <f t="shared" si="18"/>
        <v>20</v>
      </c>
      <c r="AA85" s="39">
        <f t="shared" si="19"/>
        <v>-13</v>
      </c>
      <c r="AB85" s="58">
        <f t="shared" si="20"/>
        <v>7</v>
      </c>
      <c r="AE85" s="1"/>
      <c r="AF85" s="1"/>
    </row>
    <row r="86" spans="1:32" hidden="1" x14ac:dyDescent="0.2">
      <c r="A86" s="11" t="s">
        <v>5</v>
      </c>
      <c r="B86" s="12" t="s">
        <v>21</v>
      </c>
      <c r="C86" s="12" t="s">
        <v>168</v>
      </c>
      <c r="D86" s="12" t="s">
        <v>62</v>
      </c>
      <c r="E86" s="12">
        <v>6288798</v>
      </c>
      <c r="F86" s="13">
        <v>7780</v>
      </c>
      <c r="G86" s="14">
        <v>45493</v>
      </c>
      <c r="H86" s="15" t="s">
        <v>163</v>
      </c>
      <c r="I86" s="16" t="s">
        <v>8</v>
      </c>
      <c r="J86" s="16">
        <v>6292190</v>
      </c>
      <c r="K86" s="17">
        <v>7738</v>
      </c>
      <c r="L86" s="18">
        <v>45497</v>
      </c>
      <c r="M86" s="19" t="s">
        <v>39</v>
      </c>
      <c r="N86" s="20" t="s">
        <v>41</v>
      </c>
      <c r="O86" s="20">
        <v>15</v>
      </c>
      <c r="P86" s="20"/>
      <c r="Q86" s="21">
        <v>45497</v>
      </c>
      <c r="R86" s="20">
        <v>505</v>
      </c>
      <c r="S86" s="22">
        <v>7735</v>
      </c>
      <c r="T86" s="23">
        <v>185</v>
      </c>
      <c r="V86" s="37">
        <f t="shared" si="14"/>
        <v>7685</v>
      </c>
      <c r="W86" s="28">
        <f t="shared" si="15"/>
        <v>-50</v>
      </c>
      <c r="X86" s="45">
        <f t="shared" si="16"/>
        <v>-53</v>
      </c>
      <c r="Y86" s="199">
        <f t="shared" si="17"/>
        <v>-95</v>
      </c>
      <c r="Z86" s="38">
        <f t="shared" si="18"/>
        <v>-42</v>
      </c>
      <c r="AA86" s="39">
        <f t="shared" si="19"/>
        <v>-3</v>
      </c>
      <c r="AB86" s="58">
        <f t="shared" si="20"/>
        <v>-45</v>
      </c>
      <c r="AE86" s="1"/>
      <c r="AF86" s="1"/>
    </row>
    <row r="87" spans="1:32" hidden="1" x14ac:dyDescent="0.2">
      <c r="A87" s="11" t="s">
        <v>5</v>
      </c>
      <c r="B87" s="12" t="s">
        <v>19</v>
      </c>
      <c r="C87" s="12" t="s">
        <v>169</v>
      </c>
      <c r="D87" s="12" t="s">
        <v>127</v>
      </c>
      <c r="E87" s="12">
        <v>6291929</v>
      </c>
      <c r="F87" s="13">
        <v>2580</v>
      </c>
      <c r="G87" s="14">
        <v>45497</v>
      </c>
      <c r="H87" s="15" t="s">
        <v>7</v>
      </c>
      <c r="I87" s="16" t="s">
        <v>63</v>
      </c>
      <c r="J87" s="16">
        <v>6292690</v>
      </c>
      <c r="K87" s="17">
        <v>2570</v>
      </c>
      <c r="L87" s="18">
        <v>45497</v>
      </c>
      <c r="M87" s="19" t="s">
        <v>39</v>
      </c>
      <c r="N87" s="20" t="s">
        <v>18</v>
      </c>
      <c r="O87" s="20">
        <v>5</v>
      </c>
      <c r="P87" s="20"/>
      <c r="Q87" s="21">
        <v>45498</v>
      </c>
      <c r="R87" s="20">
        <v>502</v>
      </c>
      <c r="S87" s="22">
        <v>2563</v>
      </c>
      <c r="T87" s="23">
        <v>61</v>
      </c>
      <c r="V87" s="37">
        <f t="shared" si="14"/>
        <v>2561</v>
      </c>
      <c r="W87" s="28">
        <f t="shared" si="15"/>
        <v>-2</v>
      </c>
      <c r="X87" s="45">
        <f t="shared" si="16"/>
        <v>-9</v>
      </c>
      <c r="Y87" s="199">
        <f t="shared" si="17"/>
        <v>-19</v>
      </c>
      <c r="Z87" s="38">
        <f t="shared" si="18"/>
        <v>-10</v>
      </c>
      <c r="AA87" s="39">
        <f t="shared" si="19"/>
        <v>-7</v>
      </c>
      <c r="AB87" s="58">
        <f t="shared" si="20"/>
        <v>-17</v>
      </c>
      <c r="AE87" s="1"/>
      <c r="AF87" s="1"/>
    </row>
    <row r="88" spans="1:32" x14ac:dyDescent="0.2">
      <c r="A88" s="11" t="s">
        <v>5</v>
      </c>
      <c r="B88" s="12" t="s">
        <v>24</v>
      </c>
      <c r="C88" s="12" t="s">
        <v>170</v>
      </c>
      <c r="D88" s="12" t="s">
        <v>127</v>
      </c>
      <c r="E88" s="12">
        <v>6292019</v>
      </c>
      <c r="F88" s="13">
        <v>7780</v>
      </c>
      <c r="G88" s="14">
        <v>45497</v>
      </c>
      <c r="H88" s="15" t="s">
        <v>31</v>
      </c>
      <c r="I88" s="16" t="s">
        <v>27</v>
      </c>
      <c r="J88" s="16">
        <v>6292772</v>
      </c>
      <c r="K88" s="17">
        <v>7800</v>
      </c>
      <c r="L88" s="18">
        <v>45497</v>
      </c>
      <c r="M88" s="19" t="s">
        <v>44</v>
      </c>
      <c r="N88" s="20" t="s">
        <v>74</v>
      </c>
      <c r="O88" s="20"/>
      <c r="P88" s="20">
        <v>25</v>
      </c>
      <c r="Q88" s="21">
        <v>45497</v>
      </c>
      <c r="R88" s="20">
        <v>110</v>
      </c>
      <c r="S88" s="22">
        <v>7735</v>
      </c>
      <c r="T88" s="23">
        <v>30</v>
      </c>
      <c r="V88" s="37">
        <f t="shared" si="14"/>
        <v>7765</v>
      </c>
      <c r="W88" s="46">
        <f t="shared" si="15"/>
        <v>30</v>
      </c>
      <c r="X88" s="26">
        <f t="shared" si="16"/>
        <v>-35</v>
      </c>
      <c r="Y88" s="25">
        <f t="shared" si="17"/>
        <v>-15</v>
      </c>
      <c r="Z88" s="38">
        <f t="shared" si="18"/>
        <v>20</v>
      </c>
      <c r="AA88" s="39">
        <f t="shared" si="19"/>
        <v>-65</v>
      </c>
      <c r="AB88" s="58">
        <f t="shared" si="20"/>
        <v>-45</v>
      </c>
      <c r="AE88" s="1"/>
      <c r="AF88" s="1"/>
    </row>
    <row r="89" spans="1:32" hidden="1" x14ac:dyDescent="0.2">
      <c r="A89" s="11" t="s">
        <v>28</v>
      </c>
      <c r="B89" s="12" t="s">
        <v>19</v>
      </c>
      <c r="C89" s="12" t="s">
        <v>171</v>
      </c>
      <c r="D89" s="12" t="s">
        <v>46</v>
      </c>
      <c r="E89" s="12">
        <v>6292292</v>
      </c>
      <c r="F89" s="13">
        <v>8130</v>
      </c>
      <c r="G89" s="14">
        <v>45497</v>
      </c>
      <c r="H89" s="15" t="s">
        <v>31</v>
      </c>
      <c r="I89" s="16" t="s">
        <v>27</v>
      </c>
      <c r="J89" s="16">
        <v>6292653</v>
      </c>
      <c r="K89" s="17">
        <v>8130</v>
      </c>
      <c r="L89" s="18">
        <v>45497</v>
      </c>
      <c r="M89" s="19" t="s">
        <v>44</v>
      </c>
      <c r="N89" s="20" t="s">
        <v>25</v>
      </c>
      <c r="O89" s="20"/>
      <c r="P89" s="20">
        <v>26</v>
      </c>
      <c r="Q89" s="21">
        <v>45497</v>
      </c>
      <c r="R89" s="20">
        <v>110</v>
      </c>
      <c r="S89" s="22">
        <v>8070</v>
      </c>
      <c r="T89" s="23">
        <v>30</v>
      </c>
      <c r="V89" s="37">
        <f t="shared" si="14"/>
        <v>8070</v>
      </c>
      <c r="W89" s="28">
        <f t="shared" si="15"/>
        <v>0</v>
      </c>
      <c r="X89" s="26">
        <f t="shared" si="16"/>
        <v>-60</v>
      </c>
      <c r="Y89" s="200">
        <f t="shared" si="17"/>
        <v>-60</v>
      </c>
      <c r="Z89" s="38">
        <f t="shared" si="18"/>
        <v>0</v>
      </c>
      <c r="AA89" s="39">
        <f t="shared" si="19"/>
        <v>-60</v>
      </c>
      <c r="AB89" s="58">
        <f t="shared" si="20"/>
        <v>-60</v>
      </c>
      <c r="AE89" s="1"/>
      <c r="AF89" s="1"/>
    </row>
    <row r="90" spans="1:32" x14ac:dyDescent="0.2">
      <c r="A90" s="11" t="s">
        <v>28</v>
      </c>
      <c r="B90" s="12" t="s">
        <v>19</v>
      </c>
      <c r="C90" s="12" t="s">
        <v>172</v>
      </c>
      <c r="D90" s="12" t="s">
        <v>127</v>
      </c>
      <c r="E90" s="12">
        <v>6292017</v>
      </c>
      <c r="F90" s="13">
        <v>7780</v>
      </c>
      <c r="G90" s="14">
        <v>45497</v>
      </c>
      <c r="H90" s="15" t="s">
        <v>31</v>
      </c>
      <c r="I90" s="16" t="s">
        <v>27</v>
      </c>
      <c r="J90" s="16">
        <v>6292726</v>
      </c>
      <c r="K90" s="17">
        <v>7800</v>
      </c>
      <c r="L90" s="18">
        <v>45497</v>
      </c>
      <c r="M90" s="19" t="s">
        <v>44</v>
      </c>
      <c r="N90" s="20" t="s">
        <v>25</v>
      </c>
      <c r="O90" s="20"/>
      <c r="P90" s="20">
        <v>25</v>
      </c>
      <c r="Q90" s="21">
        <v>45497</v>
      </c>
      <c r="R90" s="20">
        <v>110</v>
      </c>
      <c r="S90" s="22">
        <v>7765</v>
      </c>
      <c r="T90" s="23">
        <v>30</v>
      </c>
      <c r="V90" s="37">
        <f t="shared" si="14"/>
        <v>7765</v>
      </c>
      <c r="W90" s="28">
        <f t="shared" si="15"/>
        <v>0</v>
      </c>
      <c r="X90" s="26">
        <f t="shared" si="16"/>
        <v>-35</v>
      </c>
      <c r="Y90" s="200">
        <f t="shared" si="17"/>
        <v>-15</v>
      </c>
      <c r="Z90" s="38">
        <f t="shared" si="18"/>
        <v>20</v>
      </c>
      <c r="AA90" s="39">
        <f t="shared" si="19"/>
        <v>-35</v>
      </c>
      <c r="AB90" s="58">
        <f t="shared" si="20"/>
        <v>-15</v>
      </c>
      <c r="AE90" s="1"/>
      <c r="AF90" s="1"/>
    </row>
    <row r="91" spans="1:32" x14ac:dyDescent="0.2">
      <c r="A91" s="11" t="s">
        <v>5</v>
      </c>
      <c r="B91" s="12" t="s">
        <v>20</v>
      </c>
      <c r="C91" s="12" t="s">
        <v>173</v>
      </c>
      <c r="D91" s="12" t="s">
        <v>6</v>
      </c>
      <c r="E91" s="12">
        <v>6288855</v>
      </c>
      <c r="F91" s="13">
        <v>7880</v>
      </c>
      <c r="G91" s="14">
        <v>45493</v>
      </c>
      <c r="H91" s="15" t="s">
        <v>7</v>
      </c>
      <c r="I91" s="16" t="s">
        <v>32</v>
      </c>
      <c r="J91" s="16">
        <v>6289029</v>
      </c>
      <c r="K91" s="17">
        <v>7800</v>
      </c>
      <c r="L91" s="18">
        <v>45493</v>
      </c>
      <c r="M91" s="19" t="s">
        <v>44</v>
      </c>
      <c r="N91" s="20" t="s">
        <v>115</v>
      </c>
      <c r="O91" s="20"/>
      <c r="P91" s="20">
        <v>25</v>
      </c>
      <c r="Q91" s="21">
        <v>45497</v>
      </c>
      <c r="R91" s="20">
        <v>55</v>
      </c>
      <c r="S91" s="22">
        <v>7630</v>
      </c>
      <c r="T91" s="23">
        <v>90</v>
      </c>
      <c r="V91" s="37">
        <f t="shared" si="14"/>
        <v>7770</v>
      </c>
      <c r="W91" s="24">
        <f t="shared" si="15"/>
        <v>140</v>
      </c>
      <c r="X91" s="27">
        <f t="shared" si="16"/>
        <v>-30</v>
      </c>
      <c r="Y91" s="200">
        <f t="shared" si="17"/>
        <v>-110</v>
      </c>
      <c r="Z91" s="38">
        <f t="shared" si="18"/>
        <v>-80</v>
      </c>
      <c r="AA91" s="39">
        <f t="shared" si="19"/>
        <v>-170</v>
      </c>
      <c r="AB91" s="58">
        <f t="shared" si="20"/>
        <v>-250</v>
      </c>
      <c r="AE91" s="1"/>
      <c r="AF91" s="1"/>
    </row>
    <row r="92" spans="1:32" hidden="1" x14ac:dyDescent="0.2">
      <c r="A92" s="11" t="s">
        <v>28</v>
      </c>
      <c r="B92" s="12" t="s">
        <v>19</v>
      </c>
      <c r="C92" s="12" t="s">
        <v>174</v>
      </c>
      <c r="D92" s="12" t="s">
        <v>127</v>
      </c>
      <c r="E92" s="12">
        <v>6292158</v>
      </c>
      <c r="F92" s="13">
        <v>8465</v>
      </c>
      <c r="G92" s="14">
        <v>45497</v>
      </c>
      <c r="H92" s="15" t="s">
        <v>31</v>
      </c>
      <c r="I92" s="16" t="s">
        <v>16</v>
      </c>
      <c r="J92" s="16">
        <v>6293062</v>
      </c>
      <c r="K92" s="17">
        <v>8500</v>
      </c>
      <c r="L92" s="18">
        <v>45498</v>
      </c>
      <c r="M92" s="19" t="s">
        <v>17</v>
      </c>
      <c r="N92" s="20" t="s">
        <v>79</v>
      </c>
      <c r="O92" s="20"/>
      <c r="P92" s="20">
        <v>27</v>
      </c>
      <c r="Q92" s="21">
        <v>45498</v>
      </c>
      <c r="R92" s="20">
        <v>310</v>
      </c>
      <c r="S92" s="22">
        <v>8508</v>
      </c>
      <c r="T92" s="23">
        <v>265</v>
      </c>
      <c r="V92" s="37">
        <f t="shared" si="14"/>
        <v>8500</v>
      </c>
      <c r="W92" s="46">
        <f t="shared" si="15"/>
        <v>-8</v>
      </c>
      <c r="X92" s="27">
        <f t="shared" si="16"/>
        <v>0</v>
      </c>
      <c r="Y92" s="199">
        <f t="shared" si="17"/>
        <v>35</v>
      </c>
      <c r="Z92" s="38">
        <f t="shared" si="18"/>
        <v>35</v>
      </c>
      <c r="AA92" s="39">
        <f t="shared" si="19"/>
        <v>8</v>
      </c>
      <c r="AB92" s="58">
        <f t="shared" si="20"/>
        <v>43</v>
      </c>
      <c r="AE92" s="1"/>
      <c r="AF92" s="1"/>
    </row>
    <row r="93" spans="1:32" hidden="1" x14ac:dyDescent="0.2">
      <c r="A93" s="11" t="s">
        <v>5</v>
      </c>
      <c r="B93" s="12" t="s">
        <v>19</v>
      </c>
      <c r="C93" s="12" t="s">
        <v>175</v>
      </c>
      <c r="D93" s="12" t="s">
        <v>127</v>
      </c>
      <c r="E93" s="12">
        <v>6291957</v>
      </c>
      <c r="F93" s="13">
        <v>7780</v>
      </c>
      <c r="G93" s="14">
        <v>45497</v>
      </c>
      <c r="H93" s="15" t="s">
        <v>31</v>
      </c>
      <c r="I93" s="16" t="s">
        <v>63</v>
      </c>
      <c r="J93" s="16">
        <v>6292746</v>
      </c>
      <c r="K93" s="17">
        <v>7788</v>
      </c>
      <c r="L93" s="18">
        <v>45497</v>
      </c>
      <c r="M93" s="19" t="s">
        <v>35</v>
      </c>
      <c r="N93" s="20" t="s">
        <v>36</v>
      </c>
      <c r="O93" s="20">
        <v>15</v>
      </c>
      <c r="P93" s="20"/>
      <c r="Q93" s="21">
        <v>45497</v>
      </c>
      <c r="R93" s="20">
        <v>500</v>
      </c>
      <c r="S93" s="22">
        <v>7780</v>
      </c>
      <c r="T93" s="23">
        <v>180</v>
      </c>
      <c r="V93" s="37">
        <f t="shared" si="14"/>
        <v>7680</v>
      </c>
      <c r="W93" s="28">
        <f t="shared" si="15"/>
        <v>-100</v>
      </c>
      <c r="X93" s="26">
        <f t="shared" si="16"/>
        <v>-108</v>
      </c>
      <c r="Y93" s="200">
        <f t="shared" si="17"/>
        <v>-100</v>
      </c>
      <c r="Z93" s="38">
        <f t="shared" si="18"/>
        <v>8</v>
      </c>
      <c r="AA93" s="39">
        <f t="shared" si="19"/>
        <v>-8</v>
      </c>
      <c r="AB93" s="58">
        <f t="shared" si="20"/>
        <v>0</v>
      </c>
      <c r="AE93" s="1"/>
      <c r="AF93" s="1"/>
    </row>
    <row r="94" spans="1:32" hidden="1" x14ac:dyDescent="0.2">
      <c r="A94" s="11" t="s">
        <v>5</v>
      </c>
      <c r="B94" s="12" t="s">
        <v>24</v>
      </c>
      <c r="C94" s="12" t="s">
        <v>177</v>
      </c>
      <c r="D94" s="12" t="s">
        <v>46</v>
      </c>
      <c r="E94" s="12">
        <v>6292260</v>
      </c>
      <c r="F94" s="13">
        <v>7780</v>
      </c>
      <c r="G94" s="14">
        <v>45497</v>
      </c>
      <c r="H94" s="15" t="s">
        <v>7</v>
      </c>
      <c r="I94" s="16" t="s">
        <v>63</v>
      </c>
      <c r="J94" s="16">
        <v>6292601</v>
      </c>
      <c r="K94" s="17">
        <v>7789</v>
      </c>
      <c r="L94" s="18">
        <v>45497</v>
      </c>
      <c r="M94" s="19" t="s">
        <v>35</v>
      </c>
      <c r="N94" s="20" t="s">
        <v>36</v>
      </c>
      <c r="O94" s="20">
        <v>15</v>
      </c>
      <c r="P94" s="20"/>
      <c r="Q94" s="21">
        <v>45497</v>
      </c>
      <c r="R94" s="20">
        <v>55</v>
      </c>
      <c r="S94" s="22">
        <v>7780</v>
      </c>
      <c r="T94" s="23">
        <v>55</v>
      </c>
      <c r="V94" s="37">
        <f t="shared" si="14"/>
        <v>7610</v>
      </c>
      <c r="W94" s="28">
        <f t="shared" si="15"/>
        <v>-170</v>
      </c>
      <c r="X94" s="26">
        <f t="shared" si="16"/>
        <v>-179</v>
      </c>
      <c r="Y94" s="200">
        <f t="shared" si="17"/>
        <v>-170</v>
      </c>
      <c r="Z94" s="38">
        <f t="shared" si="18"/>
        <v>9</v>
      </c>
      <c r="AA94" s="39">
        <f t="shared" si="19"/>
        <v>-9</v>
      </c>
      <c r="AB94" s="58">
        <f t="shared" si="20"/>
        <v>0</v>
      </c>
      <c r="AE94" s="1"/>
      <c r="AF94" s="1"/>
    </row>
    <row r="95" spans="1:32" hidden="1" x14ac:dyDescent="0.2">
      <c r="A95" s="11" t="s">
        <v>5</v>
      </c>
      <c r="B95" s="12" t="s">
        <v>24</v>
      </c>
      <c r="C95" s="12" t="s">
        <v>176</v>
      </c>
      <c r="D95" s="12" t="s">
        <v>127</v>
      </c>
      <c r="E95" s="12">
        <v>6291966</v>
      </c>
      <c r="F95" s="13">
        <v>7730</v>
      </c>
      <c r="G95" s="14">
        <v>45497</v>
      </c>
      <c r="H95" s="15" t="s">
        <v>7</v>
      </c>
      <c r="I95" s="16" t="s">
        <v>63</v>
      </c>
      <c r="J95" s="16">
        <v>6292655</v>
      </c>
      <c r="K95" s="17">
        <v>7736</v>
      </c>
      <c r="L95" s="18">
        <v>45497</v>
      </c>
      <c r="M95" s="19" t="s">
        <v>35</v>
      </c>
      <c r="N95" s="20" t="s">
        <v>36</v>
      </c>
      <c r="O95" s="20">
        <v>15</v>
      </c>
      <c r="P95" s="20"/>
      <c r="Q95" s="21">
        <v>45497</v>
      </c>
      <c r="R95" s="20">
        <v>500</v>
      </c>
      <c r="S95" s="22">
        <v>7727</v>
      </c>
      <c r="T95" s="23">
        <v>117</v>
      </c>
      <c r="V95" s="37">
        <f t="shared" si="14"/>
        <v>7617</v>
      </c>
      <c r="W95" s="28">
        <f t="shared" si="15"/>
        <v>-110</v>
      </c>
      <c r="X95" s="26">
        <f t="shared" si="16"/>
        <v>-119</v>
      </c>
      <c r="Y95" s="200">
        <f t="shared" si="17"/>
        <v>-113</v>
      </c>
      <c r="Z95" s="38">
        <f t="shared" si="18"/>
        <v>6</v>
      </c>
      <c r="AA95" s="39">
        <f t="shared" si="19"/>
        <v>-9</v>
      </c>
      <c r="AB95" s="58">
        <f t="shared" si="20"/>
        <v>-3</v>
      </c>
      <c r="AE95" s="1"/>
      <c r="AF95" s="1"/>
    </row>
    <row r="96" spans="1:32" hidden="1" x14ac:dyDescent="0.2">
      <c r="A96" s="11" t="s">
        <v>5</v>
      </c>
      <c r="B96" s="12" t="s">
        <v>19</v>
      </c>
      <c r="C96" s="12" t="s">
        <v>64</v>
      </c>
      <c r="D96" s="12" t="s">
        <v>6</v>
      </c>
      <c r="E96" s="12">
        <v>6293828</v>
      </c>
      <c r="F96" s="13">
        <v>7450</v>
      </c>
      <c r="G96" s="14">
        <v>45493</v>
      </c>
      <c r="H96" s="15" t="s">
        <v>7</v>
      </c>
      <c r="I96" s="16" t="s">
        <v>27</v>
      </c>
      <c r="J96" s="16">
        <v>6293828</v>
      </c>
      <c r="K96" s="17">
        <v>7340</v>
      </c>
      <c r="L96" s="18">
        <v>45498</v>
      </c>
      <c r="M96" s="19" t="s">
        <v>39</v>
      </c>
      <c r="N96" s="20" t="s">
        <v>18</v>
      </c>
      <c r="O96" s="20">
        <v>14</v>
      </c>
      <c r="P96" s="20"/>
      <c r="Q96" s="21">
        <v>45499</v>
      </c>
      <c r="R96" s="20">
        <v>501</v>
      </c>
      <c r="S96" s="22">
        <v>7357</v>
      </c>
      <c r="T96" s="23">
        <v>357</v>
      </c>
      <c r="V96" s="37">
        <f t="shared" si="14"/>
        <v>7357</v>
      </c>
      <c r="W96" s="28">
        <f t="shared" si="15"/>
        <v>0</v>
      </c>
      <c r="X96" s="45">
        <f t="shared" si="16"/>
        <v>17</v>
      </c>
      <c r="Y96" s="199">
        <f t="shared" si="17"/>
        <v>-93</v>
      </c>
      <c r="Z96" s="38">
        <f t="shared" si="18"/>
        <v>-110</v>
      </c>
      <c r="AA96" s="39">
        <f t="shared" si="19"/>
        <v>17</v>
      </c>
      <c r="AB96" s="58">
        <f t="shared" si="20"/>
        <v>-93</v>
      </c>
      <c r="AE96" s="1"/>
      <c r="AF96" s="1"/>
    </row>
    <row r="97" spans="1:32" hidden="1" x14ac:dyDescent="0.2">
      <c r="A97" s="11" t="s">
        <v>28</v>
      </c>
      <c r="B97" s="12" t="s">
        <v>24</v>
      </c>
      <c r="C97" s="12" t="s">
        <v>178</v>
      </c>
      <c r="D97" s="12" t="s">
        <v>127</v>
      </c>
      <c r="E97" s="12">
        <v>6292116</v>
      </c>
      <c r="F97" s="13">
        <v>8500</v>
      </c>
      <c r="G97" s="14">
        <v>45497</v>
      </c>
      <c r="H97" s="15" t="s">
        <v>31</v>
      </c>
      <c r="I97" s="16" t="s">
        <v>121</v>
      </c>
      <c r="J97" s="16">
        <v>6293927</v>
      </c>
      <c r="K97" s="17">
        <v>8540</v>
      </c>
      <c r="L97" s="18">
        <v>45498</v>
      </c>
      <c r="M97" s="19" t="s">
        <v>17</v>
      </c>
      <c r="N97" s="20" t="s">
        <v>79</v>
      </c>
      <c r="O97" s="20"/>
      <c r="P97" s="20">
        <v>28</v>
      </c>
      <c r="Q97" s="21">
        <v>45498</v>
      </c>
      <c r="R97" s="20">
        <v>310</v>
      </c>
      <c r="S97" s="22">
        <v>8541</v>
      </c>
      <c r="T97" s="23">
        <v>1</v>
      </c>
      <c r="V97" s="37">
        <f t="shared" si="14"/>
        <v>8541</v>
      </c>
      <c r="W97" s="28">
        <f t="shared" si="15"/>
        <v>0</v>
      </c>
      <c r="X97" s="45">
        <f t="shared" si="16"/>
        <v>1</v>
      </c>
      <c r="Y97" s="199">
        <f t="shared" si="17"/>
        <v>41</v>
      </c>
      <c r="Z97" s="38">
        <f t="shared" si="18"/>
        <v>40</v>
      </c>
      <c r="AA97" s="39">
        <f t="shared" si="19"/>
        <v>1</v>
      </c>
      <c r="AB97" s="58">
        <f t="shared" si="20"/>
        <v>41</v>
      </c>
      <c r="AE97" s="1"/>
      <c r="AF97" s="1"/>
    </row>
    <row r="98" spans="1:32" hidden="1" x14ac:dyDescent="0.2">
      <c r="A98" s="11" t="s">
        <v>5</v>
      </c>
      <c r="B98" s="12" t="s">
        <v>24</v>
      </c>
      <c r="C98" s="12" t="s">
        <v>179</v>
      </c>
      <c r="D98" s="12" t="s">
        <v>62</v>
      </c>
      <c r="E98" s="12">
        <v>6291702</v>
      </c>
      <c r="F98" s="13">
        <v>7750</v>
      </c>
      <c r="G98" s="14">
        <v>45496</v>
      </c>
      <c r="H98" s="15" t="s">
        <v>7</v>
      </c>
      <c r="I98" s="16" t="s">
        <v>8</v>
      </c>
      <c r="J98" s="16">
        <v>6293642</v>
      </c>
      <c r="K98" s="17">
        <v>7760</v>
      </c>
      <c r="L98" s="18">
        <v>45498</v>
      </c>
      <c r="M98" s="19" t="s">
        <v>39</v>
      </c>
      <c r="N98" s="20" t="s">
        <v>41</v>
      </c>
      <c r="O98" s="20">
        <v>15</v>
      </c>
      <c r="P98" s="20"/>
      <c r="Q98" s="21">
        <v>45498</v>
      </c>
      <c r="R98" s="20">
        <v>501</v>
      </c>
      <c r="S98" s="22">
        <v>7776</v>
      </c>
      <c r="T98" s="23">
        <v>270</v>
      </c>
      <c r="V98" s="37">
        <f t="shared" si="14"/>
        <v>7770</v>
      </c>
      <c r="W98" s="28">
        <f t="shared" si="15"/>
        <v>-6</v>
      </c>
      <c r="X98" s="45">
        <f t="shared" si="16"/>
        <v>10</v>
      </c>
      <c r="Y98" s="199">
        <f t="shared" si="17"/>
        <v>20</v>
      </c>
      <c r="Z98" s="38">
        <f t="shared" si="18"/>
        <v>10</v>
      </c>
      <c r="AA98" s="39">
        <f t="shared" si="19"/>
        <v>16</v>
      </c>
      <c r="AB98" s="58">
        <f t="shared" si="20"/>
        <v>26</v>
      </c>
      <c r="AE98" s="1"/>
      <c r="AF98" s="1"/>
    </row>
    <row r="99" spans="1:32" hidden="1" x14ac:dyDescent="0.2">
      <c r="A99" s="11" t="s">
        <v>5</v>
      </c>
      <c r="B99" s="12" t="s">
        <v>19</v>
      </c>
      <c r="C99" s="12" t="s">
        <v>185</v>
      </c>
      <c r="D99" s="12" t="s">
        <v>62</v>
      </c>
      <c r="E99" s="12">
        <v>6294987</v>
      </c>
      <c r="F99" s="13">
        <v>3650</v>
      </c>
      <c r="G99" s="14">
        <v>45499</v>
      </c>
      <c r="H99" s="15" t="s">
        <v>7</v>
      </c>
      <c r="I99" s="16" t="s">
        <v>8</v>
      </c>
      <c r="J99" s="16">
        <v>6295647</v>
      </c>
      <c r="K99" s="17">
        <v>3645</v>
      </c>
      <c r="L99" s="18">
        <v>45500</v>
      </c>
      <c r="M99" s="19" t="s">
        <v>35</v>
      </c>
      <c r="N99" s="20" t="s">
        <v>115</v>
      </c>
      <c r="O99" s="20">
        <v>4</v>
      </c>
      <c r="P99" s="20"/>
      <c r="Q99" s="21">
        <v>45500</v>
      </c>
      <c r="R99" s="20">
        <v>500</v>
      </c>
      <c r="S99" s="22">
        <v>2988</v>
      </c>
      <c r="T99" s="23">
        <v>36</v>
      </c>
      <c r="V99" s="37">
        <f t="shared" si="14"/>
        <v>2036</v>
      </c>
      <c r="W99" s="28">
        <f t="shared" si="15"/>
        <v>-952</v>
      </c>
      <c r="X99" s="45">
        <f t="shared" si="16"/>
        <v>-1609</v>
      </c>
      <c r="Y99" s="199">
        <f t="shared" si="17"/>
        <v>-1614</v>
      </c>
      <c r="Z99" s="38">
        <f t="shared" si="18"/>
        <v>-5</v>
      </c>
      <c r="AA99" s="39">
        <f t="shared" si="19"/>
        <v>-657</v>
      </c>
      <c r="AB99" s="58">
        <f t="shared" si="20"/>
        <v>-662</v>
      </c>
      <c r="AE99" s="1"/>
      <c r="AF99" s="1"/>
    </row>
    <row r="100" spans="1:32" hidden="1" x14ac:dyDescent="0.2">
      <c r="A100" s="11" t="s">
        <v>5</v>
      </c>
      <c r="B100" s="12" t="s">
        <v>19</v>
      </c>
      <c r="C100" s="12" t="s">
        <v>194</v>
      </c>
      <c r="D100" s="12" t="s">
        <v>46</v>
      </c>
      <c r="E100" s="12">
        <v>6291462</v>
      </c>
      <c r="F100" s="13">
        <v>7590</v>
      </c>
      <c r="G100" s="14">
        <v>45496</v>
      </c>
      <c r="H100" s="15" t="s">
        <v>7</v>
      </c>
      <c r="I100" s="16" t="s">
        <v>63</v>
      </c>
      <c r="J100" s="16">
        <v>6296128</v>
      </c>
      <c r="K100" s="17">
        <v>7603</v>
      </c>
      <c r="L100" s="18">
        <v>45500</v>
      </c>
      <c r="M100" s="19" t="s">
        <v>35</v>
      </c>
      <c r="N100" s="20" t="s">
        <v>36</v>
      </c>
      <c r="O100" s="20">
        <v>15</v>
      </c>
      <c r="P100" s="20"/>
      <c r="Q100" s="21">
        <v>45500</v>
      </c>
      <c r="R100" s="20">
        <v>500</v>
      </c>
      <c r="S100" s="22">
        <v>7541</v>
      </c>
      <c r="T100" s="23">
        <v>60</v>
      </c>
      <c r="V100" s="37">
        <f t="shared" si="14"/>
        <v>7560</v>
      </c>
      <c r="W100" s="28">
        <f t="shared" si="15"/>
        <v>19</v>
      </c>
      <c r="X100" s="26">
        <f t="shared" si="16"/>
        <v>-43</v>
      </c>
      <c r="Y100" s="200">
        <f t="shared" si="17"/>
        <v>-30</v>
      </c>
      <c r="Z100" s="38">
        <f t="shared" si="18"/>
        <v>13</v>
      </c>
      <c r="AA100" s="39">
        <f t="shared" si="19"/>
        <v>-62</v>
      </c>
      <c r="AB100" s="58">
        <f t="shared" si="20"/>
        <v>-49</v>
      </c>
      <c r="AE100" s="1"/>
      <c r="AF100" s="1"/>
    </row>
    <row r="101" spans="1:32" hidden="1" x14ac:dyDescent="0.2">
      <c r="A101" s="11" t="s">
        <v>5</v>
      </c>
      <c r="B101" s="12" t="s">
        <v>19</v>
      </c>
      <c r="C101" s="12" t="s">
        <v>186</v>
      </c>
      <c r="D101" s="12" t="s">
        <v>62</v>
      </c>
      <c r="E101" s="12">
        <v>6294932</v>
      </c>
      <c r="F101" s="13">
        <v>1820</v>
      </c>
      <c r="G101" s="14">
        <v>45499</v>
      </c>
      <c r="H101" s="15" t="s">
        <v>7</v>
      </c>
      <c r="I101" s="16" t="s">
        <v>27</v>
      </c>
      <c r="J101" s="16">
        <v>6295010</v>
      </c>
      <c r="K101" s="17">
        <v>1830</v>
      </c>
      <c r="L101" s="18">
        <v>45499</v>
      </c>
      <c r="M101" s="19" t="s">
        <v>39</v>
      </c>
      <c r="N101" s="20" t="s">
        <v>25</v>
      </c>
      <c r="O101" s="20">
        <v>3</v>
      </c>
      <c r="P101" s="20"/>
      <c r="Q101" s="21">
        <v>45499</v>
      </c>
      <c r="R101" s="20">
        <v>500</v>
      </c>
      <c r="S101" s="22">
        <v>1800</v>
      </c>
      <c r="T101" s="23">
        <v>300</v>
      </c>
      <c r="V101" s="37">
        <f t="shared" si="14"/>
        <v>1800</v>
      </c>
      <c r="W101" s="28">
        <f t="shared" si="15"/>
        <v>0</v>
      </c>
      <c r="X101" s="26">
        <f t="shared" si="16"/>
        <v>-30</v>
      </c>
      <c r="Y101" s="200">
        <f t="shared" si="17"/>
        <v>-20</v>
      </c>
      <c r="Z101" s="38">
        <f t="shared" si="18"/>
        <v>10</v>
      </c>
      <c r="AA101" s="39">
        <f t="shared" si="19"/>
        <v>-30</v>
      </c>
      <c r="AB101" s="58">
        <f t="shared" si="20"/>
        <v>-20</v>
      </c>
      <c r="AE101" s="1"/>
      <c r="AF101" s="1"/>
    </row>
    <row r="102" spans="1:32" hidden="1" x14ac:dyDescent="0.2">
      <c r="A102" s="11" t="s">
        <v>5</v>
      </c>
      <c r="B102" s="12" t="s">
        <v>19</v>
      </c>
      <c r="C102" s="12" t="s">
        <v>187</v>
      </c>
      <c r="D102" s="12" t="s">
        <v>62</v>
      </c>
      <c r="E102" s="12">
        <v>6295026</v>
      </c>
      <c r="F102" s="13">
        <v>8025</v>
      </c>
      <c r="G102" s="14">
        <v>45499</v>
      </c>
      <c r="H102" s="15" t="s">
        <v>7</v>
      </c>
      <c r="I102" s="16" t="s">
        <v>16</v>
      </c>
      <c r="J102" s="16">
        <v>6295266</v>
      </c>
      <c r="K102" s="17">
        <v>8020</v>
      </c>
      <c r="L102" s="18">
        <v>45500</v>
      </c>
      <c r="M102" s="19" t="s">
        <v>39</v>
      </c>
      <c r="N102" s="20" t="s">
        <v>18</v>
      </c>
      <c r="O102" s="20">
        <v>15</v>
      </c>
      <c r="P102" s="20"/>
      <c r="Q102" s="21">
        <v>45500</v>
      </c>
      <c r="R102" s="20">
        <v>55</v>
      </c>
      <c r="S102" s="22">
        <v>8035</v>
      </c>
      <c r="T102" s="23">
        <v>425</v>
      </c>
      <c r="V102" s="37">
        <f t="shared" si="14"/>
        <v>7980</v>
      </c>
      <c r="W102" s="24">
        <f t="shared" si="15"/>
        <v>-55</v>
      </c>
      <c r="X102" s="27">
        <f t="shared" si="16"/>
        <v>-40</v>
      </c>
      <c r="Y102" s="200">
        <f t="shared" si="17"/>
        <v>-45</v>
      </c>
      <c r="Z102" s="38">
        <f t="shared" si="18"/>
        <v>-5</v>
      </c>
      <c r="AA102" s="39">
        <f t="shared" si="19"/>
        <v>15</v>
      </c>
      <c r="AB102" s="58">
        <f t="shared" si="20"/>
        <v>10</v>
      </c>
      <c r="AE102" s="1"/>
      <c r="AF102" s="1"/>
    </row>
    <row r="103" spans="1:32" hidden="1" x14ac:dyDescent="0.2">
      <c r="A103" s="11" t="s">
        <v>5</v>
      </c>
      <c r="B103" s="12" t="s">
        <v>19</v>
      </c>
      <c r="C103" s="12" t="s">
        <v>188</v>
      </c>
      <c r="D103" s="12" t="s">
        <v>62</v>
      </c>
      <c r="E103" s="12">
        <v>6294989</v>
      </c>
      <c r="F103" s="13">
        <v>1900</v>
      </c>
      <c r="G103" s="14">
        <v>45499</v>
      </c>
      <c r="H103" s="15" t="s">
        <v>7</v>
      </c>
      <c r="I103" s="16" t="s">
        <v>8</v>
      </c>
      <c r="J103" s="16">
        <v>6295873</v>
      </c>
      <c r="K103" s="17">
        <v>1905</v>
      </c>
      <c r="L103" s="18">
        <v>45500</v>
      </c>
      <c r="M103" s="19" t="s">
        <v>39</v>
      </c>
      <c r="N103" s="20" t="s">
        <v>25</v>
      </c>
      <c r="O103" s="20">
        <v>3</v>
      </c>
      <c r="P103" s="20"/>
      <c r="Q103" s="21">
        <v>45500</v>
      </c>
      <c r="R103" s="20">
        <v>500</v>
      </c>
      <c r="S103" s="22">
        <v>1908</v>
      </c>
      <c r="T103" s="23">
        <v>385</v>
      </c>
      <c r="V103" s="37">
        <f t="shared" si="14"/>
        <v>1885</v>
      </c>
      <c r="W103" s="24">
        <f t="shared" si="15"/>
        <v>-23</v>
      </c>
      <c r="X103" s="45">
        <f t="shared" si="16"/>
        <v>-20</v>
      </c>
      <c r="Y103" s="25">
        <f t="shared" si="17"/>
        <v>-15</v>
      </c>
      <c r="Z103" s="38">
        <f t="shared" si="18"/>
        <v>5</v>
      </c>
      <c r="AA103" s="39">
        <f t="shared" si="19"/>
        <v>3</v>
      </c>
      <c r="AB103" s="58">
        <f t="shared" si="20"/>
        <v>8</v>
      </c>
      <c r="AE103" s="1"/>
      <c r="AF103" s="1"/>
    </row>
    <row r="104" spans="1:32" hidden="1" x14ac:dyDescent="0.2">
      <c r="A104" s="11" t="s">
        <v>5</v>
      </c>
      <c r="B104" s="12" t="s">
        <v>24</v>
      </c>
      <c r="C104" s="12" t="s">
        <v>193</v>
      </c>
      <c r="D104" s="12" t="s">
        <v>65</v>
      </c>
      <c r="E104" s="12">
        <v>6295743</v>
      </c>
      <c r="F104" s="13">
        <v>7780</v>
      </c>
      <c r="G104" s="14">
        <v>45500</v>
      </c>
      <c r="H104" s="15" t="s">
        <v>7</v>
      </c>
      <c r="I104" s="16" t="s">
        <v>8</v>
      </c>
      <c r="J104" s="16">
        <v>6295944</v>
      </c>
      <c r="K104" s="17">
        <v>7785</v>
      </c>
      <c r="L104" s="18">
        <v>45500</v>
      </c>
      <c r="M104" s="19" t="s">
        <v>39</v>
      </c>
      <c r="N104" s="20" t="s">
        <v>25</v>
      </c>
      <c r="O104" s="20">
        <v>15</v>
      </c>
      <c r="P104" s="20"/>
      <c r="Q104" s="21">
        <v>45500</v>
      </c>
      <c r="R104" s="20">
        <v>55</v>
      </c>
      <c r="S104" s="22">
        <v>7806</v>
      </c>
      <c r="T104" s="23">
        <v>240</v>
      </c>
      <c r="V104" s="37">
        <f t="shared" si="14"/>
        <v>7795</v>
      </c>
      <c r="W104" s="46">
        <f t="shared" si="15"/>
        <v>-11</v>
      </c>
      <c r="X104" s="27">
        <f t="shared" si="16"/>
        <v>10</v>
      </c>
      <c r="Y104" s="199">
        <f t="shared" si="17"/>
        <v>15</v>
      </c>
      <c r="Z104" s="38">
        <f t="shared" si="18"/>
        <v>5</v>
      </c>
      <c r="AA104" s="39">
        <f t="shared" si="19"/>
        <v>21</v>
      </c>
      <c r="AB104" s="58">
        <f t="shared" si="20"/>
        <v>26</v>
      </c>
      <c r="AE104" s="1"/>
      <c r="AF104" s="1"/>
    </row>
    <row r="105" spans="1:32" hidden="1" x14ac:dyDescent="0.2">
      <c r="A105" s="11" t="s">
        <v>5</v>
      </c>
      <c r="B105" s="12" t="s">
        <v>21</v>
      </c>
      <c r="C105" s="12" t="s">
        <v>189</v>
      </c>
      <c r="D105" s="12" t="s">
        <v>6</v>
      </c>
      <c r="E105" s="12">
        <v>6295335</v>
      </c>
      <c r="F105" s="13">
        <v>7680</v>
      </c>
      <c r="G105" s="14">
        <v>45500</v>
      </c>
      <c r="H105" s="15" t="s">
        <v>7</v>
      </c>
      <c r="I105" s="16" t="s">
        <v>8</v>
      </c>
      <c r="J105" s="16">
        <v>6295609</v>
      </c>
      <c r="K105" s="17">
        <v>7670</v>
      </c>
      <c r="L105" s="18">
        <v>45500</v>
      </c>
      <c r="M105" s="19" t="s">
        <v>35</v>
      </c>
      <c r="N105" s="20" t="s">
        <v>115</v>
      </c>
      <c r="O105" s="20">
        <v>15</v>
      </c>
      <c r="P105" s="20"/>
      <c r="Q105" s="21">
        <v>45500</v>
      </c>
      <c r="R105" s="20">
        <v>500</v>
      </c>
      <c r="S105" s="22">
        <v>7650</v>
      </c>
      <c r="T105" s="23">
        <v>160</v>
      </c>
      <c r="V105" s="37">
        <f t="shared" si="14"/>
        <v>7660</v>
      </c>
      <c r="W105" s="28">
        <f t="shared" si="15"/>
        <v>10</v>
      </c>
      <c r="X105" s="45">
        <f t="shared" si="16"/>
        <v>-10</v>
      </c>
      <c r="Y105" s="199">
        <f t="shared" si="17"/>
        <v>-20</v>
      </c>
      <c r="Z105" s="38">
        <f t="shared" si="18"/>
        <v>-10</v>
      </c>
      <c r="AA105" s="39">
        <f t="shared" si="19"/>
        <v>-20</v>
      </c>
      <c r="AB105" s="58">
        <f t="shared" si="20"/>
        <v>-30</v>
      </c>
      <c r="AE105" s="1"/>
      <c r="AF105" s="1"/>
    </row>
    <row r="106" spans="1:32" hidden="1" x14ac:dyDescent="0.2">
      <c r="A106" s="11" t="s">
        <v>5</v>
      </c>
      <c r="B106" s="12" t="s">
        <v>21</v>
      </c>
      <c r="C106" s="12" t="s">
        <v>190</v>
      </c>
      <c r="D106" s="12" t="s">
        <v>6</v>
      </c>
      <c r="E106" s="12">
        <v>6295568</v>
      </c>
      <c r="F106" s="13">
        <v>7720</v>
      </c>
      <c r="G106" s="14">
        <v>45500</v>
      </c>
      <c r="H106" s="15" t="s">
        <v>7</v>
      </c>
      <c r="I106" s="16" t="s">
        <v>27</v>
      </c>
      <c r="J106" s="16">
        <v>6296018</v>
      </c>
      <c r="K106" s="17">
        <v>7600</v>
      </c>
      <c r="L106" s="18">
        <v>45500</v>
      </c>
      <c r="M106" s="19" t="s">
        <v>35</v>
      </c>
      <c r="N106" s="20" t="s">
        <v>36</v>
      </c>
      <c r="O106" s="20">
        <v>15</v>
      </c>
      <c r="P106" s="20"/>
      <c r="Q106" s="21">
        <v>45500</v>
      </c>
      <c r="R106" s="20">
        <v>500</v>
      </c>
      <c r="S106" s="22">
        <v>7683</v>
      </c>
      <c r="T106" s="23">
        <v>206</v>
      </c>
      <c r="V106" s="37">
        <f t="shared" si="14"/>
        <v>7706</v>
      </c>
      <c r="W106" s="46">
        <f t="shared" si="15"/>
        <v>23</v>
      </c>
      <c r="X106" s="26">
        <f t="shared" si="16"/>
        <v>106</v>
      </c>
      <c r="Y106" s="25">
        <f t="shared" si="17"/>
        <v>-14</v>
      </c>
      <c r="Z106" s="38">
        <f t="shared" si="18"/>
        <v>-120</v>
      </c>
      <c r="AA106" s="39">
        <f t="shared" si="19"/>
        <v>83</v>
      </c>
      <c r="AB106" s="58">
        <f t="shared" si="20"/>
        <v>-37</v>
      </c>
      <c r="AE106" s="1"/>
      <c r="AF106" s="1"/>
    </row>
    <row r="107" spans="1:32" hidden="1" x14ac:dyDescent="0.2">
      <c r="A107" s="11" t="s">
        <v>5</v>
      </c>
      <c r="B107" s="12" t="s">
        <v>21</v>
      </c>
      <c r="C107" s="12" t="s">
        <v>191</v>
      </c>
      <c r="D107" s="12" t="s">
        <v>62</v>
      </c>
      <c r="E107" s="12">
        <v>6295190</v>
      </c>
      <c r="F107" s="13">
        <v>7700</v>
      </c>
      <c r="G107" s="14">
        <v>45499</v>
      </c>
      <c r="H107" s="15" t="s">
        <v>7</v>
      </c>
      <c r="I107" s="16" t="s">
        <v>16</v>
      </c>
      <c r="J107" s="16">
        <v>6295374</v>
      </c>
      <c r="K107" s="17">
        <v>7690</v>
      </c>
      <c r="L107" s="18">
        <v>45500</v>
      </c>
      <c r="M107" s="19" t="s">
        <v>39</v>
      </c>
      <c r="N107" s="20" t="s">
        <v>18</v>
      </c>
      <c r="O107" s="20">
        <v>15</v>
      </c>
      <c r="P107" s="20"/>
      <c r="Q107" s="21">
        <v>45500</v>
      </c>
      <c r="R107" s="20">
        <v>500</v>
      </c>
      <c r="S107" s="22">
        <v>7705</v>
      </c>
      <c r="T107" s="23">
        <v>198</v>
      </c>
      <c r="V107" s="37">
        <f t="shared" si="14"/>
        <v>7698</v>
      </c>
      <c r="W107" s="46">
        <f t="shared" si="15"/>
        <v>-7</v>
      </c>
      <c r="X107" s="26">
        <f t="shared" si="16"/>
        <v>8</v>
      </c>
      <c r="Y107" s="25">
        <f t="shared" si="17"/>
        <v>-2</v>
      </c>
      <c r="Z107" s="38">
        <f t="shared" si="18"/>
        <v>-10</v>
      </c>
      <c r="AA107" s="39">
        <f t="shared" si="19"/>
        <v>15</v>
      </c>
      <c r="AB107" s="58">
        <f t="shared" si="20"/>
        <v>5</v>
      </c>
      <c r="AE107" s="1"/>
      <c r="AF107" s="1"/>
    </row>
    <row r="108" spans="1:32" hidden="1" x14ac:dyDescent="0.2">
      <c r="A108" s="11" t="s">
        <v>5</v>
      </c>
      <c r="B108" s="12" t="s">
        <v>21</v>
      </c>
      <c r="C108" s="12" t="s">
        <v>192</v>
      </c>
      <c r="D108" s="12" t="s">
        <v>62</v>
      </c>
      <c r="E108" s="12">
        <v>6295043</v>
      </c>
      <c r="F108" s="13">
        <v>7840</v>
      </c>
      <c r="G108" s="14">
        <v>45499</v>
      </c>
      <c r="H108" s="15" t="s">
        <v>7</v>
      </c>
      <c r="I108" s="16" t="s">
        <v>27</v>
      </c>
      <c r="J108" s="16">
        <v>6295208</v>
      </c>
      <c r="K108" s="17">
        <v>7720</v>
      </c>
      <c r="L108" s="18">
        <v>45499</v>
      </c>
      <c r="M108" s="19" t="s">
        <v>35</v>
      </c>
      <c r="N108" s="20" t="s">
        <v>74</v>
      </c>
      <c r="O108" s="20">
        <v>15</v>
      </c>
      <c r="P108" s="20"/>
      <c r="Q108" s="21">
        <v>45499</v>
      </c>
      <c r="R108" s="20">
        <v>55</v>
      </c>
      <c r="S108" s="22">
        <v>7555</v>
      </c>
      <c r="T108" s="23">
        <v>205</v>
      </c>
      <c r="V108" s="37">
        <f t="shared" si="14"/>
        <v>7760</v>
      </c>
      <c r="W108" s="24">
        <f t="shared" si="15"/>
        <v>205</v>
      </c>
      <c r="X108" s="27">
        <f t="shared" si="16"/>
        <v>40</v>
      </c>
      <c r="Y108" s="200">
        <f t="shared" si="17"/>
        <v>-80</v>
      </c>
      <c r="Z108" s="38">
        <f t="shared" si="18"/>
        <v>-120</v>
      </c>
      <c r="AA108" s="39">
        <f t="shared" si="19"/>
        <v>-165</v>
      </c>
      <c r="AB108" s="58">
        <f t="shared" si="20"/>
        <v>-285</v>
      </c>
      <c r="AE108" s="1"/>
      <c r="AF108" s="1"/>
    </row>
    <row r="109" spans="1:32" hidden="1" x14ac:dyDescent="0.2">
      <c r="A109" s="11" t="s">
        <v>5</v>
      </c>
      <c r="B109" s="12" t="s">
        <v>19</v>
      </c>
      <c r="C109" s="12" t="s">
        <v>198</v>
      </c>
      <c r="D109" s="12" t="s">
        <v>62</v>
      </c>
      <c r="E109" s="12">
        <v>6296127</v>
      </c>
      <c r="F109" s="13">
        <v>1800</v>
      </c>
      <c r="G109" s="14">
        <v>45499</v>
      </c>
      <c r="H109" s="15" t="s">
        <v>7</v>
      </c>
      <c r="I109" s="16" t="s">
        <v>66</v>
      </c>
      <c r="J109" s="16">
        <v>6296566</v>
      </c>
      <c r="K109" s="17">
        <v>1775</v>
      </c>
      <c r="L109" s="18">
        <v>45502</v>
      </c>
      <c r="M109" s="19" t="s">
        <v>35</v>
      </c>
      <c r="N109" s="20" t="s">
        <v>115</v>
      </c>
      <c r="O109" s="20">
        <v>3</v>
      </c>
      <c r="P109" s="20"/>
      <c r="Q109" s="21">
        <v>45502</v>
      </c>
      <c r="R109" s="20">
        <v>500</v>
      </c>
      <c r="S109" s="22">
        <v>1760</v>
      </c>
      <c r="T109" s="23">
        <v>250</v>
      </c>
      <c r="V109" s="37">
        <f t="shared" si="14"/>
        <v>1750</v>
      </c>
      <c r="W109" s="28">
        <f t="shared" si="15"/>
        <v>-10</v>
      </c>
      <c r="X109" s="45">
        <f t="shared" si="16"/>
        <v>-25</v>
      </c>
      <c r="Y109" s="199">
        <f t="shared" si="17"/>
        <v>-50</v>
      </c>
      <c r="Z109" s="38">
        <f t="shared" si="18"/>
        <v>-25</v>
      </c>
      <c r="AA109" s="39">
        <f t="shared" si="19"/>
        <v>-15</v>
      </c>
      <c r="AB109" s="58">
        <f t="shared" si="20"/>
        <v>-40</v>
      </c>
      <c r="AE109" s="1"/>
      <c r="AF109" s="1"/>
    </row>
    <row r="110" spans="1:32" hidden="1" x14ac:dyDescent="0.2">
      <c r="A110" s="11" t="s">
        <v>5</v>
      </c>
      <c r="B110" s="12" t="s">
        <v>21</v>
      </c>
      <c r="C110" s="12" t="s">
        <v>199</v>
      </c>
      <c r="D110" s="12" t="s">
        <v>127</v>
      </c>
      <c r="E110" s="12">
        <v>6297431</v>
      </c>
      <c r="F110" s="13">
        <v>7780</v>
      </c>
      <c r="G110" s="14">
        <v>45502</v>
      </c>
      <c r="H110" s="15" t="s">
        <v>7</v>
      </c>
      <c r="I110" s="16" t="s">
        <v>66</v>
      </c>
      <c r="J110" s="16">
        <v>6297686</v>
      </c>
      <c r="K110" s="17">
        <v>7750</v>
      </c>
      <c r="L110" s="18">
        <v>45503</v>
      </c>
      <c r="M110" s="19" t="s">
        <v>35</v>
      </c>
      <c r="N110" s="20" t="s">
        <v>79</v>
      </c>
      <c r="O110" s="20">
        <v>15</v>
      </c>
      <c r="P110" s="20"/>
      <c r="Q110" s="21">
        <v>45503</v>
      </c>
      <c r="R110" s="20">
        <v>55</v>
      </c>
      <c r="S110" s="22">
        <v>7700</v>
      </c>
      <c r="T110" s="23">
        <v>80</v>
      </c>
      <c r="V110" s="37">
        <f t="shared" si="14"/>
        <v>7635</v>
      </c>
      <c r="W110" s="28">
        <f t="shared" si="15"/>
        <v>-65</v>
      </c>
      <c r="X110" s="45">
        <f t="shared" si="16"/>
        <v>-115</v>
      </c>
      <c r="Y110" s="199">
        <f t="shared" si="17"/>
        <v>-145</v>
      </c>
      <c r="Z110" s="38">
        <f t="shared" si="18"/>
        <v>-30</v>
      </c>
      <c r="AA110" s="39">
        <f t="shared" si="19"/>
        <v>-50</v>
      </c>
      <c r="AB110" s="58">
        <f t="shared" si="20"/>
        <v>-80</v>
      </c>
      <c r="AE110" s="1"/>
      <c r="AF110" s="1"/>
    </row>
    <row r="111" spans="1:32" hidden="1" x14ac:dyDescent="0.2">
      <c r="A111" s="11" t="s">
        <v>5</v>
      </c>
      <c r="B111" s="12" t="s">
        <v>21</v>
      </c>
      <c r="C111" s="12" t="s">
        <v>200</v>
      </c>
      <c r="D111" s="12" t="s">
        <v>15</v>
      </c>
      <c r="E111" s="12">
        <v>6297769</v>
      </c>
      <c r="F111" s="13">
        <v>7780</v>
      </c>
      <c r="G111" s="14">
        <v>45503</v>
      </c>
      <c r="H111" s="15" t="s">
        <v>7</v>
      </c>
      <c r="I111" s="16" t="s">
        <v>63</v>
      </c>
      <c r="J111" s="16">
        <v>6298481</v>
      </c>
      <c r="K111" s="17">
        <v>7718</v>
      </c>
      <c r="L111" s="18">
        <v>45503</v>
      </c>
      <c r="M111" s="19" t="s">
        <v>39</v>
      </c>
      <c r="N111" s="20" t="s">
        <v>25</v>
      </c>
      <c r="O111" s="20">
        <v>15</v>
      </c>
      <c r="P111" s="20"/>
      <c r="Q111" s="21">
        <v>45503</v>
      </c>
      <c r="R111" s="20">
        <v>55</v>
      </c>
      <c r="S111" s="22">
        <v>7724</v>
      </c>
      <c r="T111" s="23">
        <v>150</v>
      </c>
      <c r="V111" s="37">
        <f t="shared" si="14"/>
        <v>7705</v>
      </c>
      <c r="W111" s="46">
        <f t="shared" si="15"/>
        <v>-19</v>
      </c>
      <c r="X111" s="27">
        <f t="shared" si="16"/>
        <v>-13</v>
      </c>
      <c r="Y111" s="199">
        <f t="shared" si="17"/>
        <v>-75</v>
      </c>
      <c r="Z111" s="38">
        <f t="shared" si="18"/>
        <v>-62</v>
      </c>
      <c r="AA111" s="39">
        <f t="shared" si="19"/>
        <v>6</v>
      </c>
      <c r="AB111" s="58">
        <f t="shared" si="20"/>
        <v>-56</v>
      </c>
      <c r="AE111" s="1"/>
      <c r="AF111" s="1"/>
    </row>
    <row r="112" spans="1:32" hidden="1" x14ac:dyDescent="0.2">
      <c r="A112" s="11" t="s">
        <v>5</v>
      </c>
      <c r="B112" s="12" t="s">
        <v>21</v>
      </c>
      <c r="C112" s="12" t="s">
        <v>201</v>
      </c>
      <c r="D112" s="12" t="s">
        <v>127</v>
      </c>
      <c r="E112" s="12">
        <v>6297431</v>
      </c>
      <c r="F112" s="13">
        <v>7780</v>
      </c>
      <c r="G112" s="14">
        <v>45502</v>
      </c>
      <c r="H112" s="15" t="s">
        <v>7</v>
      </c>
      <c r="I112" s="16" t="s">
        <v>66</v>
      </c>
      <c r="J112" s="16">
        <v>6297686</v>
      </c>
      <c r="K112" s="17">
        <v>7750</v>
      </c>
      <c r="L112" s="18">
        <v>45503</v>
      </c>
      <c r="M112" s="19" t="s">
        <v>35</v>
      </c>
      <c r="N112" s="20" t="s">
        <v>79</v>
      </c>
      <c r="O112" s="20">
        <v>15</v>
      </c>
      <c r="P112" s="20"/>
      <c r="Q112" s="21">
        <v>45503</v>
      </c>
      <c r="R112" s="20">
        <v>55</v>
      </c>
      <c r="S112" s="22">
        <v>7700</v>
      </c>
      <c r="T112" s="23">
        <v>154</v>
      </c>
      <c r="V112" s="37">
        <f t="shared" si="14"/>
        <v>7709</v>
      </c>
      <c r="W112" s="28">
        <f t="shared" si="15"/>
        <v>9</v>
      </c>
      <c r="X112" s="45">
        <f t="shared" si="16"/>
        <v>-41</v>
      </c>
      <c r="Y112" s="199">
        <f t="shared" si="17"/>
        <v>-71</v>
      </c>
      <c r="Z112" s="38">
        <f t="shared" si="18"/>
        <v>-30</v>
      </c>
      <c r="AA112" s="39">
        <f t="shared" si="19"/>
        <v>-50</v>
      </c>
      <c r="AB112" s="58">
        <f t="shared" si="20"/>
        <v>-80</v>
      </c>
      <c r="AE112" s="1"/>
      <c r="AF112" s="1"/>
    </row>
    <row r="113" spans="1:32" hidden="1" x14ac:dyDescent="0.2">
      <c r="A113" s="11" t="s">
        <v>5</v>
      </c>
      <c r="B113" s="12" t="s">
        <v>21</v>
      </c>
      <c r="C113" s="12" t="s">
        <v>202</v>
      </c>
      <c r="D113" s="12" t="s">
        <v>62</v>
      </c>
      <c r="E113" s="12">
        <v>6298216</v>
      </c>
      <c r="F113" s="13">
        <v>7780</v>
      </c>
      <c r="G113" s="14">
        <v>45503</v>
      </c>
      <c r="H113" s="15" t="s">
        <v>7</v>
      </c>
      <c r="I113" s="16" t="s">
        <v>32</v>
      </c>
      <c r="J113" s="16">
        <v>6298991</v>
      </c>
      <c r="K113" s="17">
        <v>7720</v>
      </c>
      <c r="L113" s="18">
        <v>45503</v>
      </c>
      <c r="M113" s="19" t="s">
        <v>35</v>
      </c>
      <c r="N113" s="20" t="s">
        <v>74</v>
      </c>
      <c r="O113" s="20">
        <v>15</v>
      </c>
      <c r="P113" s="20"/>
      <c r="Q113" s="21">
        <v>45503</v>
      </c>
      <c r="R113" s="20">
        <v>55</v>
      </c>
      <c r="S113" s="22">
        <v>7655</v>
      </c>
      <c r="T113" s="23">
        <v>160</v>
      </c>
      <c r="V113" s="37">
        <f t="shared" si="14"/>
        <v>7715</v>
      </c>
      <c r="W113" s="46">
        <f t="shared" si="15"/>
        <v>60</v>
      </c>
      <c r="X113" s="27">
        <f t="shared" si="16"/>
        <v>-5</v>
      </c>
      <c r="Y113" s="199">
        <f t="shared" si="17"/>
        <v>-65</v>
      </c>
      <c r="Z113" s="38">
        <f t="shared" si="18"/>
        <v>-60</v>
      </c>
      <c r="AA113" s="39">
        <f t="shared" si="19"/>
        <v>-65</v>
      </c>
      <c r="AB113" s="58">
        <f t="shared" si="20"/>
        <v>-125</v>
      </c>
      <c r="AE113" s="1"/>
      <c r="AF113" s="1"/>
    </row>
    <row r="114" spans="1:32" hidden="1" x14ac:dyDescent="0.2">
      <c r="A114" s="11" t="s">
        <v>5</v>
      </c>
      <c r="B114" s="12" t="s">
        <v>21</v>
      </c>
      <c r="C114" s="12" t="s">
        <v>210</v>
      </c>
      <c r="D114" s="12" t="s">
        <v>15</v>
      </c>
      <c r="E114" s="12">
        <v>6297845</v>
      </c>
      <c r="F114" s="13">
        <v>7780</v>
      </c>
      <c r="G114" s="14">
        <v>45503</v>
      </c>
      <c r="H114" s="15" t="s">
        <v>7</v>
      </c>
      <c r="I114" s="16" t="s">
        <v>66</v>
      </c>
      <c r="J114" s="16">
        <v>6299910</v>
      </c>
      <c r="K114" s="17">
        <v>7670</v>
      </c>
      <c r="L114" s="18">
        <v>45504</v>
      </c>
      <c r="M114" s="19" t="s">
        <v>39</v>
      </c>
      <c r="N114" s="20" t="s">
        <v>25</v>
      </c>
      <c r="O114" s="20">
        <v>15</v>
      </c>
      <c r="P114" s="20"/>
      <c r="Q114" s="21">
        <v>45504</v>
      </c>
      <c r="R114" s="20">
        <v>500</v>
      </c>
      <c r="S114" s="22">
        <v>7680</v>
      </c>
      <c r="T114" s="23">
        <v>235</v>
      </c>
      <c r="V114" s="37">
        <f t="shared" si="14"/>
        <v>7735</v>
      </c>
      <c r="W114" s="46">
        <f t="shared" si="15"/>
        <v>55</v>
      </c>
      <c r="X114" s="26">
        <f t="shared" si="16"/>
        <v>65</v>
      </c>
      <c r="Y114" s="25">
        <f t="shared" si="17"/>
        <v>-45</v>
      </c>
      <c r="Z114" s="38">
        <f t="shared" si="18"/>
        <v>-110</v>
      </c>
      <c r="AA114" s="39">
        <f t="shared" si="19"/>
        <v>10</v>
      </c>
      <c r="AB114" s="58">
        <f t="shared" si="20"/>
        <v>-100</v>
      </c>
      <c r="AE114" s="1"/>
      <c r="AF114" s="1"/>
    </row>
    <row r="115" spans="1:32" hidden="1" x14ac:dyDescent="0.2">
      <c r="A115" s="11" t="s">
        <v>5</v>
      </c>
      <c r="B115" s="12" t="s">
        <v>21</v>
      </c>
      <c r="C115" s="12" t="s">
        <v>211</v>
      </c>
      <c r="D115" s="12" t="s">
        <v>62</v>
      </c>
      <c r="E115" s="12">
        <v>6298520</v>
      </c>
      <c r="F115" s="13">
        <v>7840</v>
      </c>
      <c r="G115" s="14">
        <v>45503</v>
      </c>
      <c r="H115" s="15" t="s">
        <v>7</v>
      </c>
      <c r="I115" s="16" t="s">
        <v>32</v>
      </c>
      <c r="J115" s="16">
        <v>6299264</v>
      </c>
      <c r="K115" s="17">
        <v>7750</v>
      </c>
      <c r="L115" s="18">
        <v>45503</v>
      </c>
      <c r="M115" s="19" t="s">
        <v>39</v>
      </c>
      <c r="N115" s="20" t="s">
        <v>18</v>
      </c>
      <c r="O115" s="20">
        <v>15</v>
      </c>
      <c r="P115" s="20"/>
      <c r="Q115" s="21">
        <v>45503</v>
      </c>
      <c r="R115" s="20">
        <v>500</v>
      </c>
      <c r="S115" s="22">
        <v>7781</v>
      </c>
      <c r="T115" s="23">
        <v>304</v>
      </c>
      <c r="V115" s="37">
        <f t="shared" si="14"/>
        <v>7804</v>
      </c>
      <c r="W115" s="28">
        <f t="shared" si="15"/>
        <v>23</v>
      </c>
      <c r="X115" s="26">
        <f t="shared" si="16"/>
        <v>54</v>
      </c>
      <c r="Y115" s="200">
        <f t="shared" si="17"/>
        <v>-36</v>
      </c>
      <c r="Z115" s="38">
        <f t="shared" si="18"/>
        <v>-90</v>
      </c>
      <c r="AA115" s="39">
        <f t="shared" si="19"/>
        <v>31</v>
      </c>
      <c r="AB115" s="58">
        <f t="shared" si="20"/>
        <v>-59</v>
      </c>
      <c r="AE115" s="1"/>
      <c r="AF115" s="1"/>
    </row>
    <row r="116" spans="1:32" hidden="1" x14ac:dyDescent="0.2">
      <c r="A116" s="11" t="s">
        <v>5</v>
      </c>
      <c r="B116" s="12" t="s">
        <v>21</v>
      </c>
      <c r="C116" s="12" t="s">
        <v>212</v>
      </c>
      <c r="D116" s="12" t="s">
        <v>30</v>
      </c>
      <c r="E116" s="12">
        <v>6298893</v>
      </c>
      <c r="F116" s="13">
        <v>7850</v>
      </c>
      <c r="G116" s="14">
        <v>45503</v>
      </c>
      <c r="H116" s="15" t="s">
        <v>7</v>
      </c>
      <c r="I116" s="16" t="s">
        <v>66</v>
      </c>
      <c r="J116" s="16">
        <v>6299168</v>
      </c>
      <c r="K116" s="17">
        <v>7750</v>
      </c>
      <c r="L116" s="18">
        <v>45504</v>
      </c>
      <c r="M116" s="19" t="s">
        <v>39</v>
      </c>
      <c r="N116" s="20" t="s">
        <v>51</v>
      </c>
      <c r="O116" s="20">
        <v>15</v>
      </c>
      <c r="P116" s="20"/>
      <c r="Q116" s="21">
        <v>45504</v>
      </c>
      <c r="R116" s="20">
        <v>500</v>
      </c>
      <c r="S116" s="22">
        <v>7768</v>
      </c>
      <c r="T116" s="23">
        <v>306</v>
      </c>
      <c r="V116" s="37">
        <f t="shared" si="14"/>
        <v>7806</v>
      </c>
      <c r="W116" s="28">
        <f t="shared" si="15"/>
        <v>38</v>
      </c>
      <c r="X116" s="26">
        <f t="shared" si="16"/>
        <v>56</v>
      </c>
      <c r="Y116" s="200">
        <f t="shared" si="17"/>
        <v>-44</v>
      </c>
      <c r="Z116" s="38">
        <f t="shared" si="18"/>
        <v>-100</v>
      </c>
      <c r="AA116" s="39">
        <f t="shared" si="19"/>
        <v>18</v>
      </c>
      <c r="AB116" s="58">
        <f t="shared" si="20"/>
        <v>-82</v>
      </c>
      <c r="AE116" s="1"/>
      <c r="AF116" s="1"/>
    </row>
    <row r="117" spans="1:32" hidden="1" x14ac:dyDescent="0.2">
      <c r="A117" s="11" t="s">
        <v>5</v>
      </c>
      <c r="B117" s="12" t="s">
        <v>21</v>
      </c>
      <c r="C117" s="12" t="s">
        <v>213</v>
      </c>
      <c r="D117" s="12" t="s">
        <v>30</v>
      </c>
      <c r="E117" s="12">
        <v>6298704</v>
      </c>
      <c r="F117" s="13">
        <v>7780</v>
      </c>
      <c r="G117" s="14">
        <v>45503</v>
      </c>
      <c r="H117" s="15" t="s">
        <v>7</v>
      </c>
      <c r="I117" s="16" t="s">
        <v>32</v>
      </c>
      <c r="J117" s="16">
        <v>6299082</v>
      </c>
      <c r="K117" s="17">
        <v>7720</v>
      </c>
      <c r="L117" s="18">
        <v>45503</v>
      </c>
      <c r="M117" s="19" t="s">
        <v>39</v>
      </c>
      <c r="N117" s="20" t="s">
        <v>18</v>
      </c>
      <c r="O117" s="20">
        <v>15</v>
      </c>
      <c r="P117" s="20"/>
      <c r="Q117" s="21">
        <v>45503</v>
      </c>
      <c r="R117" s="20">
        <v>55</v>
      </c>
      <c r="S117" s="22">
        <v>7735</v>
      </c>
      <c r="T117" s="23">
        <v>120</v>
      </c>
      <c r="V117" s="37">
        <f t="shared" si="14"/>
        <v>7675</v>
      </c>
      <c r="W117" s="46">
        <f t="shared" si="15"/>
        <v>-60</v>
      </c>
      <c r="X117" s="27">
        <f t="shared" si="16"/>
        <v>-45</v>
      </c>
      <c r="Y117" s="199">
        <f t="shared" si="17"/>
        <v>-105</v>
      </c>
      <c r="Z117" s="38">
        <f t="shared" si="18"/>
        <v>-60</v>
      </c>
      <c r="AA117" s="39">
        <f t="shared" si="19"/>
        <v>15</v>
      </c>
      <c r="AB117" s="58">
        <f t="shared" si="20"/>
        <v>-45</v>
      </c>
      <c r="AE117" s="1"/>
      <c r="AF117" s="1"/>
    </row>
    <row r="118" spans="1:32" hidden="1" x14ac:dyDescent="0.2">
      <c r="A118" s="11" t="s">
        <v>5</v>
      </c>
      <c r="B118" s="12" t="s">
        <v>21</v>
      </c>
      <c r="C118" s="12" t="s">
        <v>214</v>
      </c>
      <c r="D118" s="12" t="s">
        <v>62</v>
      </c>
      <c r="E118" s="12">
        <v>6298199</v>
      </c>
      <c r="F118" s="13">
        <v>7780</v>
      </c>
      <c r="G118" s="14">
        <v>45503</v>
      </c>
      <c r="H118" s="15" t="s">
        <v>7</v>
      </c>
      <c r="I118" s="16" t="s">
        <v>63</v>
      </c>
      <c r="J118" s="16">
        <v>6298858</v>
      </c>
      <c r="K118" s="17">
        <v>7772</v>
      </c>
      <c r="L118" s="18">
        <v>45503</v>
      </c>
      <c r="M118" s="19" t="s">
        <v>39</v>
      </c>
      <c r="N118" s="20" t="s">
        <v>18</v>
      </c>
      <c r="O118" s="20">
        <v>15</v>
      </c>
      <c r="P118" s="20"/>
      <c r="Q118" s="21">
        <v>45503</v>
      </c>
      <c r="R118" s="20">
        <v>55</v>
      </c>
      <c r="S118" s="22">
        <v>7783</v>
      </c>
      <c r="T118" s="23">
        <v>228</v>
      </c>
      <c r="V118" s="37">
        <f t="shared" si="14"/>
        <v>7783</v>
      </c>
      <c r="W118" s="28">
        <f t="shared" si="15"/>
        <v>0</v>
      </c>
      <c r="X118" s="26">
        <f t="shared" si="16"/>
        <v>11</v>
      </c>
      <c r="Y118" s="200">
        <f t="shared" si="17"/>
        <v>3</v>
      </c>
      <c r="Z118" s="38">
        <f t="shared" si="18"/>
        <v>-8</v>
      </c>
      <c r="AA118" s="39">
        <f t="shared" si="19"/>
        <v>11</v>
      </c>
      <c r="AB118" s="58">
        <f t="shared" si="20"/>
        <v>3</v>
      </c>
      <c r="AE118" s="1"/>
      <c r="AF118" s="1"/>
    </row>
    <row r="119" spans="1:32" hidden="1" x14ac:dyDescent="0.2">
      <c r="A119" s="11" t="s">
        <v>5</v>
      </c>
      <c r="B119" s="12" t="s">
        <v>21</v>
      </c>
      <c r="C119" s="12" t="s">
        <v>215</v>
      </c>
      <c r="D119" s="12" t="s">
        <v>15</v>
      </c>
      <c r="E119" s="12">
        <v>6303251</v>
      </c>
      <c r="F119" s="13">
        <v>7720</v>
      </c>
      <c r="G119" s="14">
        <v>45506</v>
      </c>
      <c r="H119" s="15" t="s">
        <v>7</v>
      </c>
      <c r="I119" s="16" t="s">
        <v>63</v>
      </c>
      <c r="J119" s="16">
        <v>6304050</v>
      </c>
      <c r="K119" s="17">
        <v>7620</v>
      </c>
      <c r="L119" s="18">
        <v>45506</v>
      </c>
      <c r="M119" s="19" t="s">
        <v>39</v>
      </c>
      <c r="N119" s="20" t="s">
        <v>18</v>
      </c>
      <c r="O119" s="20">
        <v>15</v>
      </c>
      <c r="P119" s="20"/>
      <c r="Q119" s="21">
        <v>45506</v>
      </c>
      <c r="R119" s="20">
        <v>55</v>
      </c>
      <c r="S119" s="22">
        <v>7633</v>
      </c>
      <c r="T119" s="23">
        <v>100</v>
      </c>
      <c r="V119" s="37">
        <f t="shared" si="14"/>
        <v>7655</v>
      </c>
      <c r="W119" s="28">
        <f t="shared" si="15"/>
        <v>22</v>
      </c>
      <c r="X119" s="45">
        <f t="shared" si="16"/>
        <v>35</v>
      </c>
      <c r="Y119" s="199">
        <f t="shared" si="17"/>
        <v>-65</v>
      </c>
      <c r="Z119" s="38">
        <f t="shared" si="18"/>
        <v>-100</v>
      </c>
      <c r="AA119" s="39">
        <f t="shared" si="19"/>
        <v>13</v>
      </c>
      <c r="AB119" s="58">
        <f t="shared" si="20"/>
        <v>-87</v>
      </c>
      <c r="AE119" s="1"/>
      <c r="AF119" s="1"/>
    </row>
    <row r="120" spans="1:32" hidden="1" x14ac:dyDescent="0.2">
      <c r="A120" s="11" t="s">
        <v>5</v>
      </c>
      <c r="B120" s="12" t="s">
        <v>21</v>
      </c>
      <c r="C120" s="12" t="s">
        <v>216</v>
      </c>
      <c r="D120" s="12" t="s">
        <v>62</v>
      </c>
      <c r="E120" s="12">
        <v>6305205</v>
      </c>
      <c r="F120" s="13">
        <v>7720</v>
      </c>
      <c r="G120" s="14">
        <v>45507</v>
      </c>
      <c r="H120" s="15" t="s">
        <v>7</v>
      </c>
      <c r="I120" s="16" t="s">
        <v>63</v>
      </c>
      <c r="J120" s="16">
        <v>6305306</v>
      </c>
      <c r="K120" s="17">
        <v>7637</v>
      </c>
      <c r="L120" s="18">
        <v>45507</v>
      </c>
      <c r="M120" s="19" t="s">
        <v>35</v>
      </c>
      <c r="N120" s="20" t="s">
        <v>74</v>
      </c>
      <c r="O120" s="20">
        <v>15</v>
      </c>
      <c r="P120" s="20"/>
      <c r="Q120" s="21">
        <v>45507</v>
      </c>
      <c r="R120" s="20">
        <v>55</v>
      </c>
      <c r="S120" s="22">
        <v>7555</v>
      </c>
      <c r="T120" s="23">
        <v>70</v>
      </c>
      <c r="V120" s="37">
        <f t="shared" si="14"/>
        <v>7625</v>
      </c>
      <c r="W120" s="46">
        <f t="shared" si="15"/>
        <v>70</v>
      </c>
      <c r="X120" s="27">
        <f t="shared" si="16"/>
        <v>-12</v>
      </c>
      <c r="Y120" s="199">
        <f t="shared" si="17"/>
        <v>-95</v>
      </c>
      <c r="Z120" s="38">
        <f t="shared" si="18"/>
        <v>-83</v>
      </c>
      <c r="AA120" s="39">
        <f t="shared" si="19"/>
        <v>-82</v>
      </c>
      <c r="AB120" s="58">
        <f t="shared" si="20"/>
        <v>-165</v>
      </c>
      <c r="AE120" s="1"/>
      <c r="AF120" s="1"/>
    </row>
    <row r="121" spans="1:32" hidden="1" x14ac:dyDescent="0.2">
      <c r="A121" s="11" t="s">
        <v>5</v>
      </c>
      <c r="B121" s="12" t="s">
        <v>21</v>
      </c>
      <c r="C121" s="12" t="s">
        <v>228</v>
      </c>
      <c r="D121" s="12" t="s">
        <v>67</v>
      </c>
      <c r="E121" s="12">
        <v>6304927</v>
      </c>
      <c r="F121" s="13">
        <v>7720</v>
      </c>
      <c r="G121" s="14">
        <v>45507</v>
      </c>
      <c r="H121" s="15" t="s">
        <v>7</v>
      </c>
      <c r="I121" s="16" t="s">
        <v>8</v>
      </c>
      <c r="J121" s="16">
        <v>6305088</v>
      </c>
      <c r="K121" s="17">
        <v>7790</v>
      </c>
      <c r="L121" s="18">
        <v>45507</v>
      </c>
      <c r="M121" s="19" t="s">
        <v>39</v>
      </c>
      <c r="N121" s="20" t="s">
        <v>115</v>
      </c>
      <c r="O121" s="20">
        <v>15</v>
      </c>
      <c r="P121" s="20"/>
      <c r="Q121" s="21">
        <v>45507</v>
      </c>
      <c r="R121" s="20">
        <v>55</v>
      </c>
      <c r="S121" s="22">
        <v>7794</v>
      </c>
      <c r="T121" s="23">
        <v>250</v>
      </c>
      <c r="V121" s="37">
        <f t="shared" si="14"/>
        <v>7805</v>
      </c>
      <c r="W121" s="28">
        <f t="shared" si="15"/>
        <v>11</v>
      </c>
      <c r="X121" s="45">
        <f t="shared" si="16"/>
        <v>15</v>
      </c>
      <c r="Y121" s="199">
        <f t="shared" si="17"/>
        <v>85</v>
      </c>
      <c r="Z121" s="38">
        <f t="shared" si="18"/>
        <v>70</v>
      </c>
      <c r="AA121" s="39">
        <f t="shared" si="19"/>
        <v>4</v>
      </c>
      <c r="AB121" s="58">
        <f t="shared" si="20"/>
        <v>74</v>
      </c>
      <c r="AE121" s="1"/>
      <c r="AF121" s="1"/>
    </row>
    <row r="122" spans="1:32" hidden="1" x14ac:dyDescent="0.2">
      <c r="A122" s="11" t="s">
        <v>5</v>
      </c>
      <c r="B122" s="12" t="s">
        <v>21</v>
      </c>
      <c r="C122" s="12" t="s">
        <v>217</v>
      </c>
      <c r="D122" s="12" t="s">
        <v>218</v>
      </c>
      <c r="E122" s="12">
        <v>6304721</v>
      </c>
      <c r="F122" s="13">
        <v>7860</v>
      </c>
      <c r="G122" s="14">
        <v>45506</v>
      </c>
      <c r="H122" s="15" t="s">
        <v>7</v>
      </c>
      <c r="I122" s="16" t="s">
        <v>8</v>
      </c>
      <c r="J122" s="16">
        <v>6305050</v>
      </c>
      <c r="K122" s="17">
        <v>7755</v>
      </c>
      <c r="L122" s="18">
        <v>45507</v>
      </c>
      <c r="M122" s="19" t="s">
        <v>35</v>
      </c>
      <c r="N122" s="20" t="s">
        <v>115</v>
      </c>
      <c r="O122" s="20">
        <v>15</v>
      </c>
      <c r="P122" s="20"/>
      <c r="Q122" s="21">
        <v>45507</v>
      </c>
      <c r="R122" s="20">
        <v>500</v>
      </c>
      <c r="S122" s="22">
        <v>7773</v>
      </c>
      <c r="T122" s="23">
        <v>257</v>
      </c>
      <c r="V122" s="37">
        <f t="shared" si="14"/>
        <v>7757</v>
      </c>
      <c r="W122" s="46">
        <f t="shared" si="15"/>
        <v>-16</v>
      </c>
      <c r="X122" s="27">
        <f t="shared" si="16"/>
        <v>2</v>
      </c>
      <c r="Y122" s="199">
        <f t="shared" si="17"/>
        <v>-103</v>
      </c>
      <c r="Z122" s="38">
        <f t="shared" si="18"/>
        <v>-105</v>
      </c>
      <c r="AA122" s="39">
        <f t="shared" si="19"/>
        <v>18</v>
      </c>
      <c r="AB122" s="58">
        <f t="shared" si="20"/>
        <v>-87</v>
      </c>
      <c r="AE122" s="1"/>
      <c r="AF122" s="1"/>
    </row>
    <row r="123" spans="1:32" hidden="1" x14ac:dyDescent="0.2">
      <c r="A123" s="11" t="s">
        <v>5</v>
      </c>
      <c r="B123" s="12" t="s">
        <v>21</v>
      </c>
      <c r="C123" s="12" t="s">
        <v>219</v>
      </c>
      <c r="D123" s="12" t="s">
        <v>218</v>
      </c>
      <c r="E123" s="12">
        <v>6304592</v>
      </c>
      <c r="F123" s="13">
        <v>7720</v>
      </c>
      <c r="G123" s="14">
        <v>45506</v>
      </c>
      <c r="H123" s="15" t="s">
        <v>7</v>
      </c>
      <c r="I123" s="16" t="s">
        <v>8</v>
      </c>
      <c r="J123" s="16">
        <v>6304856</v>
      </c>
      <c r="K123" s="17">
        <v>7630</v>
      </c>
      <c r="L123" s="18">
        <v>45507</v>
      </c>
      <c r="M123" s="19" t="s">
        <v>35</v>
      </c>
      <c r="N123" s="20" t="s">
        <v>74</v>
      </c>
      <c r="O123" s="20">
        <v>15</v>
      </c>
      <c r="P123" s="20"/>
      <c r="Q123" s="21">
        <v>45507</v>
      </c>
      <c r="R123" s="20">
        <v>55</v>
      </c>
      <c r="S123" s="22">
        <v>7555</v>
      </c>
      <c r="T123" s="23">
        <v>50</v>
      </c>
      <c r="V123" s="37">
        <f t="shared" si="14"/>
        <v>7605</v>
      </c>
      <c r="W123" s="46">
        <f t="shared" si="15"/>
        <v>50</v>
      </c>
      <c r="X123" s="27">
        <f t="shared" si="16"/>
        <v>-25</v>
      </c>
      <c r="Y123" s="199">
        <f t="shared" si="17"/>
        <v>-115</v>
      </c>
      <c r="Z123" s="38">
        <f t="shared" si="18"/>
        <v>-90</v>
      </c>
      <c r="AA123" s="39">
        <f t="shared" si="19"/>
        <v>-75</v>
      </c>
      <c r="AB123" s="58">
        <f t="shared" si="20"/>
        <v>-165</v>
      </c>
      <c r="AE123" s="1"/>
      <c r="AF123" s="1"/>
    </row>
    <row r="124" spans="1:32" hidden="1" x14ac:dyDescent="0.2">
      <c r="A124" s="11" t="s">
        <v>5</v>
      </c>
      <c r="B124" s="12" t="s">
        <v>24</v>
      </c>
      <c r="C124" s="12" t="s">
        <v>220</v>
      </c>
      <c r="D124" s="12" t="s">
        <v>62</v>
      </c>
      <c r="E124" s="12">
        <v>6305413</v>
      </c>
      <c r="F124" s="13">
        <v>7780</v>
      </c>
      <c r="G124" s="14">
        <v>45507</v>
      </c>
      <c r="H124" s="15" t="s">
        <v>7</v>
      </c>
      <c r="I124" s="16" t="s">
        <v>32</v>
      </c>
      <c r="J124" s="16">
        <v>6305685</v>
      </c>
      <c r="K124" s="17">
        <v>7790</v>
      </c>
      <c r="L124" s="18">
        <v>45507</v>
      </c>
      <c r="M124" s="19" t="s">
        <v>35</v>
      </c>
      <c r="N124" s="20" t="s">
        <v>36</v>
      </c>
      <c r="O124" s="20">
        <v>15</v>
      </c>
      <c r="P124" s="20"/>
      <c r="Q124" s="21">
        <v>45509</v>
      </c>
      <c r="R124" s="20">
        <v>55</v>
      </c>
      <c r="S124" s="22">
        <v>7816</v>
      </c>
      <c r="T124" s="23">
        <v>252</v>
      </c>
      <c r="V124" s="37">
        <f t="shared" si="14"/>
        <v>7807</v>
      </c>
      <c r="W124" s="28">
        <f t="shared" si="15"/>
        <v>-9</v>
      </c>
      <c r="X124" s="45">
        <f t="shared" si="16"/>
        <v>17</v>
      </c>
      <c r="Y124" s="199">
        <f t="shared" si="17"/>
        <v>27</v>
      </c>
      <c r="Z124" s="38">
        <f t="shared" si="18"/>
        <v>10</v>
      </c>
      <c r="AA124" s="39">
        <f t="shared" si="19"/>
        <v>26</v>
      </c>
      <c r="AB124" s="58">
        <f t="shared" si="20"/>
        <v>36</v>
      </c>
      <c r="AE124" s="1"/>
      <c r="AF124" s="1"/>
    </row>
    <row r="125" spans="1:32" hidden="1" x14ac:dyDescent="0.2">
      <c r="A125" s="11" t="s">
        <v>5</v>
      </c>
      <c r="B125" s="12" t="s">
        <v>20</v>
      </c>
      <c r="C125" s="12" t="s">
        <v>221</v>
      </c>
      <c r="D125" s="12" t="s">
        <v>62</v>
      </c>
      <c r="E125" s="12">
        <v>6305424</v>
      </c>
      <c r="F125" s="13">
        <v>7860</v>
      </c>
      <c r="G125" s="14">
        <v>45507</v>
      </c>
      <c r="H125" s="15" t="s">
        <v>7</v>
      </c>
      <c r="I125" s="16" t="s">
        <v>32</v>
      </c>
      <c r="J125" s="16">
        <v>6305603</v>
      </c>
      <c r="K125" s="17">
        <v>7755</v>
      </c>
      <c r="L125" s="18">
        <v>45507</v>
      </c>
      <c r="M125" s="19" t="s">
        <v>39</v>
      </c>
      <c r="N125" s="20" t="s">
        <v>18</v>
      </c>
      <c r="O125" s="20">
        <v>15</v>
      </c>
      <c r="P125" s="20"/>
      <c r="Q125" s="21">
        <v>45507</v>
      </c>
      <c r="R125" s="20">
        <v>55</v>
      </c>
      <c r="S125" s="22">
        <v>7765</v>
      </c>
      <c r="T125" s="23">
        <v>215</v>
      </c>
      <c r="V125" s="37">
        <f t="shared" si="14"/>
        <v>7770</v>
      </c>
      <c r="W125" s="28">
        <f t="shared" si="15"/>
        <v>5</v>
      </c>
      <c r="X125" s="45">
        <f t="shared" si="16"/>
        <v>15</v>
      </c>
      <c r="Y125" s="199">
        <f t="shared" si="17"/>
        <v>-90</v>
      </c>
      <c r="Z125" s="38">
        <f t="shared" si="18"/>
        <v>-105</v>
      </c>
      <c r="AA125" s="39">
        <f t="shared" si="19"/>
        <v>10</v>
      </c>
      <c r="AB125" s="58">
        <f t="shared" si="20"/>
        <v>-95</v>
      </c>
      <c r="AE125" s="1"/>
      <c r="AF125" s="1"/>
    </row>
    <row r="126" spans="1:32" hidden="1" x14ac:dyDescent="0.2">
      <c r="A126" s="11" t="s">
        <v>5</v>
      </c>
      <c r="B126" s="12" t="s">
        <v>21</v>
      </c>
      <c r="C126" s="12" t="s">
        <v>222</v>
      </c>
      <c r="D126" s="12" t="s">
        <v>218</v>
      </c>
      <c r="E126" s="12">
        <v>6304444</v>
      </c>
      <c r="F126" s="13">
        <v>7720</v>
      </c>
      <c r="G126" s="14">
        <v>45506</v>
      </c>
      <c r="H126" s="15" t="s">
        <v>7</v>
      </c>
      <c r="I126" s="16" t="s">
        <v>32</v>
      </c>
      <c r="J126" s="16">
        <v>6304605</v>
      </c>
      <c r="K126" s="17">
        <v>7620</v>
      </c>
      <c r="L126" s="18">
        <v>45506</v>
      </c>
      <c r="M126" s="19" t="s">
        <v>44</v>
      </c>
      <c r="N126" s="20" t="s">
        <v>223</v>
      </c>
      <c r="O126" s="20"/>
      <c r="P126" s="20">
        <v>24</v>
      </c>
      <c r="Q126" s="21">
        <v>45506</v>
      </c>
      <c r="R126" s="20">
        <v>110</v>
      </c>
      <c r="S126" s="22">
        <v>7600</v>
      </c>
      <c r="T126" s="23">
        <v>200</v>
      </c>
      <c r="V126" s="37">
        <f t="shared" si="14"/>
        <v>7630</v>
      </c>
      <c r="W126" s="46">
        <f t="shared" si="15"/>
        <v>30</v>
      </c>
      <c r="X126" s="27">
        <f t="shared" si="16"/>
        <v>10</v>
      </c>
      <c r="Y126" s="199">
        <f t="shared" si="17"/>
        <v>-90</v>
      </c>
      <c r="Z126" s="38">
        <f t="shared" si="18"/>
        <v>-100</v>
      </c>
      <c r="AA126" s="39">
        <f t="shared" si="19"/>
        <v>-20</v>
      </c>
      <c r="AB126" s="58">
        <f t="shared" si="20"/>
        <v>-120</v>
      </c>
      <c r="AE126" s="1"/>
      <c r="AF126" s="1"/>
    </row>
    <row r="127" spans="1:32" hidden="1" x14ac:dyDescent="0.2">
      <c r="A127" s="11" t="s">
        <v>5</v>
      </c>
      <c r="B127" s="12" t="s">
        <v>21</v>
      </c>
      <c r="C127" s="12" t="s">
        <v>224</v>
      </c>
      <c r="D127" s="12" t="s">
        <v>62</v>
      </c>
      <c r="E127" s="12">
        <v>6303787</v>
      </c>
      <c r="F127" s="13">
        <v>7720</v>
      </c>
      <c r="G127" s="14">
        <v>45506</v>
      </c>
      <c r="H127" s="15" t="s">
        <v>7</v>
      </c>
      <c r="I127" s="16" t="s">
        <v>32</v>
      </c>
      <c r="J127" s="16">
        <v>6304410</v>
      </c>
      <c r="K127" s="17">
        <v>7620</v>
      </c>
      <c r="L127" s="18">
        <v>45506</v>
      </c>
      <c r="M127" s="19" t="s">
        <v>44</v>
      </c>
      <c r="N127" s="20" t="s">
        <v>18</v>
      </c>
      <c r="O127" s="20"/>
      <c r="P127" s="20">
        <v>24</v>
      </c>
      <c r="Q127" s="21">
        <v>45506</v>
      </c>
      <c r="R127" s="20">
        <v>110</v>
      </c>
      <c r="S127" s="22">
        <v>7625</v>
      </c>
      <c r="T127" s="23">
        <v>200</v>
      </c>
      <c r="V127" s="37">
        <f t="shared" si="14"/>
        <v>7630</v>
      </c>
      <c r="W127" s="28">
        <f t="shared" si="15"/>
        <v>5</v>
      </c>
      <c r="X127" s="45">
        <f t="shared" si="16"/>
        <v>10</v>
      </c>
      <c r="Y127" s="199">
        <f t="shared" si="17"/>
        <v>-90</v>
      </c>
      <c r="Z127" s="38">
        <f t="shared" si="18"/>
        <v>-100</v>
      </c>
      <c r="AA127" s="39">
        <f t="shared" si="19"/>
        <v>5</v>
      </c>
      <c r="AB127" s="58">
        <f t="shared" si="20"/>
        <v>-95</v>
      </c>
      <c r="AE127" s="1"/>
      <c r="AF127" s="1"/>
    </row>
    <row r="128" spans="1:32" x14ac:dyDescent="0.2">
      <c r="A128" s="11" t="s">
        <v>5</v>
      </c>
      <c r="B128" s="12" t="s">
        <v>21</v>
      </c>
      <c r="C128" s="12" t="s">
        <v>225</v>
      </c>
      <c r="D128" s="12" t="s">
        <v>127</v>
      </c>
      <c r="E128" s="12">
        <v>6303034</v>
      </c>
      <c r="F128" s="13">
        <v>7900</v>
      </c>
      <c r="G128" s="14">
        <v>45505</v>
      </c>
      <c r="H128" s="15" t="s">
        <v>163</v>
      </c>
      <c r="I128" s="16" t="s">
        <v>27</v>
      </c>
      <c r="J128" s="16">
        <v>6305517</v>
      </c>
      <c r="K128" s="17">
        <v>7810</v>
      </c>
      <c r="L128" s="18">
        <v>45507</v>
      </c>
      <c r="M128" s="19" t="s">
        <v>44</v>
      </c>
      <c r="N128" s="20" t="s">
        <v>18</v>
      </c>
      <c r="O128" s="20"/>
      <c r="P128" s="20">
        <v>25</v>
      </c>
      <c r="Q128" s="21">
        <v>45507</v>
      </c>
      <c r="R128" s="20">
        <v>110</v>
      </c>
      <c r="S128" s="22">
        <v>7825</v>
      </c>
      <c r="T128" s="23">
        <v>90</v>
      </c>
      <c r="V128" s="37">
        <f t="shared" si="14"/>
        <v>7715</v>
      </c>
      <c r="W128" s="46">
        <f t="shared" si="15"/>
        <v>-110</v>
      </c>
      <c r="X128" s="27">
        <f t="shared" si="16"/>
        <v>-95</v>
      </c>
      <c r="Y128" s="199">
        <f t="shared" si="17"/>
        <v>-185</v>
      </c>
      <c r="Z128" s="38">
        <f t="shared" si="18"/>
        <v>-90</v>
      </c>
      <c r="AA128" s="39">
        <f t="shared" si="19"/>
        <v>15</v>
      </c>
      <c r="AB128" s="58">
        <f t="shared" si="20"/>
        <v>-75</v>
      </c>
      <c r="AE128" s="1"/>
      <c r="AF128" s="1"/>
    </row>
    <row r="129" spans="1:32" hidden="1" x14ac:dyDescent="0.2">
      <c r="A129" s="11" t="s">
        <v>5</v>
      </c>
      <c r="B129" s="12" t="s">
        <v>21</v>
      </c>
      <c r="C129" s="12" t="s">
        <v>226</v>
      </c>
      <c r="D129" s="12" t="s">
        <v>15</v>
      </c>
      <c r="E129" s="12">
        <v>6303354</v>
      </c>
      <c r="F129" s="13">
        <v>7920</v>
      </c>
      <c r="G129" s="14">
        <v>45506</v>
      </c>
      <c r="H129" s="15" t="s">
        <v>7</v>
      </c>
      <c r="I129" s="16" t="s">
        <v>8</v>
      </c>
      <c r="J129" s="16">
        <v>6304908</v>
      </c>
      <c r="K129" s="17">
        <v>7620</v>
      </c>
      <c r="L129" s="18">
        <v>45507</v>
      </c>
      <c r="M129" s="19" t="s">
        <v>44</v>
      </c>
      <c r="N129" s="20" t="s">
        <v>18</v>
      </c>
      <c r="O129" s="20">
        <v>15</v>
      </c>
      <c r="P129" s="20"/>
      <c r="Q129" s="21">
        <v>45507</v>
      </c>
      <c r="R129" s="20">
        <v>500</v>
      </c>
      <c r="S129" s="22">
        <v>7500</v>
      </c>
      <c r="T129" s="23">
        <v>150</v>
      </c>
      <c r="V129" s="37">
        <f t="shared" si="14"/>
        <v>7650</v>
      </c>
      <c r="W129" s="46">
        <f t="shared" si="15"/>
        <v>150</v>
      </c>
      <c r="X129" s="27">
        <f t="shared" si="16"/>
        <v>30</v>
      </c>
      <c r="Y129" s="199">
        <f t="shared" si="17"/>
        <v>-270</v>
      </c>
      <c r="Z129" s="38">
        <f t="shared" si="18"/>
        <v>-300</v>
      </c>
      <c r="AA129" s="39">
        <f t="shared" si="19"/>
        <v>-120</v>
      </c>
      <c r="AB129" s="58">
        <f t="shared" si="20"/>
        <v>-420</v>
      </c>
      <c r="AE129" s="1"/>
      <c r="AF129" s="1"/>
    </row>
    <row r="130" spans="1:32" hidden="1" x14ac:dyDescent="0.2">
      <c r="A130" s="11" t="s">
        <v>5</v>
      </c>
      <c r="B130" s="12" t="s">
        <v>21</v>
      </c>
      <c r="C130" s="12" t="s">
        <v>227</v>
      </c>
      <c r="D130" s="12" t="s">
        <v>15</v>
      </c>
      <c r="E130" s="12">
        <v>6303555</v>
      </c>
      <c r="F130" s="13">
        <v>7720</v>
      </c>
      <c r="G130" s="14">
        <v>45506</v>
      </c>
      <c r="H130" s="15" t="s">
        <v>7</v>
      </c>
      <c r="I130" s="16" t="s">
        <v>63</v>
      </c>
      <c r="J130" s="16">
        <v>6304220</v>
      </c>
      <c r="K130" s="17">
        <v>7840</v>
      </c>
      <c r="L130" s="18">
        <v>45506</v>
      </c>
      <c r="M130" s="19" t="s">
        <v>39</v>
      </c>
      <c r="N130" s="20" t="s">
        <v>18</v>
      </c>
      <c r="O130" s="20">
        <v>15</v>
      </c>
      <c r="P130" s="20"/>
      <c r="Q130" s="21">
        <v>45507</v>
      </c>
      <c r="R130" s="20">
        <v>55</v>
      </c>
      <c r="S130" s="22">
        <v>7855</v>
      </c>
      <c r="T130" s="23">
        <v>290</v>
      </c>
      <c r="V130" s="37">
        <f t="shared" si="14"/>
        <v>7845</v>
      </c>
      <c r="W130" s="46">
        <f t="shared" si="15"/>
        <v>-10</v>
      </c>
      <c r="X130" s="27">
        <f t="shared" si="16"/>
        <v>5</v>
      </c>
      <c r="Y130" s="199">
        <f t="shared" si="17"/>
        <v>125</v>
      </c>
      <c r="Z130" s="38">
        <f t="shared" si="18"/>
        <v>120</v>
      </c>
      <c r="AA130" s="39">
        <f t="shared" si="19"/>
        <v>15</v>
      </c>
      <c r="AB130" s="58">
        <f t="shared" si="20"/>
        <v>135</v>
      </c>
      <c r="AE130" s="1"/>
      <c r="AF130" s="1"/>
    </row>
    <row r="131" spans="1:32" hidden="1" x14ac:dyDescent="0.2">
      <c r="A131" s="11" t="s">
        <v>5</v>
      </c>
      <c r="B131" s="12" t="s">
        <v>20</v>
      </c>
      <c r="C131" s="12" t="s">
        <v>229</v>
      </c>
      <c r="D131" s="12" t="s">
        <v>62</v>
      </c>
      <c r="E131" s="12">
        <v>6306281</v>
      </c>
      <c r="F131" s="13">
        <v>7860</v>
      </c>
      <c r="G131" s="14">
        <v>45509</v>
      </c>
      <c r="H131" s="15" t="s">
        <v>7</v>
      </c>
      <c r="I131" s="16" t="s">
        <v>27</v>
      </c>
      <c r="J131" s="16">
        <v>6306487</v>
      </c>
      <c r="K131" s="17">
        <v>7760</v>
      </c>
      <c r="L131" s="18">
        <v>45509</v>
      </c>
      <c r="M131" s="19" t="s">
        <v>39</v>
      </c>
      <c r="N131" s="20" t="s">
        <v>18</v>
      </c>
      <c r="O131" s="20">
        <v>15</v>
      </c>
      <c r="P131" s="20"/>
      <c r="Q131" s="21">
        <v>45509</v>
      </c>
      <c r="R131" s="20">
        <v>55</v>
      </c>
      <c r="S131" s="22">
        <v>7770</v>
      </c>
      <c r="T131" s="23">
        <v>220</v>
      </c>
      <c r="V131" s="37">
        <f t="shared" si="14"/>
        <v>7775</v>
      </c>
      <c r="W131" s="28">
        <f t="shared" si="15"/>
        <v>5</v>
      </c>
      <c r="X131" s="45">
        <f t="shared" si="16"/>
        <v>15</v>
      </c>
      <c r="Y131" s="199">
        <f t="shared" si="17"/>
        <v>-85</v>
      </c>
      <c r="Z131" s="38">
        <f t="shared" si="18"/>
        <v>-100</v>
      </c>
      <c r="AA131" s="39">
        <f t="shared" si="19"/>
        <v>10</v>
      </c>
      <c r="AB131" s="58">
        <f t="shared" si="20"/>
        <v>-90</v>
      </c>
      <c r="AE131" s="1"/>
      <c r="AF131" s="1"/>
    </row>
    <row r="132" spans="1:32" hidden="1" x14ac:dyDescent="0.2">
      <c r="A132" s="11" t="s">
        <v>5</v>
      </c>
      <c r="B132" s="12" t="s">
        <v>21</v>
      </c>
      <c r="C132" s="12" t="s">
        <v>230</v>
      </c>
      <c r="D132" s="12" t="s">
        <v>231</v>
      </c>
      <c r="E132" s="12">
        <v>6305812</v>
      </c>
      <c r="F132" s="13">
        <v>7720</v>
      </c>
      <c r="G132" s="14">
        <v>45507</v>
      </c>
      <c r="H132" s="15" t="s">
        <v>7</v>
      </c>
      <c r="I132" s="16" t="s">
        <v>16</v>
      </c>
      <c r="J132" s="16">
        <v>6306570</v>
      </c>
      <c r="K132" s="17">
        <v>7620</v>
      </c>
      <c r="L132" s="18">
        <v>45509</v>
      </c>
      <c r="M132" s="19" t="s">
        <v>35</v>
      </c>
      <c r="N132" s="20" t="s">
        <v>74</v>
      </c>
      <c r="O132" s="20">
        <v>15</v>
      </c>
      <c r="P132" s="20"/>
      <c r="Q132" s="21">
        <v>45509</v>
      </c>
      <c r="R132" s="20">
        <v>55</v>
      </c>
      <c r="S132" s="22">
        <v>7555</v>
      </c>
      <c r="T132" s="23">
        <v>60</v>
      </c>
      <c r="V132" s="37">
        <f t="shared" si="14"/>
        <v>7615</v>
      </c>
      <c r="W132" s="46">
        <f t="shared" si="15"/>
        <v>60</v>
      </c>
      <c r="X132" s="27">
        <f t="shared" si="16"/>
        <v>-5</v>
      </c>
      <c r="Y132" s="199">
        <f t="shared" si="17"/>
        <v>-105</v>
      </c>
      <c r="Z132" s="38">
        <f t="shared" si="18"/>
        <v>-100</v>
      </c>
      <c r="AA132" s="39">
        <f t="shared" si="19"/>
        <v>-65</v>
      </c>
      <c r="AB132" s="58">
        <f t="shared" si="20"/>
        <v>-165</v>
      </c>
      <c r="AE132" s="1"/>
      <c r="AF132" s="1"/>
    </row>
    <row r="133" spans="1:32" hidden="1" x14ac:dyDescent="0.2">
      <c r="A133" s="11" t="s">
        <v>5</v>
      </c>
      <c r="B133" s="12" t="s">
        <v>21</v>
      </c>
      <c r="C133" s="12" t="s">
        <v>232</v>
      </c>
      <c r="D133" s="12" t="s">
        <v>231</v>
      </c>
      <c r="E133" s="12">
        <v>6304672</v>
      </c>
      <c r="F133" s="13">
        <v>7720</v>
      </c>
      <c r="G133" s="14">
        <v>45507</v>
      </c>
      <c r="H133" s="15" t="s">
        <v>7</v>
      </c>
      <c r="I133" s="16" t="s">
        <v>32</v>
      </c>
      <c r="J133" s="16">
        <v>6305810</v>
      </c>
      <c r="K133" s="17">
        <v>7630</v>
      </c>
      <c r="L133" s="18">
        <v>45507</v>
      </c>
      <c r="M133" s="19" t="s">
        <v>35</v>
      </c>
      <c r="N133" s="20" t="s">
        <v>74</v>
      </c>
      <c r="O133" s="20">
        <v>15</v>
      </c>
      <c r="P133" s="20"/>
      <c r="Q133" s="21">
        <v>45509</v>
      </c>
      <c r="R133" s="20">
        <v>55</v>
      </c>
      <c r="S133" s="22">
        <v>7555</v>
      </c>
      <c r="T133" s="23">
        <v>70</v>
      </c>
      <c r="V133" s="37">
        <f t="shared" ref="V133:V141" si="21">IF(RIGHT(C133, 1)="1",
    IF(O133&lt;&gt;"", 500*O133 + T133 + IF(R133&lt;=110, R133, 0), IF(P133&lt;&gt;"", 305*P133 + T133 + IF(R133&lt;=110, R133, 0), "")),
    IF(O133&lt;&gt;"", 500*O133 + T133, IF(P133&lt;&gt;"", 305*P133 + T133, ""))
)</f>
        <v>7625</v>
      </c>
      <c r="W133" s="46">
        <f t="shared" ref="W133:W141" si="22">IF(OR(ISBLANK(V133), ISBLANK(S133), NOT(ISNUMBER(V133)), NOT(ISNUMBER(S133))), "", V133-S133)</f>
        <v>70</v>
      </c>
      <c r="X133" s="27">
        <f t="shared" ref="X133:X141" si="23">IF(OR(ISBLANK(V133), ISBLANK(K133), NOT(ISNUMBER(V133)), NOT(ISNUMBER(K133))), "", V133-K133)</f>
        <v>-5</v>
      </c>
      <c r="Y133" s="199">
        <f t="shared" ref="Y133:Y141" si="24">IF(OR(ISBLANK(V133), ISBLANK(F133), NOT(ISNUMBER(V133)), NOT(ISNUMBER(F133))), "", V133-F133)</f>
        <v>-95</v>
      </c>
      <c r="Z133" s="38">
        <f t="shared" ref="Z133:Z141" si="25">IF(OR(ISBLANK(F133), ISBLANK(K133)), "",K133-F133)</f>
        <v>-90</v>
      </c>
      <c r="AA133" s="39">
        <f t="shared" ref="AA133:AA141" si="26">IF(OR(ISBLANK(K133), ISBLANK(S133)), "",S133-K133)</f>
        <v>-75</v>
      </c>
      <c r="AB133" s="58">
        <f t="shared" ref="AB133:AB141" si="27">IF(OR(ISBLANK(F133), ISBLANK(S133)), "",S133-F133)</f>
        <v>-165</v>
      </c>
      <c r="AE133" s="1"/>
      <c r="AF133" s="1"/>
    </row>
    <row r="134" spans="1:32" hidden="1" x14ac:dyDescent="0.2">
      <c r="A134" s="11" t="s">
        <v>5</v>
      </c>
      <c r="B134" s="12" t="s">
        <v>21</v>
      </c>
      <c r="C134" s="197" t="s">
        <v>233</v>
      </c>
      <c r="D134" s="12" t="s">
        <v>15</v>
      </c>
      <c r="E134" s="12">
        <v>6303634</v>
      </c>
      <c r="F134" s="13">
        <v>7900</v>
      </c>
      <c r="G134" s="197">
        <v>45506</v>
      </c>
      <c r="H134" s="15" t="s">
        <v>7</v>
      </c>
      <c r="I134" s="16" t="s">
        <v>16</v>
      </c>
      <c r="J134" s="16">
        <v>6306733</v>
      </c>
      <c r="K134" s="17">
        <v>7810</v>
      </c>
      <c r="L134" s="18">
        <v>45509</v>
      </c>
      <c r="M134" s="19" t="s">
        <v>39</v>
      </c>
      <c r="N134" s="20" t="s">
        <v>18</v>
      </c>
      <c r="O134" s="20">
        <v>15</v>
      </c>
      <c r="P134" s="20"/>
      <c r="Q134" s="21">
        <v>45509</v>
      </c>
      <c r="R134" s="20">
        <v>500</v>
      </c>
      <c r="S134" s="22">
        <v>7805</v>
      </c>
      <c r="T134" s="23">
        <v>300</v>
      </c>
      <c r="V134" s="37">
        <f t="shared" si="21"/>
        <v>7800</v>
      </c>
      <c r="W134" s="28">
        <f t="shared" si="22"/>
        <v>-5</v>
      </c>
      <c r="X134" s="45">
        <f t="shared" si="23"/>
        <v>-10</v>
      </c>
      <c r="Y134" s="199">
        <f t="shared" si="24"/>
        <v>-100</v>
      </c>
      <c r="Z134" s="38">
        <f t="shared" si="25"/>
        <v>-90</v>
      </c>
      <c r="AA134" s="39">
        <f t="shared" si="26"/>
        <v>-5</v>
      </c>
      <c r="AB134" s="58">
        <f t="shared" si="27"/>
        <v>-95</v>
      </c>
      <c r="AE134" s="1"/>
      <c r="AF134" s="1"/>
    </row>
    <row r="135" spans="1:32" hidden="1" x14ac:dyDescent="0.2">
      <c r="A135" s="11" t="s">
        <v>5</v>
      </c>
      <c r="B135" s="12" t="s">
        <v>21</v>
      </c>
      <c r="C135" s="12" t="s">
        <v>234</v>
      </c>
      <c r="D135" s="12" t="s">
        <v>127</v>
      </c>
      <c r="E135" s="12">
        <v>6302654</v>
      </c>
      <c r="F135" s="13">
        <v>7720</v>
      </c>
      <c r="G135" s="14">
        <v>45505</v>
      </c>
      <c r="H135" s="15" t="s">
        <v>7</v>
      </c>
      <c r="I135" s="16" t="s">
        <v>63</v>
      </c>
      <c r="J135" s="16">
        <v>6303986</v>
      </c>
      <c r="K135" s="17">
        <v>7626</v>
      </c>
      <c r="L135" s="18">
        <v>45506</v>
      </c>
      <c r="M135" s="19" t="s">
        <v>39</v>
      </c>
      <c r="N135" s="20" t="s">
        <v>115</v>
      </c>
      <c r="O135" s="20">
        <v>15</v>
      </c>
      <c r="P135" s="20"/>
      <c r="Q135" s="21">
        <v>45506</v>
      </c>
      <c r="R135" s="20">
        <v>55</v>
      </c>
      <c r="S135" s="22">
        <v>7624</v>
      </c>
      <c r="T135" s="23">
        <v>70</v>
      </c>
      <c r="V135" s="37">
        <f t="shared" si="21"/>
        <v>7625</v>
      </c>
      <c r="W135" s="28">
        <f t="shared" si="22"/>
        <v>1</v>
      </c>
      <c r="X135" s="45">
        <f t="shared" si="23"/>
        <v>-1</v>
      </c>
      <c r="Y135" s="199">
        <f t="shared" si="24"/>
        <v>-95</v>
      </c>
      <c r="Z135" s="38">
        <f t="shared" si="25"/>
        <v>-94</v>
      </c>
      <c r="AA135" s="39">
        <f t="shared" si="26"/>
        <v>-2</v>
      </c>
      <c r="AB135" s="58">
        <f t="shared" si="27"/>
        <v>-96</v>
      </c>
      <c r="AE135" s="1"/>
      <c r="AF135" s="1"/>
    </row>
    <row r="136" spans="1:32" hidden="1" x14ac:dyDescent="0.2">
      <c r="A136" s="11" t="s">
        <v>5</v>
      </c>
      <c r="B136" s="12" t="s">
        <v>21</v>
      </c>
      <c r="C136" s="12" t="s">
        <v>235</v>
      </c>
      <c r="D136" s="12" t="s">
        <v>62</v>
      </c>
      <c r="E136" s="12">
        <v>6306286</v>
      </c>
      <c r="F136" s="13">
        <v>7720</v>
      </c>
      <c r="G136" s="14">
        <v>45509</v>
      </c>
      <c r="H136" s="15" t="s">
        <v>7</v>
      </c>
      <c r="I136" s="16" t="s">
        <v>27</v>
      </c>
      <c r="J136" s="16">
        <v>6306404</v>
      </c>
      <c r="K136" s="17">
        <v>7620</v>
      </c>
      <c r="L136" s="18">
        <v>45509</v>
      </c>
      <c r="M136" s="19" t="s">
        <v>35</v>
      </c>
      <c r="N136" s="20" t="s">
        <v>74</v>
      </c>
      <c r="O136" s="20">
        <v>15</v>
      </c>
      <c r="P136" s="20"/>
      <c r="Q136" s="21">
        <v>45509</v>
      </c>
      <c r="R136" s="20">
        <v>55</v>
      </c>
      <c r="S136" s="22">
        <v>7555</v>
      </c>
      <c r="T136" s="23">
        <v>70</v>
      </c>
      <c r="V136" s="37">
        <f t="shared" si="21"/>
        <v>7625</v>
      </c>
      <c r="W136" s="46">
        <f t="shared" si="22"/>
        <v>70</v>
      </c>
      <c r="X136" s="27">
        <f t="shared" si="23"/>
        <v>5</v>
      </c>
      <c r="Y136" s="199">
        <f t="shared" si="24"/>
        <v>-95</v>
      </c>
      <c r="Z136" s="38">
        <f t="shared" si="25"/>
        <v>-100</v>
      </c>
      <c r="AA136" s="39">
        <f t="shared" si="26"/>
        <v>-65</v>
      </c>
      <c r="AB136" s="58">
        <f t="shared" si="27"/>
        <v>-165</v>
      </c>
      <c r="AE136" s="1"/>
      <c r="AF136" s="1"/>
    </row>
    <row r="137" spans="1:32" x14ac:dyDescent="0.2">
      <c r="A137" s="11" t="s">
        <v>5</v>
      </c>
      <c r="B137" s="12" t="s">
        <v>21</v>
      </c>
      <c r="C137" s="12" t="s">
        <v>235</v>
      </c>
      <c r="D137" s="12" t="s">
        <v>62</v>
      </c>
      <c r="E137" s="12">
        <v>6306286</v>
      </c>
      <c r="F137" s="13">
        <v>7930</v>
      </c>
      <c r="G137" s="14">
        <v>45507</v>
      </c>
      <c r="H137" s="15" t="s">
        <v>163</v>
      </c>
      <c r="I137" s="16" t="s">
        <v>63</v>
      </c>
      <c r="J137" s="16">
        <v>6306485</v>
      </c>
      <c r="K137" s="17">
        <v>7835</v>
      </c>
      <c r="L137" s="18">
        <v>45509</v>
      </c>
      <c r="M137" s="19" t="s">
        <v>39</v>
      </c>
      <c r="N137" s="20" t="s">
        <v>115</v>
      </c>
      <c r="O137" s="20"/>
      <c r="P137" s="20">
        <v>25</v>
      </c>
      <c r="Q137" s="21">
        <v>45509</v>
      </c>
      <c r="R137" s="20">
        <v>110</v>
      </c>
      <c r="S137" s="22">
        <v>7742</v>
      </c>
      <c r="T137" s="23">
        <v>130</v>
      </c>
      <c r="V137" s="37">
        <f t="shared" si="21"/>
        <v>7865</v>
      </c>
      <c r="W137" s="24">
        <f t="shared" si="22"/>
        <v>123</v>
      </c>
      <c r="X137" s="27">
        <f t="shared" si="23"/>
        <v>30</v>
      </c>
      <c r="Y137" s="200">
        <f t="shared" si="24"/>
        <v>-65</v>
      </c>
      <c r="Z137" s="38">
        <f t="shared" si="25"/>
        <v>-95</v>
      </c>
      <c r="AA137" s="39">
        <f t="shared" si="26"/>
        <v>-93</v>
      </c>
      <c r="AB137" s="58">
        <f t="shared" si="27"/>
        <v>-188</v>
      </c>
      <c r="AE137" s="1"/>
      <c r="AF137" s="1"/>
    </row>
    <row r="138" spans="1:32" hidden="1" x14ac:dyDescent="0.2">
      <c r="A138" s="11" t="s">
        <v>5</v>
      </c>
      <c r="B138" s="12" t="s">
        <v>20</v>
      </c>
      <c r="C138" s="12" t="s">
        <v>236</v>
      </c>
      <c r="D138" s="12" t="s">
        <v>231</v>
      </c>
      <c r="E138" s="12">
        <v>6306848</v>
      </c>
      <c r="F138" s="13">
        <v>7585</v>
      </c>
      <c r="G138" s="14">
        <v>45509</v>
      </c>
      <c r="H138" s="15" t="s">
        <v>7</v>
      </c>
      <c r="I138" s="16" t="s">
        <v>16</v>
      </c>
      <c r="J138" s="16">
        <v>6307003</v>
      </c>
      <c r="K138" s="17">
        <v>7590</v>
      </c>
      <c r="L138" s="18">
        <v>45509</v>
      </c>
      <c r="M138" s="19" t="s">
        <v>39</v>
      </c>
      <c r="N138" s="20" t="s">
        <v>51</v>
      </c>
      <c r="O138" s="20">
        <v>15</v>
      </c>
      <c r="P138" s="20"/>
      <c r="Q138" s="21">
        <v>45509</v>
      </c>
      <c r="R138" s="20">
        <v>55</v>
      </c>
      <c r="S138" s="22">
        <v>7610</v>
      </c>
      <c r="T138" s="23">
        <v>60</v>
      </c>
      <c r="V138" s="37">
        <f t="shared" si="21"/>
        <v>7615</v>
      </c>
      <c r="W138" s="28">
        <f t="shared" si="22"/>
        <v>5</v>
      </c>
      <c r="X138" s="45">
        <f t="shared" si="23"/>
        <v>25</v>
      </c>
      <c r="Y138" s="199">
        <f t="shared" si="24"/>
        <v>30</v>
      </c>
      <c r="Z138" s="38">
        <f t="shared" si="25"/>
        <v>5</v>
      </c>
      <c r="AA138" s="39">
        <f t="shared" si="26"/>
        <v>20</v>
      </c>
      <c r="AB138" s="58">
        <f t="shared" si="27"/>
        <v>25</v>
      </c>
      <c r="AE138" s="1"/>
      <c r="AF138" s="1"/>
    </row>
    <row r="139" spans="1:32" hidden="1" x14ac:dyDescent="0.2">
      <c r="A139" s="11" t="s">
        <v>5</v>
      </c>
      <c r="B139" s="12" t="s">
        <v>20</v>
      </c>
      <c r="C139" s="12" t="s">
        <v>237</v>
      </c>
      <c r="D139" s="12" t="s">
        <v>231</v>
      </c>
      <c r="E139" s="12">
        <v>6306899</v>
      </c>
      <c r="F139" s="13">
        <v>7700</v>
      </c>
      <c r="G139" s="14">
        <v>45509</v>
      </c>
      <c r="H139" s="15" t="s">
        <v>7</v>
      </c>
      <c r="I139" s="16" t="s">
        <v>101</v>
      </c>
      <c r="J139" s="16">
        <v>6307234</v>
      </c>
      <c r="K139" s="17">
        <v>7700</v>
      </c>
      <c r="L139" s="18">
        <v>45509</v>
      </c>
      <c r="M139" s="19" t="s">
        <v>39</v>
      </c>
      <c r="N139" s="20" t="s">
        <v>238</v>
      </c>
      <c r="O139" s="20">
        <v>15</v>
      </c>
      <c r="P139" s="20"/>
      <c r="Q139" s="21">
        <v>45509</v>
      </c>
      <c r="R139" s="20">
        <v>500</v>
      </c>
      <c r="S139" s="22">
        <v>7716</v>
      </c>
      <c r="T139" s="23">
        <v>216</v>
      </c>
      <c r="V139" s="37">
        <f t="shared" si="21"/>
        <v>7716</v>
      </c>
      <c r="W139" s="28">
        <f t="shared" si="22"/>
        <v>0</v>
      </c>
      <c r="X139" s="26">
        <f t="shared" si="23"/>
        <v>16</v>
      </c>
      <c r="Y139" s="200">
        <f t="shared" si="24"/>
        <v>16</v>
      </c>
      <c r="Z139" s="38">
        <f t="shared" si="25"/>
        <v>0</v>
      </c>
      <c r="AA139" s="39">
        <f t="shared" si="26"/>
        <v>16</v>
      </c>
      <c r="AB139" s="58">
        <f t="shared" si="27"/>
        <v>16</v>
      </c>
      <c r="AE139" s="1"/>
      <c r="AF139" s="1"/>
    </row>
    <row r="140" spans="1:32" hidden="1" x14ac:dyDescent="0.2">
      <c r="A140" s="11" t="s">
        <v>5</v>
      </c>
      <c r="B140" s="12" t="s">
        <v>20</v>
      </c>
      <c r="C140" s="12" t="s">
        <v>239</v>
      </c>
      <c r="D140" s="12" t="s">
        <v>218</v>
      </c>
      <c r="E140" s="12">
        <v>6308470</v>
      </c>
      <c r="F140" s="13">
        <v>7660</v>
      </c>
      <c r="G140" s="14">
        <v>45510</v>
      </c>
      <c r="H140" s="15" t="s">
        <v>7</v>
      </c>
      <c r="I140" s="16" t="s">
        <v>16</v>
      </c>
      <c r="J140" s="16">
        <v>6308681</v>
      </c>
      <c r="K140" s="17">
        <v>7680</v>
      </c>
      <c r="L140" s="18">
        <v>45510</v>
      </c>
      <c r="M140" s="19" t="s">
        <v>39</v>
      </c>
      <c r="N140" s="20" t="s">
        <v>51</v>
      </c>
      <c r="O140" s="20">
        <v>15</v>
      </c>
      <c r="P140" s="20"/>
      <c r="Q140" s="21">
        <v>45510</v>
      </c>
      <c r="R140" s="20">
        <v>500</v>
      </c>
      <c r="S140" s="22">
        <v>7680</v>
      </c>
      <c r="T140" s="23">
        <v>180</v>
      </c>
      <c r="V140" s="37">
        <f t="shared" si="21"/>
        <v>7680</v>
      </c>
      <c r="W140" s="28">
        <f t="shared" si="22"/>
        <v>0</v>
      </c>
      <c r="X140" s="45">
        <f t="shared" si="23"/>
        <v>0</v>
      </c>
      <c r="Y140" s="199">
        <f t="shared" si="24"/>
        <v>20</v>
      </c>
      <c r="Z140" s="38">
        <f t="shared" si="25"/>
        <v>20</v>
      </c>
      <c r="AA140" s="39">
        <f t="shared" si="26"/>
        <v>0</v>
      </c>
      <c r="AB140" s="58">
        <f t="shared" si="27"/>
        <v>20</v>
      </c>
      <c r="AE140" s="1"/>
      <c r="AF140" s="1"/>
    </row>
    <row r="141" spans="1:32" hidden="1" x14ac:dyDescent="0.2">
      <c r="A141" s="11" t="s">
        <v>5</v>
      </c>
      <c r="B141" s="12" t="s">
        <v>21</v>
      </c>
      <c r="C141" s="12" t="s">
        <v>240</v>
      </c>
      <c r="D141" s="12" t="s">
        <v>231</v>
      </c>
      <c r="E141" s="12">
        <v>6305922</v>
      </c>
      <c r="F141" s="13">
        <v>7870</v>
      </c>
      <c r="G141" s="14">
        <v>414401</v>
      </c>
      <c r="H141" s="15" t="s">
        <v>48</v>
      </c>
      <c r="I141" s="16" t="s">
        <v>63</v>
      </c>
      <c r="J141" s="16">
        <v>6309334</v>
      </c>
      <c r="K141" s="17">
        <v>7800</v>
      </c>
      <c r="L141" s="18">
        <v>45511</v>
      </c>
      <c r="M141" s="19" t="s">
        <v>44</v>
      </c>
      <c r="N141" s="20" t="s">
        <v>115</v>
      </c>
      <c r="O141" s="20"/>
      <c r="P141" s="20">
        <v>24</v>
      </c>
      <c r="Q141" s="21">
        <v>45511</v>
      </c>
      <c r="R141" s="20">
        <v>110</v>
      </c>
      <c r="S141" s="22">
        <v>7749</v>
      </c>
      <c r="T141" s="23">
        <v>51</v>
      </c>
      <c r="V141" s="37">
        <f t="shared" si="21"/>
        <v>7371</v>
      </c>
      <c r="W141" s="28">
        <f t="shared" si="22"/>
        <v>-378</v>
      </c>
      <c r="X141" s="45">
        <f t="shared" si="23"/>
        <v>-429</v>
      </c>
      <c r="Y141" s="199">
        <f t="shared" si="24"/>
        <v>-499</v>
      </c>
      <c r="Z141" s="38">
        <f t="shared" si="25"/>
        <v>-70</v>
      </c>
      <c r="AA141" s="39">
        <f t="shared" si="26"/>
        <v>-51</v>
      </c>
      <c r="AB141" s="58">
        <f t="shared" si="27"/>
        <v>-121</v>
      </c>
      <c r="AE141" s="1"/>
      <c r="AF141" s="1"/>
    </row>
    <row r="142" spans="1:32" hidden="1" x14ac:dyDescent="0.2">
      <c r="A142" s="11" t="s">
        <v>5</v>
      </c>
      <c r="B142" s="12" t="s">
        <v>20</v>
      </c>
      <c r="C142" s="12" t="s">
        <v>241</v>
      </c>
      <c r="D142" s="12" t="s">
        <v>62</v>
      </c>
      <c r="E142" s="12">
        <v>6306337</v>
      </c>
      <c r="F142" s="13">
        <v>7740</v>
      </c>
      <c r="G142" s="14">
        <v>45509</v>
      </c>
      <c r="H142" s="15" t="s">
        <v>48</v>
      </c>
      <c r="I142" s="16" t="s">
        <v>63</v>
      </c>
      <c r="J142" s="16">
        <v>6309424</v>
      </c>
      <c r="K142" s="17">
        <v>7660</v>
      </c>
      <c r="L142" s="18">
        <v>45511</v>
      </c>
      <c r="M142" s="19" t="s">
        <v>44</v>
      </c>
      <c r="N142" s="20" t="s">
        <v>115</v>
      </c>
      <c r="O142" s="20"/>
      <c r="P142" s="20">
        <v>24</v>
      </c>
      <c r="Q142" s="21">
        <v>45511</v>
      </c>
      <c r="R142" s="20">
        <v>110</v>
      </c>
      <c r="S142" s="22">
        <v>7610</v>
      </c>
      <c r="T142" s="23">
        <v>360</v>
      </c>
      <c r="V142" s="37">
        <f t="shared" ref="V142:V149" si="28">IF(RIGHT(C142, 1)="1",
    IF(O142&lt;&gt;"", 500*O142 + T142 + IF(R142&lt;=110, R142, 0), IF(P142&lt;&gt;"", 305*P142 + T142 + IF(R142&lt;=110, R142, 0), "")),
    IF(O142&lt;&gt;"", 500*O142 + T142, IF(P142&lt;&gt;"", 305*P142 + T142, ""))
)</f>
        <v>7680</v>
      </c>
      <c r="W142" s="24">
        <f t="shared" ref="W142:W149" si="29">IF(OR(ISBLANK(V142), ISBLANK(S142), NOT(ISNUMBER(V142)), NOT(ISNUMBER(S142))), "", V142-S142)</f>
        <v>70</v>
      </c>
      <c r="X142" s="27">
        <f t="shared" ref="X142:X149" si="30">IF(OR(ISBLANK(V142), ISBLANK(K142), NOT(ISNUMBER(V142)), NOT(ISNUMBER(K142))), "", V142-K142)</f>
        <v>20</v>
      </c>
      <c r="Y142" s="47">
        <f t="shared" ref="Y142:Y149" si="31">IF(OR(ISBLANK(V142), ISBLANK(F142), NOT(ISNUMBER(V142)), NOT(ISNUMBER(F142))), "", V142-F142)</f>
        <v>-60</v>
      </c>
      <c r="Z142" s="38">
        <f t="shared" ref="Z142:Z149" si="32">IF(OR(ISBLANK(F142), ISBLANK(K142)), "",K142-F142)</f>
        <v>-80</v>
      </c>
      <c r="AA142" s="39">
        <f t="shared" ref="AA142:AA149" si="33">IF(OR(ISBLANK(K142), ISBLANK(S142)), "",S142-K142)</f>
        <v>-50</v>
      </c>
      <c r="AB142" s="39">
        <f t="shared" ref="AB142:AB149" si="34">IF(OR(ISBLANK(F142), ISBLANK(S142)), "",S142-F142)</f>
        <v>-130</v>
      </c>
      <c r="AE142" s="1"/>
      <c r="AF142" s="1"/>
    </row>
    <row r="143" spans="1:32" hidden="1" x14ac:dyDescent="0.2">
      <c r="A143" s="11" t="s">
        <v>5</v>
      </c>
      <c r="B143" s="12" t="s">
        <v>24</v>
      </c>
      <c r="C143" s="12" t="s">
        <v>242</v>
      </c>
      <c r="D143" s="12" t="s">
        <v>62</v>
      </c>
      <c r="E143" s="12">
        <v>6310772</v>
      </c>
      <c r="F143" s="13">
        <v>7780</v>
      </c>
      <c r="G143" s="14">
        <v>45512</v>
      </c>
      <c r="H143" s="15" t="s">
        <v>31</v>
      </c>
      <c r="I143" s="16" t="s">
        <v>27</v>
      </c>
      <c r="J143" s="16">
        <v>6311047</v>
      </c>
      <c r="K143" s="17">
        <v>7800</v>
      </c>
      <c r="L143" s="18">
        <v>45512</v>
      </c>
      <c r="M143" s="19" t="s">
        <v>17</v>
      </c>
      <c r="N143" s="20" t="s">
        <v>115</v>
      </c>
      <c r="O143" s="20">
        <v>15</v>
      </c>
      <c r="P143" s="20"/>
      <c r="Q143" s="21">
        <v>45512</v>
      </c>
      <c r="R143" s="20">
        <v>500</v>
      </c>
      <c r="S143" s="22">
        <v>7610</v>
      </c>
      <c r="T143" s="23">
        <v>200</v>
      </c>
      <c r="V143" s="37">
        <f t="shared" si="28"/>
        <v>7700</v>
      </c>
      <c r="W143" s="46">
        <f t="shared" si="29"/>
        <v>90</v>
      </c>
      <c r="X143" s="26">
        <f t="shared" si="30"/>
        <v>-100</v>
      </c>
      <c r="Y143" s="203">
        <f t="shared" si="31"/>
        <v>-80</v>
      </c>
      <c r="Z143" s="38">
        <f t="shared" si="32"/>
        <v>20</v>
      </c>
      <c r="AA143" s="39">
        <f t="shared" si="33"/>
        <v>-190</v>
      </c>
      <c r="AB143" s="39">
        <f t="shared" si="34"/>
        <v>-170</v>
      </c>
      <c r="AE143" s="1"/>
      <c r="AF143" s="1"/>
    </row>
    <row r="144" spans="1:32" hidden="1" x14ac:dyDescent="0.2">
      <c r="A144" s="11"/>
      <c r="B144" s="12" t="s">
        <v>20</v>
      </c>
      <c r="C144" s="12" t="s">
        <v>243</v>
      </c>
      <c r="D144" s="12" t="s">
        <v>218</v>
      </c>
      <c r="E144" s="12">
        <v>6308601</v>
      </c>
      <c r="F144" s="13">
        <v>7780</v>
      </c>
      <c r="G144" s="14">
        <v>45510</v>
      </c>
      <c r="H144" s="15" t="s">
        <v>31</v>
      </c>
      <c r="I144" s="16" t="s">
        <v>43</v>
      </c>
      <c r="J144" s="16">
        <v>6310606</v>
      </c>
      <c r="K144" s="17">
        <v>7780</v>
      </c>
      <c r="L144" s="18">
        <v>45511</v>
      </c>
      <c r="M144" s="19" t="s">
        <v>39</v>
      </c>
      <c r="N144" s="20" t="s">
        <v>18</v>
      </c>
      <c r="O144" s="20">
        <v>15</v>
      </c>
      <c r="P144" s="20"/>
      <c r="Q144" s="21">
        <v>45512</v>
      </c>
      <c r="R144" s="20">
        <v>190</v>
      </c>
      <c r="S144" s="22">
        <v>7698</v>
      </c>
      <c r="T144" s="23">
        <v>190</v>
      </c>
      <c r="V144" s="37">
        <f t="shared" si="28"/>
        <v>7690</v>
      </c>
      <c r="W144" s="28">
        <f t="shared" si="29"/>
        <v>-8</v>
      </c>
      <c r="X144" s="26">
        <f t="shared" si="30"/>
        <v>-90</v>
      </c>
      <c r="Y144" s="47">
        <f t="shared" si="31"/>
        <v>-90</v>
      </c>
      <c r="Z144" s="38">
        <f t="shared" si="32"/>
        <v>0</v>
      </c>
      <c r="AA144" s="39">
        <f t="shared" si="33"/>
        <v>-82</v>
      </c>
      <c r="AB144" s="39">
        <f t="shared" si="34"/>
        <v>-82</v>
      </c>
      <c r="AE144" s="1"/>
      <c r="AF144" s="1"/>
    </row>
    <row r="145" spans="1:32" x14ac:dyDescent="0.2">
      <c r="A145" s="11" t="s">
        <v>5</v>
      </c>
      <c r="B145" s="12" t="s">
        <v>24</v>
      </c>
      <c r="C145" s="12" t="s">
        <v>244</v>
      </c>
      <c r="D145" s="12" t="s">
        <v>62</v>
      </c>
      <c r="E145" s="12">
        <v>6305567</v>
      </c>
      <c r="F145" s="13">
        <v>7720</v>
      </c>
      <c r="G145" s="14">
        <v>45507</v>
      </c>
      <c r="H145" s="15" t="s">
        <v>48</v>
      </c>
      <c r="I145" s="16" t="s">
        <v>32</v>
      </c>
      <c r="J145" s="16">
        <v>6309541</v>
      </c>
      <c r="K145" s="17">
        <v>7740</v>
      </c>
      <c r="L145" s="18">
        <v>45511</v>
      </c>
      <c r="M145" s="19" t="s">
        <v>44</v>
      </c>
      <c r="N145" s="20" t="s">
        <v>51</v>
      </c>
      <c r="O145" s="20"/>
      <c r="P145" s="20">
        <v>25</v>
      </c>
      <c r="Q145" s="21">
        <v>45511</v>
      </c>
      <c r="R145" s="20">
        <v>310</v>
      </c>
      <c r="S145" s="22">
        <v>7700</v>
      </c>
      <c r="T145" s="23">
        <v>270</v>
      </c>
      <c r="V145" s="37">
        <f t="shared" si="28"/>
        <v>7895</v>
      </c>
      <c r="W145" s="24">
        <f t="shared" si="29"/>
        <v>195</v>
      </c>
      <c r="X145" s="27">
        <f t="shared" si="30"/>
        <v>155</v>
      </c>
      <c r="Y145" s="47">
        <f t="shared" si="31"/>
        <v>175</v>
      </c>
      <c r="Z145" s="38">
        <f t="shared" si="32"/>
        <v>20</v>
      </c>
      <c r="AA145" s="39">
        <f t="shared" si="33"/>
        <v>-40</v>
      </c>
      <c r="AB145" s="39">
        <f t="shared" si="34"/>
        <v>-20</v>
      </c>
      <c r="AE145" s="1"/>
      <c r="AF145" s="1"/>
    </row>
    <row r="146" spans="1:32" hidden="1" x14ac:dyDescent="0.2">
      <c r="A146" s="11" t="s">
        <v>5</v>
      </c>
      <c r="B146" s="12" t="s">
        <v>24</v>
      </c>
      <c r="C146" s="12" t="s">
        <v>245</v>
      </c>
      <c r="D146" s="12" t="s">
        <v>15</v>
      </c>
      <c r="E146" s="12">
        <v>6310436</v>
      </c>
      <c r="F146" s="13">
        <v>7790</v>
      </c>
      <c r="G146" s="14">
        <v>45511</v>
      </c>
      <c r="H146" s="15" t="s">
        <v>31</v>
      </c>
      <c r="I146" s="16" t="s">
        <v>27</v>
      </c>
      <c r="J146" s="16">
        <v>6310724</v>
      </c>
      <c r="K146" s="17">
        <v>7820</v>
      </c>
      <c r="L146" s="18">
        <v>45512</v>
      </c>
      <c r="M146" s="19" t="s">
        <v>17</v>
      </c>
      <c r="N146" s="20" t="s">
        <v>238</v>
      </c>
      <c r="O146" s="20">
        <v>15</v>
      </c>
      <c r="P146" s="20"/>
      <c r="Q146" s="21">
        <v>45512</v>
      </c>
      <c r="R146" s="20">
        <v>110</v>
      </c>
      <c r="S146" s="22">
        <v>7831</v>
      </c>
      <c r="T146" s="23">
        <v>220</v>
      </c>
      <c r="V146" s="37">
        <f t="shared" si="28"/>
        <v>7830</v>
      </c>
      <c r="W146" s="28">
        <f t="shared" si="29"/>
        <v>-1</v>
      </c>
      <c r="X146" s="45">
        <f t="shared" si="30"/>
        <v>10</v>
      </c>
      <c r="Y146" s="204">
        <f t="shared" si="31"/>
        <v>40</v>
      </c>
      <c r="Z146" s="38">
        <f t="shared" si="32"/>
        <v>30</v>
      </c>
      <c r="AA146" s="39">
        <f t="shared" si="33"/>
        <v>11</v>
      </c>
      <c r="AB146" s="39">
        <f t="shared" si="34"/>
        <v>41</v>
      </c>
      <c r="AE146" s="1"/>
      <c r="AF146" s="1"/>
    </row>
    <row r="147" spans="1:32" hidden="1" x14ac:dyDescent="0.2">
      <c r="A147" s="11" t="s">
        <v>5</v>
      </c>
      <c r="B147" s="12" t="s">
        <v>21</v>
      </c>
      <c r="C147" s="12" t="s">
        <v>246</v>
      </c>
      <c r="D147" s="12" t="s">
        <v>218</v>
      </c>
      <c r="E147" s="12">
        <v>6309688</v>
      </c>
      <c r="F147" s="13">
        <v>8030</v>
      </c>
      <c r="G147" s="14">
        <v>45511</v>
      </c>
      <c r="H147" s="15" t="s">
        <v>31</v>
      </c>
      <c r="I147" s="16" t="s">
        <v>101</v>
      </c>
      <c r="J147" s="16">
        <v>6310500</v>
      </c>
      <c r="K147" s="17">
        <v>7930</v>
      </c>
      <c r="L147" s="18">
        <v>45511</v>
      </c>
      <c r="M147" s="19" t="s">
        <v>39</v>
      </c>
      <c r="N147" s="20" t="s">
        <v>247</v>
      </c>
      <c r="O147" s="20">
        <v>15</v>
      </c>
      <c r="P147" s="20"/>
      <c r="Q147" s="21">
        <v>45512</v>
      </c>
      <c r="R147" s="20">
        <v>500</v>
      </c>
      <c r="S147" s="22">
        <v>7910</v>
      </c>
      <c r="T147" s="23">
        <v>390</v>
      </c>
      <c r="V147" s="37">
        <f t="shared" si="28"/>
        <v>7890</v>
      </c>
      <c r="W147" s="28">
        <f t="shared" si="29"/>
        <v>-20</v>
      </c>
      <c r="X147" s="45">
        <f t="shared" si="30"/>
        <v>-40</v>
      </c>
      <c r="Y147" s="204">
        <f t="shared" si="31"/>
        <v>-140</v>
      </c>
      <c r="Z147" s="38">
        <f t="shared" si="32"/>
        <v>-100</v>
      </c>
      <c r="AA147" s="39">
        <f t="shared" si="33"/>
        <v>-20</v>
      </c>
      <c r="AB147" s="39">
        <f t="shared" si="34"/>
        <v>-120</v>
      </c>
      <c r="AE147" s="1"/>
      <c r="AF147" s="1"/>
    </row>
    <row r="148" spans="1:32" hidden="1" x14ac:dyDescent="0.2">
      <c r="A148" s="11" t="s">
        <v>5</v>
      </c>
      <c r="B148" s="12" t="s">
        <v>21</v>
      </c>
      <c r="C148" s="12" t="s">
        <v>248</v>
      </c>
      <c r="D148" s="12" t="s">
        <v>62</v>
      </c>
      <c r="E148" s="12">
        <v>6310764</v>
      </c>
      <c r="F148" s="13">
        <v>7660</v>
      </c>
      <c r="G148" s="14">
        <v>45512</v>
      </c>
      <c r="H148" s="15" t="s">
        <v>31</v>
      </c>
      <c r="I148" s="16" t="s">
        <v>27</v>
      </c>
      <c r="J148" s="16">
        <v>6310934</v>
      </c>
      <c r="K148" s="17">
        <v>7560</v>
      </c>
      <c r="L148" s="18">
        <v>45512</v>
      </c>
      <c r="M148" s="19" t="s">
        <v>44</v>
      </c>
      <c r="N148" s="20" t="s">
        <v>115</v>
      </c>
      <c r="O148" s="20">
        <v>14</v>
      </c>
      <c r="P148" s="20"/>
      <c r="Q148" s="21">
        <v>45512</v>
      </c>
      <c r="R148" s="20">
        <v>110</v>
      </c>
      <c r="S148" s="22">
        <v>7560</v>
      </c>
      <c r="T148" s="23">
        <v>450</v>
      </c>
      <c r="V148" s="37">
        <f t="shared" si="28"/>
        <v>7560</v>
      </c>
      <c r="W148" s="28">
        <f t="shared" si="29"/>
        <v>0</v>
      </c>
      <c r="X148" s="45">
        <f t="shared" si="30"/>
        <v>0</v>
      </c>
      <c r="Y148" s="204">
        <f t="shared" si="31"/>
        <v>-100</v>
      </c>
      <c r="Z148" s="38">
        <f t="shared" si="32"/>
        <v>-100</v>
      </c>
      <c r="AA148" s="39">
        <f t="shared" si="33"/>
        <v>0</v>
      </c>
      <c r="AB148" s="39">
        <f t="shared" si="34"/>
        <v>-100</v>
      </c>
      <c r="AE148" s="1"/>
      <c r="AF148" s="1"/>
    </row>
    <row r="149" spans="1:32" hidden="1" x14ac:dyDescent="0.2">
      <c r="A149" s="11" t="s">
        <v>5</v>
      </c>
      <c r="B149" s="12" t="s">
        <v>21</v>
      </c>
      <c r="C149" s="12" t="s">
        <v>249</v>
      </c>
      <c r="D149" s="12" t="s">
        <v>15</v>
      </c>
      <c r="E149" s="12">
        <v>6310568</v>
      </c>
      <c r="F149" s="13">
        <v>7760</v>
      </c>
      <c r="G149" s="14">
        <v>45511</v>
      </c>
      <c r="H149" s="15" t="s">
        <v>31</v>
      </c>
      <c r="I149" s="16" t="s">
        <v>27</v>
      </c>
      <c r="J149" s="16">
        <v>6310781</v>
      </c>
      <c r="K149" s="17">
        <v>7560</v>
      </c>
      <c r="L149" s="18">
        <v>45512</v>
      </c>
      <c r="M149" s="19" t="s">
        <v>44</v>
      </c>
      <c r="N149" s="20" t="s">
        <v>18</v>
      </c>
      <c r="O149" s="20">
        <v>14</v>
      </c>
      <c r="P149" s="20"/>
      <c r="Q149" s="21">
        <v>45512</v>
      </c>
      <c r="R149" s="20">
        <v>110</v>
      </c>
      <c r="S149" s="22">
        <v>7570</v>
      </c>
      <c r="T149" s="23">
        <v>450</v>
      </c>
      <c r="V149" s="37">
        <f t="shared" si="28"/>
        <v>7560</v>
      </c>
      <c r="W149" s="46">
        <f t="shared" si="29"/>
        <v>-10</v>
      </c>
      <c r="X149" s="27">
        <f t="shared" si="30"/>
        <v>0</v>
      </c>
      <c r="Y149" s="204">
        <f t="shared" si="31"/>
        <v>-200</v>
      </c>
      <c r="Z149" s="38">
        <f t="shared" si="32"/>
        <v>-200</v>
      </c>
      <c r="AA149" s="39">
        <f t="shared" si="33"/>
        <v>10</v>
      </c>
      <c r="AB149" s="39">
        <f t="shared" si="34"/>
        <v>-190</v>
      </c>
      <c r="AE149" s="1"/>
      <c r="AF149" s="1"/>
    </row>
    <row r="150" spans="1:32" hidden="1" x14ac:dyDescent="0.2">
      <c r="A150" s="11" t="s">
        <v>28</v>
      </c>
      <c r="B150" s="12" t="s">
        <v>19</v>
      </c>
      <c r="C150" s="12" t="s">
        <v>250</v>
      </c>
      <c r="D150" s="12" t="s">
        <v>15</v>
      </c>
      <c r="E150" s="12">
        <v>6310571</v>
      </c>
      <c r="F150" s="13">
        <v>8135</v>
      </c>
      <c r="G150" s="14">
        <v>45511</v>
      </c>
      <c r="H150" s="15" t="s">
        <v>7</v>
      </c>
      <c r="I150" s="16" t="s">
        <v>40</v>
      </c>
      <c r="J150" s="16">
        <v>6311070</v>
      </c>
      <c r="K150" s="17">
        <v>8150</v>
      </c>
      <c r="L150" s="18">
        <v>45512</v>
      </c>
      <c r="M150" s="19" t="s">
        <v>35</v>
      </c>
      <c r="N150" s="20" t="s">
        <v>74</v>
      </c>
      <c r="O150" s="20">
        <v>16</v>
      </c>
      <c r="P150" s="20"/>
      <c r="Q150" s="21">
        <v>45512</v>
      </c>
      <c r="R150" s="20">
        <v>110</v>
      </c>
      <c r="S150" s="22">
        <v>8110</v>
      </c>
      <c r="T150" s="23">
        <v>0</v>
      </c>
      <c r="V150" s="37">
        <f t="shared" ref="V150:V213" si="35">IF(RIGHT(C150, 1)="1",
    IF(O150&lt;&gt;"", 500*O150 + T150 + IF(R150&lt;=110, R150, 0), IF(P150&lt;&gt;"", 305*P150 + T150 + IF(R150&lt;=110, R150, 0), "")),
    IF(O150&lt;&gt;"", 500*O150 + T150, IF(P150&lt;&gt;"", 305*P150 + T150, ""))
)</f>
        <v>8110</v>
      </c>
      <c r="W150" s="28">
        <f t="shared" ref="W150:W213" si="36">IF(OR(ISBLANK(V150), ISBLANK(S150), NOT(ISNUMBER(V150)), NOT(ISNUMBER(S150))), "", V150-S150)</f>
        <v>0</v>
      </c>
      <c r="X150" s="26">
        <f t="shared" ref="X150:X213" si="37">IF(OR(ISBLANK(V150), ISBLANK(K150), NOT(ISNUMBER(V150)), NOT(ISNUMBER(K150))), "", V150-K150)</f>
        <v>-40</v>
      </c>
      <c r="Y150" s="47">
        <f t="shared" ref="Y150:Y213" si="38">IF(OR(ISBLANK(V150), ISBLANK(F150), NOT(ISNUMBER(V150)), NOT(ISNUMBER(F150))), "", V150-F150)</f>
        <v>-25</v>
      </c>
      <c r="Z150" s="38">
        <f t="shared" ref="Z150:Z213" si="39">IF(OR(ISBLANK(F150), ISBLANK(K150)), "",K150-F150)</f>
        <v>15</v>
      </c>
      <c r="AA150" s="39">
        <f t="shared" ref="AA150:AA213" si="40">IF(OR(ISBLANK(K150), ISBLANK(S150)), "",S150-K150)</f>
        <v>-40</v>
      </c>
      <c r="AB150" s="39">
        <f t="shared" ref="AB150:AB213" si="41">IF(OR(ISBLANK(F150), ISBLANK(S150)), "",S150-F150)</f>
        <v>-25</v>
      </c>
      <c r="AE150" s="1"/>
      <c r="AF150" s="1"/>
    </row>
    <row r="151" spans="1:32" hidden="1" x14ac:dyDescent="0.2">
      <c r="A151" s="11" t="s">
        <v>28</v>
      </c>
      <c r="B151" s="12" t="s">
        <v>19</v>
      </c>
      <c r="C151" s="12" t="s">
        <v>251</v>
      </c>
      <c r="D151" s="12" t="s">
        <v>218</v>
      </c>
      <c r="E151" s="12">
        <v>6309583</v>
      </c>
      <c r="F151" s="13">
        <v>8140</v>
      </c>
      <c r="G151" s="14">
        <v>45511</v>
      </c>
      <c r="H151" s="15" t="s">
        <v>7</v>
      </c>
      <c r="I151" s="16" t="s">
        <v>63</v>
      </c>
      <c r="J151" s="16">
        <v>6310868</v>
      </c>
      <c r="K151" s="17">
        <v>8158</v>
      </c>
      <c r="L151" s="18">
        <v>45512</v>
      </c>
      <c r="M151" s="19" t="s">
        <v>35</v>
      </c>
      <c r="N151" s="20" t="s">
        <v>74</v>
      </c>
      <c r="O151" s="20">
        <v>16</v>
      </c>
      <c r="P151" s="20"/>
      <c r="Q151" s="21">
        <v>45512</v>
      </c>
      <c r="R151" s="20">
        <v>110</v>
      </c>
      <c r="S151" s="22">
        <v>8110</v>
      </c>
      <c r="T151" s="23">
        <v>40</v>
      </c>
      <c r="V151" s="37">
        <f t="shared" si="35"/>
        <v>8150</v>
      </c>
      <c r="W151" s="24">
        <f t="shared" si="36"/>
        <v>40</v>
      </c>
      <c r="X151" s="27">
        <f t="shared" si="37"/>
        <v>-8</v>
      </c>
      <c r="Y151" s="47">
        <f t="shared" si="38"/>
        <v>10</v>
      </c>
      <c r="Z151" s="38">
        <f t="shared" si="39"/>
        <v>18</v>
      </c>
      <c r="AA151" s="39">
        <f t="shared" si="40"/>
        <v>-48</v>
      </c>
      <c r="AB151" s="39">
        <f t="shared" si="41"/>
        <v>-30</v>
      </c>
      <c r="AC151" s="32"/>
      <c r="AE151" s="1"/>
      <c r="AF151" s="1"/>
    </row>
    <row r="152" spans="1:32" hidden="1" x14ac:dyDescent="0.2">
      <c r="A152" s="11" t="s">
        <v>28</v>
      </c>
      <c r="B152" s="12" t="s">
        <v>24</v>
      </c>
      <c r="C152" s="12" t="s">
        <v>252</v>
      </c>
      <c r="D152" s="12" t="s">
        <v>218</v>
      </c>
      <c r="E152" s="12">
        <v>6309945</v>
      </c>
      <c r="F152" s="13">
        <v>8140</v>
      </c>
      <c r="G152" s="14">
        <v>45511</v>
      </c>
      <c r="H152" s="15" t="s">
        <v>7</v>
      </c>
      <c r="I152" s="16" t="s">
        <v>32</v>
      </c>
      <c r="J152" s="16">
        <v>631160</v>
      </c>
      <c r="K152" s="17">
        <v>8170</v>
      </c>
      <c r="L152" s="18">
        <v>45512</v>
      </c>
      <c r="M152" s="19" t="s">
        <v>35</v>
      </c>
      <c r="N152" s="20" t="s">
        <v>74</v>
      </c>
      <c r="O152" s="20">
        <v>16</v>
      </c>
      <c r="P152" s="20"/>
      <c r="Q152" s="21">
        <v>45512</v>
      </c>
      <c r="R152" s="20">
        <v>110</v>
      </c>
      <c r="S152" s="22">
        <v>8110</v>
      </c>
      <c r="T152" s="23">
        <v>20</v>
      </c>
      <c r="V152" s="37">
        <f t="shared" si="35"/>
        <v>8130</v>
      </c>
      <c r="W152" s="46">
        <f t="shared" si="36"/>
        <v>20</v>
      </c>
      <c r="X152" s="26">
        <f t="shared" si="37"/>
        <v>-40</v>
      </c>
      <c r="Y152" s="203">
        <f t="shared" si="38"/>
        <v>-10</v>
      </c>
      <c r="Z152" s="38">
        <f t="shared" si="39"/>
        <v>30</v>
      </c>
      <c r="AA152" s="39">
        <f t="shared" si="40"/>
        <v>-60</v>
      </c>
      <c r="AB152" s="39">
        <f t="shared" si="41"/>
        <v>-30</v>
      </c>
      <c r="AC152" s="32"/>
      <c r="AE152" s="1"/>
      <c r="AF152" s="1"/>
    </row>
    <row r="153" spans="1:32" hidden="1" x14ac:dyDescent="0.2">
      <c r="A153" s="11" t="s">
        <v>28</v>
      </c>
      <c r="B153" s="12" t="s">
        <v>19</v>
      </c>
      <c r="C153" s="12" t="s">
        <v>253</v>
      </c>
      <c r="D153" s="12" t="s">
        <v>15</v>
      </c>
      <c r="E153" s="12">
        <v>6310421</v>
      </c>
      <c r="F153" s="13">
        <v>8136</v>
      </c>
      <c r="G153" s="14">
        <v>45511</v>
      </c>
      <c r="H153" s="15" t="s">
        <v>7</v>
      </c>
      <c r="I153" s="16" t="s">
        <v>63</v>
      </c>
      <c r="J153" s="16">
        <v>630738</v>
      </c>
      <c r="K153" s="17">
        <v>8153</v>
      </c>
      <c r="L153" s="18">
        <v>45512</v>
      </c>
      <c r="M153" s="19" t="s">
        <v>35</v>
      </c>
      <c r="N153" s="20" t="s">
        <v>36</v>
      </c>
      <c r="O153" s="20">
        <v>16</v>
      </c>
      <c r="P153" s="20"/>
      <c r="Q153" s="21">
        <v>45512</v>
      </c>
      <c r="R153" s="20">
        <v>110</v>
      </c>
      <c r="S153" s="22">
        <v>8136</v>
      </c>
      <c r="T153" s="23">
        <v>28</v>
      </c>
      <c r="V153" s="37">
        <f t="shared" si="35"/>
        <v>8138</v>
      </c>
      <c r="W153" s="28">
        <f t="shared" si="36"/>
        <v>2</v>
      </c>
      <c r="X153" s="26">
        <f t="shared" si="37"/>
        <v>-15</v>
      </c>
      <c r="Y153" s="47">
        <f t="shared" si="38"/>
        <v>2</v>
      </c>
      <c r="Z153" s="38">
        <f t="shared" si="39"/>
        <v>17</v>
      </c>
      <c r="AA153" s="39">
        <f t="shared" si="40"/>
        <v>-17</v>
      </c>
      <c r="AB153" s="39">
        <f t="shared" si="41"/>
        <v>0</v>
      </c>
      <c r="AC153" s="32"/>
      <c r="AE153" s="1"/>
      <c r="AF153" s="1"/>
    </row>
    <row r="154" spans="1:32" hidden="1" x14ac:dyDescent="0.2">
      <c r="A154" s="11" t="s">
        <v>28</v>
      </c>
      <c r="B154" s="12" t="s">
        <v>24</v>
      </c>
      <c r="C154" s="12" t="s">
        <v>254</v>
      </c>
      <c r="D154" s="12" t="s">
        <v>218</v>
      </c>
      <c r="E154" s="12">
        <v>6309679</v>
      </c>
      <c r="F154" s="13">
        <v>8140</v>
      </c>
      <c r="G154" s="14">
        <v>45511</v>
      </c>
      <c r="H154" s="15" t="s">
        <v>7</v>
      </c>
      <c r="I154" s="16" t="s">
        <v>63</v>
      </c>
      <c r="J154" s="16">
        <v>6310801</v>
      </c>
      <c r="K154" s="17">
        <v>8175</v>
      </c>
      <c r="L154" s="18">
        <v>45512</v>
      </c>
      <c r="M154" s="19" t="s">
        <v>35</v>
      </c>
      <c r="N154" s="20" t="s">
        <v>36</v>
      </c>
      <c r="O154" s="20">
        <v>16</v>
      </c>
      <c r="P154" s="20"/>
      <c r="Q154" s="21">
        <v>45512</v>
      </c>
      <c r="R154" s="20">
        <v>110</v>
      </c>
      <c r="S154" s="22">
        <v>8165</v>
      </c>
      <c r="T154" s="23">
        <v>46</v>
      </c>
      <c r="V154" s="37">
        <f t="shared" si="35"/>
        <v>8156</v>
      </c>
      <c r="W154" s="28">
        <f t="shared" si="36"/>
        <v>-9</v>
      </c>
      <c r="X154" s="26">
        <f t="shared" si="37"/>
        <v>-19</v>
      </c>
      <c r="Y154" s="47">
        <f t="shared" si="38"/>
        <v>16</v>
      </c>
      <c r="Z154" s="38">
        <f t="shared" si="39"/>
        <v>35</v>
      </c>
      <c r="AA154" s="39">
        <f t="shared" si="40"/>
        <v>-10</v>
      </c>
      <c r="AB154" s="39">
        <f t="shared" si="41"/>
        <v>25</v>
      </c>
      <c r="AC154" s="32"/>
      <c r="AE154" s="1"/>
      <c r="AF154" s="1"/>
    </row>
    <row r="155" spans="1:32" hidden="1" x14ac:dyDescent="0.2">
      <c r="A155" s="11" t="s">
        <v>28</v>
      </c>
      <c r="B155" s="12" t="s">
        <v>19</v>
      </c>
      <c r="C155" s="12" t="s">
        <v>255</v>
      </c>
      <c r="D155" s="12" t="s">
        <v>218</v>
      </c>
      <c r="E155" s="12">
        <v>6309910</v>
      </c>
      <c r="F155" s="13">
        <v>8140</v>
      </c>
      <c r="G155" s="14">
        <v>45511</v>
      </c>
      <c r="H155" s="15" t="s">
        <v>7</v>
      </c>
      <c r="I155" s="16" t="s">
        <v>8</v>
      </c>
      <c r="J155" s="16">
        <v>6310613</v>
      </c>
      <c r="K155" s="17">
        <v>8150</v>
      </c>
      <c r="L155" s="18">
        <v>45511</v>
      </c>
      <c r="M155" s="19" t="s">
        <v>35</v>
      </c>
      <c r="N155" s="20" t="s">
        <v>36</v>
      </c>
      <c r="O155" s="20">
        <v>16</v>
      </c>
      <c r="P155" s="20"/>
      <c r="Q155" s="21">
        <v>45512</v>
      </c>
      <c r="R155" s="20">
        <v>110</v>
      </c>
      <c r="S155" s="22">
        <v>8150</v>
      </c>
      <c r="T155" s="23">
        <v>40</v>
      </c>
      <c r="V155" s="37">
        <f t="shared" si="35"/>
        <v>8150</v>
      </c>
      <c r="W155" s="28">
        <f t="shared" si="36"/>
        <v>0</v>
      </c>
      <c r="X155" s="45">
        <f t="shared" si="37"/>
        <v>0</v>
      </c>
      <c r="Y155" s="204">
        <f t="shared" si="38"/>
        <v>10</v>
      </c>
      <c r="Z155" s="38">
        <f t="shared" si="39"/>
        <v>10</v>
      </c>
      <c r="AA155" s="39">
        <f t="shared" si="40"/>
        <v>0</v>
      </c>
      <c r="AB155" s="39">
        <f t="shared" si="41"/>
        <v>10</v>
      </c>
      <c r="AC155" s="32"/>
      <c r="AE155" s="1"/>
      <c r="AF155" s="1"/>
    </row>
    <row r="156" spans="1:32" hidden="1" x14ac:dyDescent="0.2">
      <c r="A156" s="11" t="s">
        <v>5</v>
      </c>
      <c r="B156" s="12" t="s">
        <v>20</v>
      </c>
      <c r="C156" s="12" t="s">
        <v>256</v>
      </c>
      <c r="D156" s="12" t="s">
        <v>218</v>
      </c>
      <c r="E156" s="12">
        <v>6309941</v>
      </c>
      <c r="F156" s="13">
        <v>7660</v>
      </c>
      <c r="G156" s="14">
        <v>45511</v>
      </c>
      <c r="H156" s="15" t="s">
        <v>163</v>
      </c>
      <c r="I156" s="16" t="s">
        <v>8</v>
      </c>
      <c r="J156" s="16">
        <v>6310390</v>
      </c>
      <c r="K156" s="17">
        <v>7660</v>
      </c>
      <c r="L156" s="18">
        <v>45511</v>
      </c>
      <c r="M156" s="19" t="s">
        <v>35</v>
      </c>
      <c r="N156" s="20" t="s">
        <v>79</v>
      </c>
      <c r="O156" s="20">
        <v>15</v>
      </c>
      <c r="P156" s="20"/>
      <c r="Q156" s="21">
        <v>45511</v>
      </c>
      <c r="R156" s="20">
        <v>110</v>
      </c>
      <c r="S156" s="22">
        <v>7660</v>
      </c>
      <c r="T156" s="23">
        <v>40</v>
      </c>
      <c r="V156" s="37">
        <f t="shared" si="35"/>
        <v>7650</v>
      </c>
      <c r="W156" s="24">
        <f t="shared" si="36"/>
        <v>-10</v>
      </c>
      <c r="X156" s="45">
        <f t="shared" si="37"/>
        <v>-10</v>
      </c>
      <c r="Y156" s="47">
        <f t="shared" si="38"/>
        <v>-10</v>
      </c>
      <c r="Z156" s="38">
        <f t="shared" si="39"/>
        <v>0</v>
      </c>
      <c r="AA156" s="39">
        <f t="shared" si="40"/>
        <v>0</v>
      </c>
      <c r="AB156" s="39">
        <f t="shared" si="41"/>
        <v>0</v>
      </c>
      <c r="AC156" s="32"/>
      <c r="AE156" s="1"/>
      <c r="AF156" s="1"/>
    </row>
    <row r="157" spans="1:32" hidden="1" x14ac:dyDescent="0.2">
      <c r="A157" s="11" t="s">
        <v>5</v>
      </c>
      <c r="B157" s="12" t="s">
        <v>21</v>
      </c>
      <c r="C157" s="12" t="s">
        <v>257</v>
      </c>
      <c r="D157" s="12" t="s">
        <v>218</v>
      </c>
      <c r="E157" s="12">
        <v>6309587</v>
      </c>
      <c r="F157" s="13">
        <v>7660</v>
      </c>
      <c r="G157" s="14">
        <v>45511</v>
      </c>
      <c r="H157" s="15" t="s">
        <v>31</v>
      </c>
      <c r="I157" s="16" t="s">
        <v>101</v>
      </c>
      <c r="J157" s="16">
        <v>6310368</v>
      </c>
      <c r="K157" s="17">
        <v>7550</v>
      </c>
      <c r="L157" s="18">
        <v>45511</v>
      </c>
      <c r="M157" s="19" t="s">
        <v>39</v>
      </c>
      <c r="N157" s="20" t="s">
        <v>51</v>
      </c>
      <c r="O157" s="20">
        <v>14</v>
      </c>
      <c r="P157" s="20"/>
      <c r="Q157" s="21">
        <v>45511</v>
      </c>
      <c r="R157" s="20">
        <v>110</v>
      </c>
      <c r="S157" s="22">
        <v>7520</v>
      </c>
      <c r="T157" s="23">
        <v>350</v>
      </c>
      <c r="V157" s="37">
        <f t="shared" si="35"/>
        <v>7460</v>
      </c>
      <c r="W157" s="28">
        <f t="shared" si="36"/>
        <v>-60</v>
      </c>
      <c r="X157" s="45">
        <f t="shared" si="37"/>
        <v>-90</v>
      </c>
      <c r="Y157" s="204">
        <f t="shared" si="38"/>
        <v>-200</v>
      </c>
      <c r="Z157" s="38">
        <f t="shared" si="39"/>
        <v>-110</v>
      </c>
      <c r="AA157" s="39">
        <f t="shared" si="40"/>
        <v>-30</v>
      </c>
      <c r="AB157" s="39">
        <f t="shared" si="41"/>
        <v>-140</v>
      </c>
      <c r="AC157" s="32"/>
      <c r="AE157" s="1"/>
      <c r="AF157" s="1"/>
    </row>
    <row r="158" spans="1:32" hidden="1" x14ac:dyDescent="0.2">
      <c r="A158" s="11" t="s">
        <v>28</v>
      </c>
      <c r="B158" s="12" t="s">
        <v>19</v>
      </c>
      <c r="C158" s="12" t="s">
        <v>258</v>
      </c>
      <c r="D158" s="12" t="s">
        <v>62</v>
      </c>
      <c r="E158" s="12">
        <v>6310766</v>
      </c>
      <c r="F158" s="13">
        <v>8135</v>
      </c>
      <c r="G158" s="14">
        <v>45512</v>
      </c>
      <c r="H158" s="15" t="s">
        <v>7</v>
      </c>
      <c r="I158" s="16" t="s">
        <v>40</v>
      </c>
      <c r="J158" s="16">
        <v>6310949</v>
      </c>
      <c r="K158" s="17">
        <v>8155</v>
      </c>
      <c r="L158" s="18">
        <v>45512</v>
      </c>
      <c r="M158" s="19" t="s">
        <v>35</v>
      </c>
      <c r="N158" s="20" t="s">
        <v>74</v>
      </c>
      <c r="O158" s="20">
        <v>16</v>
      </c>
      <c r="P158" s="20"/>
      <c r="Q158" s="21">
        <v>45512</v>
      </c>
      <c r="R158" s="20">
        <v>110</v>
      </c>
      <c r="S158" s="22">
        <v>8110</v>
      </c>
      <c r="T158" s="23">
        <v>20</v>
      </c>
      <c r="V158" s="37">
        <f t="shared" si="35"/>
        <v>8130</v>
      </c>
      <c r="W158" s="46">
        <f t="shared" si="36"/>
        <v>20</v>
      </c>
      <c r="X158" s="26">
        <f t="shared" si="37"/>
        <v>-25</v>
      </c>
      <c r="Y158" s="203">
        <f t="shared" si="38"/>
        <v>-5</v>
      </c>
      <c r="Z158" s="38">
        <f t="shared" si="39"/>
        <v>20</v>
      </c>
      <c r="AA158" s="39">
        <f t="shared" si="40"/>
        <v>-45</v>
      </c>
      <c r="AB158" s="39">
        <f t="shared" si="41"/>
        <v>-25</v>
      </c>
      <c r="AC158" s="32"/>
      <c r="AE158" s="1"/>
      <c r="AF158" s="1"/>
    </row>
    <row r="159" spans="1:32" hidden="1" x14ac:dyDescent="0.2">
      <c r="A159" s="11" t="s">
        <v>5</v>
      </c>
      <c r="B159" s="12" t="s">
        <v>19</v>
      </c>
      <c r="C159" s="12" t="s">
        <v>259</v>
      </c>
      <c r="D159" s="12" t="s">
        <v>62</v>
      </c>
      <c r="E159" s="12">
        <v>6310945</v>
      </c>
      <c r="F159" s="13">
        <v>7780</v>
      </c>
      <c r="G159" s="14">
        <v>45512</v>
      </c>
      <c r="H159" s="15" t="s">
        <v>31</v>
      </c>
      <c r="I159" s="16" t="s">
        <v>43</v>
      </c>
      <c r="J159" s="16">
        <v>6311314</v>
      </c>
      <c r="K159" s="17">
        <v>7790</v>
      </c>
      <c r="L159" s="18">
        <v>45512</v>
      </c>
      <c r="M159" s="19" t="s">
        <v>39</v>
      </c>
      <c r="N159" s="20" t="s">
        <v>51</v>
      </c>
      <c r="O159" s="20">
        <v>15</v>
      </c>
      <c r="P159" s="20"/>
      <c r="Q159" s="21">
        <v>45512</v>
      </c>
      <c r="R159" s="20">
        <v>110</v>
      </c>
      <c r="S159" s="22">
        <v>7760</v>
      </c>
      <c r="T159" s="23">
        <v>115</v>
      </c>
      <c r="V159" s="37">
        <f t="shared" si="35"/>
        <v>7725</v>
      </c>
      <c r="W159" s="28">
        <f t="shared" si="36"/>
        <v>-35</v>
      </c>
      <c r="X159" s="26">
        <f t="shared" si="37"/>
        <v>-65</v>
      </c>
      <c r="Y159" s="47">
        <f t="shared" si="38"/>
        <v>-55</v>
      </c>
      <c r="Z159" s="38">
        <f t="shared" si="39"/>
        <v>10</v>
      </c>
      <c r="AA159" s="39">
        <f t="shared" si="40"/>
        <v>-30</v>
      </c>
      <c r="AB159" s="39">
        <f t="shared" si="41"/>
        <v>-20</v>
      </c>
      <c r="AC159" s="32"/>
      <c r="AE159" s="1"/>
      <c r="AF159" s="1"/>
    </row>
    <row r="160" spans="1:32" hidden="1" x14ac:dyDescent="0.2">
      <c r="A160" s="11" t="s">
        <v>28</v>
      </c>
      <c r="B160" s="12" t="s">
        <v>19</v>
      </c>
      <c r="C160" s="12" t="s">
        <v>260</v>
      </c>
      <c r="D160" s="12" t="s">
        <v>218</v>
      </c>
      <c r="E160" s="12">
        <v>6311208</v>
      </c>
      <c r="F160" s="13">
        <v>8140</v>
      </c>
      <c r="G160" s="14">
        <v>45512</v>
      </c>
      <c r="H160" s="15" t="s">
        <v>7</v>
      </c>
      <c r="I160" s="16" t="s">
        <v>101</v>
      </c>
      <c r="J160" s="16">
        <v>6312046</v>
      </c>
      <c r="K160" s="17">
        <v>8150</v>
      </c>
      <c r="L160" s="18">
        <v>45512</v>
      </c>
      <c r="M160" s="19" t="s">
        <v>35</v>
      </c>
      <c r="N160" s="20" t="s">
        <v>79</v>
      </c>
      <c r="O160" s="20">
        <v>16</v>
      </c>
      <c r="P160" s="20"/>
      <c r="Q160" s="21">
        <v>45512</v>
      </c>
      <c r="R160" s="20">
        <v>110</v>
      </c>
      <c r="S160" s="22">
        <v>8153</v>
      </c>
      <c r="T160" s="23">
        <v>50</v>
      </c>
      <c r="V160" s="37">
        <f t="shared" si="35"/>
        <v>8160</v>
      </c>
      <c r="W160" s="28">
        <f t="shared" si="36"/>
        <v>7</v>
      </c>
      <c r="X160" s="45">
        <f t="shared" si="37"/>
        <v>10</v>
      </c>
      <c r="Y160" s="204">
        <f t="shared" si="38"/>
        <v>20</v>
      </c>
      <c r="Z160" s="38">
        <f t="shared" si="39"/>
        <v>10</v>
      </c>
      <c r="AA160" s="39">
        <f t="shared" si="40"/>
        <v>3</v>
      </c>
      <c r="AB160" s="39">
        <f t="shared" si="41"/>
        <v>13</v>
      </c>
      <c r="AC160" s="32"/>
      <c r="AE160" s="1"/>
      <c r="AF160" s="1"/>
    </row>
    <row r="161" spans="1:32" hidden="1" x14ac:dyDescent="0.2">
      <c r="A161" s="11" t="s">
        <v>5</v>
      </c>
      <c r="B161" s="12" t="s">
        <v>21</v>
      </c>
      <c r="C161" s="12" t="s">
        <v>261</v>
      </c>
      <c r="D161" s="12" t="s">
        <v>15</v>
      </c>
      <c r="E161" s="12">
        <v>6310479</v>
      </c>
      <c r="F161" s="13">
        <v>7668</v>
      </c>
      <c r="G161" s="14">
        <v>45511</v>
      </c>
      <c r="H161" s="15" t="s">
        <v>163</v>
      </c>
      <c r="I161" s="16" t="s">
        <v>8</v>
      </c>
      <c r="J161" s="16">
        <v>6312095</v>
      </c>
      <c r="K161" s="17">
        <v>7540</v>
      </c>
      <c r="L161" s="18">
        <v>45512</v>
      </c>
      <c r="M161" s="19" t="s">
        <v>39</v>
      </c>
      <c r="N161" s="20" t="s">
        <v>51</v>
      </c>
      <c r="O161" s="20">
        <v>15</v>
      </c>
      <c r="P161" s="20"/>
      <c r="Q161" s="21">
        <v>45512</v>
      </c>
      <c r="R161" s="20">
        <v>500</v>
      </c>
      <c r="S161" s="22">
        <v>7528</v>
      </c>
      <c r="T161" s="23">
        <v>10</v>
      </c>
      <c r="V161" s="37">
        <f t="shared" si="35"/>
        <v>7510</v>
      </c>
      <c r="W161" s="28">
        <f t="shared" si="36"/>
        <v>-18</v>
      </c>
      <c r="X161" s="45">
        <f t="shared" si="37"/>
        <v>-30</v>
      </c>
      <c r="Y161" s="204">
        <f t="shared" si="38"/>
        <v>-158</v>
      </c>
      <c r="Z161" s="38">
        <f t="shared" si="39"/>
        <v>-128</v>
      </c>
      <c r="AA161" s="39">
        <f t="shared" si="40"/>
        <v>-12</v>
      </c>
      <c r="AB161" s="39">
        <f t="shared" si="41"/>
        <v>-140</v>
      </c>
      <c r="AC161" s="32"/>
      <c r="AE161" s="1"/>
      <c r="AF161" s="1"/>
    </row>
    <row r="162" spans="1:32" hidden="1" x14ac:dyDescent="0.2">
      <c r="A162" s="11" t="s">
        <v>5</v>
      </c>
      <c r="B162" s="12" t="s">
        <v>21</v>
      </c>
      <c r="C162" s="12" t="s">
        <v>262</v>
      </c>
      <c r="D162" s="12" t="s">
        <v>62</v>
      </c>
      <c r="E162" s="12">
        <v>6310941</v>
      </c>
      <c r="F162" s="13">
        <v>7660</v>
      </c>
      <c r="G162" s="14">
        <v>45512</v>
      </c>
      <c r="H162" s="15" t="s">
        <v>31</v>
      </c>
      <c r="I162" s="16" t="s">
        <v>43</v>
      </c>
      <c r="J162" s="16">
        <v>6311470</v>
      </c>
      <c r="K162" s="17">
        <v>7560</v>
      </c>
      <c r="L162" s="18">
        <v>45512</v>
      </c>
      <c r="M162" s="19" t="s">
        <v>17</v>
      </c>
      <c r="N162" s="20" t="s">
        <v>51</v>
      </c>
      <c r="O162" s="20">
        <v>15</v>
      </c>
      <c r="P162" s="20"/>
      <c r="Q162" s="21">
        <v>45512</v>
      </c>
      <c r="R162" s="20">
        <v>500</v>
      </c>
      <c r="S162" s="22">
        <v>7555</v>
      </c>
      <c r="T162" s="23">
        <v>30</v>
      </c>
      <c r="V162" s="37">
        <f t="shared" si="35"/>
        <v>7530</v>
      </c>
      <c r="W162" s="28">
        <f t="shared" si="36"/>
        <v>-25</v>
      </c>
      <c r="X162" s="45">
        <f t="shared" si="37"/>
        <v>-30</v>
      </c>
      <c r="Y162" s="204">
        <f t="shared" si="38"/>
        <v>-130</v>
      </c>
      <c r="Z162" s="38">
        <f t="shared" si="39"/>
        <v>-100</v>
      </c>
      <c r="AA162" s="39">
        <f t="shared" si="40"/>
        <v>-5</v>
      </c>
      <c r="AB162" s="39">
        <f t="shared" si="41"/>
        <v>-105</v>
      </c>
      <c r="AC162" s="32"/>
      <c r="AE162" s="1"/>
      <c r="AF162" s="1"/>
    </row>
    <row r="163" spans="1:32" hidden="1" x14ac:dyDescent="0.2">
      <c r="A163" s="11" t="s">
        <v>28</v>
      </c>
      <c r="B163" s="12" t="s">
        <v>19</v>
      </c>
      <c r="C163" s="12" t="s">
        <v>263</v>
      </c>
      <c r="D163" s="12" t="s">
        <v>15</v>
      </c>
      <c r="E163" s="12">
        <v>6312173</v>
      </c>
      <c r="F163" s="13">
        <v>8135</v>
      </c>
      <c r="G163" s="14">
        <v>45512</v>
      </c>
      <c r="H163" s="15" t="s">
        <v>7</v>
      </c>
      <c r="I163" s="16" t="s">
        <v>101</v>
      </c>
      <c r="J163" s="16">
        <v>6312388</v>
      </c>
      <c r="K163" s="17">
        <v>8145</v>
      </c>
      <c r="L163" s="18">
        <v>45512</v>
      </c>
      <c r="M163" s="19" t="s">
        <v>35</v>
      </c>
      <c r="N163" s="20" t="s">
        <v>36</v>
      </c>
      <c r="O163" s="20">
        <v>16</v>
      </c>
      <c r="P163" s="20"/>
      <c r="Q163" s="21">
        <v>45513</v>
      </c>
      <c r="R163" s="20">
        <v>110</v>
      </c>
      <c r="S163" s="22">
        <v>8157</v>
      </c>
      <c r="T163" s="23">
        <v>37</v>
      </c>
      <c r="V163" s="37">
        <f t="shared" si="35"/>
        <v>8147</v>
      </c>
      <c r="W163" s="46">
        <f t="shared" si="36"/>
        <v>-10</v>
      </c>
      <c r="X163" s="27">
        <f t="shared" si="37"/>
        <v>2</v>
      </c>
      <c r="Y163" s="204">
        <f t="shared" si="38"/>
        <v>12</v>
      </c>
      <c r="Z163" s="38">
        <f t="shared" si="39"/>
        <v>10</v>
      </c>
      <c r="AA163" s="39">
        <f t="shared" si="40"/>
        <v>12</v>
      </c>
      <c r="AB163" s="39">
        <f t="shared" si="41"/>
        <v>22</v>
      </c>
      <c r="AC163" s="32"/>
      <c r="AE163" s="1"/>
      <c r="AF163" s="1"/>
    </row>
    <row r="164" spans="1:32" hidden="1" x14ac:dyDescent="0.2">
      <c r="A164" s="11" t="s">
        <v>28</v>
      </c>
      <c r="B164" s="12" t="s">
        <v>24</v>
      </c>
      <c r="C164" s="12" t="s">
        <v>264</v>
      </c>
      <c r="D164" s="12" t="s">
        <v>218</v>
      </c>
      <c r="E164" s="12">
        <v>6310179</v>
      </c>
      <c r="F164" s="13">
        <v>8115</v>
      </c>
      <c r="G164" s="14">
        <v>45511</v>
      </c>
      <c r="H164" s="15" t="s">
        <v>7</v>
      </c>
      <c r="I164" s="16" t="s">
        <v>101</v>
      </c>
      <c r="J164" s="16"/>
      <c r="K164" s="17">
        <v>8110</v>
      </c>
      <c r="L164" s="18">
        <v>45512</v>
      </c>
      <c r="M164" s="19" t="s">
        <v>35</v>
      </c>
      <c r="N164" s="20" t="s">
        <v>36</v>
      </c>
      <c r="O164" s="20">
        <v>16</v>
      </c>
      <c r="P164" s="20"/>
      <c r="Q164" s="21">
        <v>45513</v>
      </c>
      <c r="R164" s="20">
        <v>500</v>
      </c>
      <c r="S164" s="22">
        <v>8091</v>
      </c>
      <c r="T164" s="23">
        <v>38</v>
      </c>
      <c r="V164" s="37">
        <f t="shared" si="35"/>
        <v>8038</v>
      </c>
      <c r="W164" s="28">
        <f t="shared" si="36"/>
        <v>-53</v>
      </c>
      <c r="X164" s="45">
        <f t="shared" si="37"/>
        <v>-72</v>
      </c>
      <c r="Y164" s="204">
        <f t="shared" si="38"/>
        <v>-77</v>
      </c>
      <c r="Z164" s="38">
        <f t="shared" si="39"/>
        <v>-5</v>
      </c>
      <c r="AA164" s="39">
        <f t="shared" si="40"/>
        <v>-19</v>
      </c>
      <c r="AB164" s="39">
        <f t="shared" si="41"/>
        <v>-24</v>
      </c>
      <c r="AC164" s="32"/>
      <c r="AE164" s="1"/>
      <c r="AF164" s="1"/>
    </row>
    <row r="165" spans="1:32" hidden="1" x14ac:dyDescent="0.2">
      <c r="A165" s="11" t="s">
        <v>28</v>
      </c>
      <c r="B165" s="12" t="s">
        <v>21</v>
      </c>
      <c r="C165" s="12" t="s">
        <v>265</v>
      </c>
      <c r="D165" s="12" t="s">
        <v>218</v>
      </c>
      <c r="E165" s="12">
        <v>6311718</v>
      </c>
      <c r="F165" s="13">
        <v>7660</v>
      </c>
      <c r="G165" s="14">
        <v>45512</v>
      </c>
      <c r="H165" s="15" t="s">
        <v>163</v>
      </c>
      <c r="I165" s="16" t="s">
        <v>8</v>
      </c>
      <c r="J165" s="16">
        <v>6312184</v>
      </c>
      <c r="K165" s="17">
        <v>7540</v>
      </c>
      <c r="L165" s="18">
        <v>45512</v>
      </c>
      <c r="M165" s="19" t="s">
        <v>35</v>
      </c>
      <c r="N165" s="20"/>
      <c r="O165" s="20">
        <v>15</v>
      </c>
      <c r="P165" s="20"/>
      <c r="Q165" s="21">
        <v>45512</v>
      </c>
      <c r="R165" s="20">
        <v>110</v>
      </c>
      <c r="S165" s="22">
        <v>7539</v>
      </c>
      <c r="T165" s="23">
        <v>34</v>
      </c>
      <c r="V165" s="37">
        <f t="shared" si="35"/>
        <v>7534</v>
      </c>
      <c r="W165" s="28">
        <f t="shared" si="36"/>
        <v>-5</v>
      </c>
      <c r="X165" s="45">
        <f t="shared" si="37"/>
        <v>-6</v>
      </c>
      <c r="Y165" s="204">
        <f t="shared" si="38"/>
        <v>-126</v>
      </c>
      <c r="Z165" s="38">
        <f t="shared" si="39"/>
        <v>-120</v>
      </c>
      <c r="AA165" s="39">
        <f t="shared" si="40"/>
        <v>-1</v>
      </c>
      <c r="AB165" s="39">
        <f t="shared" si="41"/>
        <v>-121</v>
      </c>
      <c r="AC165" s="32"/>
      <c r="AE165" s="1"/>
      <c r="AF165" s="1"/>
    </row>
    <row r="166" spans="1:32" hidden="1" x14ac:dyDescent="0.2">
      <c r="A166" s="11" t="s">
        <v>28</v>
      </c>
      <c r="B166" s="12" t="s">
        <v>19</v>
      </c>
      <c r="C166" s="12" t="s">
        <v>266</v>
      </c>
      <c r="D166" s="12" t="s">
        <v>62</v>
      </c>
      <c r="E166" s="12">
        <v>6312690</v>
      </c>
      <c r="F166" s="13">
        <v>8135</v>
      </c>
      <c r="G166" s="14">
        <v>45513</v>
      </c>
      <c r="H166" s="15" t="s">
        <v>7</v>
      </c>
      <c r="I166" s="16" t="s">
        <v>16</v>
      </c>
      <c r="J166" s="16">
        <v>6312908</v>
      </c>
      <c r="K166" s="17">
        <v>8150</v>
      </c>
      <c r="L166" s="18">
        <v>45513</v>
      </c>
      <c r="M166" s="19" t="s">
        <v>35</v>
      </c>
      <c r="N166" s="20" t="s">
        <v>74</v>
      </c>
      <c r="O166" s="20">
        <v>16</v>
      </c>
      <c r="P166" s="20"/>
      <c r="Q166" s="21">
        <v>45513</v>
      </c>
      <c r="R166" s="20">
        <v>110</v>
      </c>
      <c r="S166" s="22">
        <v>8110</v>
      </c>
      <c r="T166" s="23">
        <v>10</v>
      </c>
      <c r="V166" s="37">
        <f t="shared" si="35"/>
        <v>8120</v>
      </c>
      <c r="W166" s="28">
        <f t="shared" si="36"/>
        <v>10</v>
      </c>
      <c r="X166" s="26">
        <f t="shared" si="37"/>
        <v>-30</v>
      </c>
      <c r="Y166" s="47">
        <f t="shared" si="38"/>
        <v>-15</v>
      </c>
      <c r="Z166" s="38">
        <f t="shared" si="39"/>
        <v>15</v>
      </c>
      <c r="AA166" s="39">
        <f t="shared" si="40"/>
        <v>-40</v>
      </c>
      <c r="AB166" s="39">
        <f t="shared" si="41"/>
        <v>-25</v>
      </c>
      <c r="AC166" s="32"/>
      <c r="AE166" s="1"/>
      <c r="AF166" s="1"/>
    </row>
    <row r="167" spans="1:32" hidden="1" x14ac:dyDescent="0.2">
      <c r="A167" s="11" t="s">
        <v>28</v>
      </c>
      <c r="B167" s="12" t="s">
        <v>19</v>
      </c>
      <c r="C167" s="12" t="s">
        <v>267</v>
      </c>
      <c r="D167" s="12" t="s">
        <v>62</v>
      </c>
      <c r="E167" s="12">
        <v>6310870</v>
      </c>
      <c r="F167" s="13">
        <v>7700</v>
      </c>
      <c r="G167" s="14">
        <v>45512</v>
      </c>
      <c r="H167" s="15" t="s">
        <v>7</v>
      </c>
      <c r="I167" s="16" t="s">
        <v>27</v>
      </c>
      <c r="J167" s="16">
        <v>6312771</v>
      </c>
      <c r="K167" s="17">
        <v>7760</v>
      </c>
      <c r="L167" s="18">
        <v>45513</v>
      </c>
      <c r="M167" s="19" t="s">
        <v>35</v>
      </c>
      <c r="N167" s="20" t="s">
        <v>74</v>
      </c>
      <c r="O167" s="20">
        <v>15</v>
      </c>
      <c r="P167" s="20"/>
      <c r="Q167" s="21">
        <v>45513</v>
      </c>
      <c r="R167" s="20">
        <v>500</v>
      </c>
      <c r="S167" s="22">
        <v>7700</v>
      </c>
      <c r="T167" s="23">
        <v>200</v>
      </c>
      <c r="V167" s="37">
        <f t="shared" si="35"/>
        <v>7700</v>
      </c>
      <c r="W167" s="28">
        <f t="shared" si="36"/>
        <v>0</v>
      </c>
      <c r="X167" s="26">
        <f t="shared" si="37"/>
        <v>-60</v>
      </c>
      <c r="Y167" s="47">
        <f t="shared" si="38"/>
        <v>0</v>
      </c>
      <c r="Z167" s="38">
        <f t="shared" si="39"/>
        <v>60</v>
      </c>
      <c r="AA167" s="39">
        <f t="shared" si="40"/>
        <v>-60</v>
      </c>
      <c r="AB167" s="39">
        <f t="shared" si="41"/>
        <v>0</v>
      </c>
      <c r="AC167" s="32"/>
      <c r="AE167" s="1"/>
      <c r="AF167" s="1"/>
    </row>
    <row r="168" spans="1:32" hidden="1" x14ac:dyDescent="0.2">
      <c r="A168" s="11" t="s">
        <v>28</v>
      </c>
      <c r="B168" s="12" t="s">
        <v>19</v>
      </c>
      <c r="C168" s="12" t="s">
        <v>268</v>
      </c>
      <c r="D168" s="12" t="s">
        <v>218</v>
      </c>
      <c r="E168" s="12">
        <v>6313415</v>
      </c>
      <c r="F168" s="13">
        <v>8140</v>
      </c>
      <c r="G168" s="14">
        <v>45513</v>
      </c>
      <c r="H168" s="15" t="s">
        <v>7</v>
      </c>
      <c r="I168" s="16" t="s">
        <v>16</v>
      </c>
      <c r="J168" s="16">
        <v>6313415</v>
      </c>
      <c r="K168" s="17">
        <v>8150</v>
      </c>
      <c r="L168" s="18">
        <v>45513</v>
      </c>
      <c r="M168" s="19" t="s">
        <v>35</v>
      </c>
      <c r="N168" s="20" t="s">
        <v>79</v>
      </c>
      <c r="O168" s="20">
        <v>16</v>
      </c>
      <c r="P168" s="20"/>
      <c r="Q168" s="21">
        <v>45513</v>
      </c>
      <c r="R168" s="20">
        <v>110</v>
      </c>
      <c r="S168" s="22">
        <v>8156</v>
      </c>
      <c r="T168" s="23">
        <v>50</v>
      </c>
      <c r="V168" s="37">
        <f t="shared" si="35"/>
        <v>8160</v>
      </c>
      <c r="W168" s="28">
        <f t="shared" si="36"/>
        <v>4</v>
      </c>
      <c r="X168" s="45">
        <f t="shared" si="37"/>
        <v>10</v>
      </c>
      <c r="Y168" s="204">
        <f t="shared" si="38"/>
        <v>20</v>
      </c>
      <c r="Z168" s="38">
        <f t="shared" si="39"/>
        <v>10</v>
      </c>
      <c r="AA168" s="39">
        <f t="shared" si="40"/>
        <v>6</v>
      </c>
      <c r="AB168" s="39">
        <f t="shared" si="41"/>
        <v>16</v>
      </c>
      <c r="AC168" s="32"/>
      <c r="AE168" s="1"/>
      <c r="AF168" s="1"/>
    </row>
    <row r="169" spans="1:32" hidden="1" x14ac:dyDescent="0.2">
      <c r="A169" s="11" t="s">
        <v>28</v>
      </c>
      <c r="B169" s="12" t="s">
        <v>24</v>
      </c>
      <c r="C169" s="12" t="s">
        <v>269</v>
      </c>
      <c r="D169" s="12" t="s">
        <v>62</v>
      </c>
      <c r="E169" s="12">
        <v>6312504</v>
      </c>
      <c r="F169" s="13">
        <v>8140</v>
      </c>
      <c r="G169" s="14">
        <v>45513</v>
      </c>
      <c r="H169" s="15" t="s">
        <v>7</v>
      </c>
      <c r="I169" s="16" t="s">
        <v>27</v>
      </c>
      <c r="J169" s="16">
        <v>6312697</v>
      </c>
      <c r="K169" s="17">
        <v>8170</v>
      </c>
      <c r="L169" s="18">
        <v>45513</v>
      </c>
      <c r="M169" s="19" t="s">
        <v>39</v>
      </c>
      <c r="N169" s="20" t="s">
        <v>18</v>
      </c>
      <c r="O169" s="20">
        <v>16</v>
      </c>
      <c r="P169" s="20"/>
      <c r="Q169" s="21">
        <v>45513</v>
      </c>
      <c r="R169" s="20">
        <v>110</v>
      </c>
      <c r="S169" s="22">
        <v>8150</v>
      </c>
      <c r="T169" s="23">
        <v>15</v>
      </c>
      <c r="V169" s="37">
        <f t="shared" si="35"/>
        <v>8125</v>
      </c>
      <c r="W169" s="46">
        <f t="shared" si="36"/>
        <v>-25</v>
      </c>
      <c r="X169" s="26">
        <f t="shared" si="37"/>
        <v>-45</v>
      </c>
      <c r="Y169" s="203">
        <f t="shared" si="38"/>
        <v>-15</v>
      </c>
      <c r="Z169" s="38">
        <f t="shared" si="39"/>
        <v>30</v>
      </c>
      <c r="AA169" s="39">
        <f t="shared" si="40"/>
        <v>-20</v>
      </c>
      <c r="AB169" s="39">
        <f t="shared" si="41"/>
        <v>10</v>
      </c>
      <c r="AC169" s="32"/>
      <c r="AE169" s="1"/>
      <c r="AF169" s="1"/>
    </row>
    <row r="170" spans="1:32" hidden="1" x14ac:dyDescent="0.2">
      <c r="A170" s="11" t="s">
        <v>28</v>
      </c>
      <c r="B170" s="12" t="s">
        <v>19</v>
      </c>
      <c r="C170" s="12" t="s">
        <v>270</v>
      </c>
      <c r="D170" s="12" t="s">
        <v>15</v>
      </c>
      <c r="E170" s="12">
        <v>6312174</v>
      </c>
      <c r="F170" s="13">
        <v>8040</v>
      </c>
      <c r="G170" s="14">
        <v>45512</v>
      </c>
      <c r="H170" s="15" t="s">
        <v>7</v>
      </c>
      <c r="I170" s="16" t="s">
        <v>16</v>
      </c>
      <c r="J170" s="16">
        <v>6313062</v>
      </c>
      <c r="K170" s="17">
        <v>8000</v>
      </c>
      <c r="L170" s="18">
        <v>45513</v>
      </c>
      <c r="M170" s="19" t="s">
        <v>35</v>
      </c>
      <c r="N170" s="20" t="s">
        <v>74</v>
      </c>
      <c r="O170" s="20">
        <v>15</v>
      </c>
      <c r="P170" s="20"/>
      <c r="Q170" s="21">
        <v>45513</v>
      </c>
      <c r="R170" s="20">
        <v>500</v>
      </c>
      <c r="S170" s="22">
        <v>8041</v>
      </c>
      <c r="T170" s="23">
        <v>490</v>
      </c>
      <c r="V170" s="37">
        <f t="shared" si="35"/>
        <v>7990</v>
      </c>
      <c r="W170" s="24">
        <f t="shared" si="36"/>
        <v>-51</v>
      </c>
      <c r="X170" s="27">
        <f t="shared" si="37"/>
        <v>-10</v>
      </c>
      <c r="Y170" s="47">
        <f t="shared" si="38"/>
        <v>-50</v>
      </c>
      <c r="Z170" s="38">
        <f t="shared" si="39"/>
        <v>-40</v>
      </c>
      <c r="AA170" s="39">
        <f t="shared" si="40"/>
        <v>41</v>
      </c>
      <c r="AB170" s="39">
        <f t="shared" si="41"/>
        <v>1</v>
      </c>
      <c r="AC170" s="32"/>
      <c r="AE170" s="1"/>
      <c r="AF170" s="1"/>
    </row>
    <row r="171" spans="1:32" hidden="1" x14ac:dyDescent="0.2">
      <c r="A171" s="11" t="s">
        <v>28</v>
      </c>
      <c r="B171" s="12" t="s">
        <v>19</v>
      </c>
      <c r="C171" s="12" t="s">
        <v>271</v>
      </c>
      <c r="D171" s="12" t="s">
        <v>62</v>
      </c>
      <c r="E171" s="12">
        <v>6312815</v>
      </c>
      <c r="F171" s="13">
        <v>8120</v>
      </c>
      <c r="G171" s="14">
        <v>45513</v>
      </c>
      <c r="H171" s="15" t="s">
        <v>7</v>
      </c>
      <c r="I171" s="16" t="s">
        <v>16</v>
      </c>
      <c r="J171" s="16">
        <v>6313288</v>
      </c>
      <c r="K171" s="17">
        <v>8140</v>
      </c>
      <c r="L171" s="18">
        <v>45513</v>
      </c>
      <c r="M171" s="19" t="s">
        <v>39</v>
      </c>
      <c r="N171" s="20" t="s">
        <v>18</v>
      </c>
      <c r="O171" s="20">
        <v>16</v>
      </c>
      <c r="P171" s="20"/>
      <c r="Q171" s="21">
        <v>45513</v>
      </c>
      <c r="R171" s="20">
        <v>500</v>
      </c>
      <c r="S171" s="22">
        <v>8100</v>
      </c>
      <c r="T171" s="23">
        <v>90</v>
      </c>
      <c r="V171" s="37">
        <f t="shared" si="35"/>
        <v>8090</v>
      </c>
      <c r="W171" s="28">
        <f t="shared" si="36"/>
        <v>-10</v>
      </c>
      <c r="X171" s="26">
        <f t="shared" si="37"/>
        <v>-50</v>
      </c>
      <c r="Y171" s="47">
        <f t="shared" si="38"/>
        <v>-30</v>
      </c>
      <c r="Z171" s="38">
        <f t="shared" si="39"/>
        <v>20</v>
      </c>
      <c r="AA171" s="39">
        <f t="shared" si="40"/>
        <v>-40</v>
      </c>
      <c r="AB171" s="39">
        <f t="shared" si="41"/>
        <v>-20</v>
      </c>
      <c r="AC171" s="32"/>
      <c r="AE171" s="1"/>
      <c r="AF171" s="1"/>
    </row>
    <row r="172" spans="1:32" hidden="1" x14ac:dyDescent="0.2">
      <c r="A172" s="11" t="s">
        <v>5</v>
      </c>
      <c r="B172" s="12" t="s">
        <v>19</v>
      </c>
      <c r="C172" s="12" t="s">
        <v>272</v>
      </c>
      <c r="D172" s="12" t="s">
        <v>15</v>
      </c>
      <c r="E172" s="12">
        <v>6312304</v>
      </c>
      <c r="F172" s="13">
        <v>7660</v>
      </c>
      <c r="G172" s="14">
        <v>45512</v>
      </c>
      <c r="H172" s="15" t="s">
        <v>163</v>
      </c>
      <c r="I172" s="16" t="s">
        <v>63</v>
      </c>
      <c r="J172" s="16">
        <v>6311066</v>
      </c>
      <c r="K172" s="17">
        <v>7659</v>
      </c>
      <c r="L172" s="18">
        <v>45513</v>
      </c>
      <c r="M172" s="19" t="s">
        <v>39</v>
      </c>
      <c r="N172" s="20" t="s">
        <v>18</v>
      </c>
      <c r="O172" s="20">
        <v>15</v>
      </c>
      <c r="P172" s="20"/>
      <c r="Q172" s="21">
        <v>45513</v>
      </c>
      <c r="R172" s="20">
        <v>110</v>
      </c>
      <c r="S172" s="22">
        <v>7670</v>
      </c>
      <c r="T172" s="23">
        <v>70</v>
      </c>
      <c r="V172" s="37">
        <f t="shared" si="35"/>
        <v>7680</v>
      </c>
      <c r="W172" s="28">
        <f t="shared" si="36"/>
        <v>10</v>
      </c>
      <c r="X172" s="26">
        <f t="shared" si="37"/>
        <v>21</v>
      </c>
      <c r="Y172" s="47">
        <f t="shared" si="38"/>
        <v>20</v>
      </c>
      <c r="Z172" s="38">
        <f t="shared" si="39"/>
        <v>-1</v>
      </c>
      <c r="AA172" s="39">
        <f t="shared" si="40"/>
        <v>11</v>
      </c>
      <c r="AB172" s="39">
        <f t="shared" si="41"/>
        <v>10</v>
      </c>
      <c r="AC172" s="32"/>
      <c r="AE172" s="1"/>
      <c r="AF172" s="1"/>
    </row>
    <row r="173" spans="1:32" hidden="1" x14ac:dyDescent="0.2">
      <c r="A173" s="11" t="s">
        <v>5</v>
      </c>
      <c r="B173" s="12" t="s">
        <v>21</v>
      </c>
      <c r="C173" s="12" t="s">
        <v>273</v>
      </c>
      <c r="D173" s="12" t="s">
        <v>62</v>
      </c>
      <c r="E173" s="12">
        <v>6311084</v>
      </c>
      <c r="F173" s="13">
        <v>8090</v>
      </c>
      <c r="G173" s="14">
        <v>45512</v>
      </c>
      <c r="H173" s="15" t="s">
        <v>163</v>
      </c>
      <c r="I173" s="16" t="s">
        <v>32</v>
      </c>
      <c r="J173" s="16">
        <v>6313058</v>
      </c>
      <c r="K173" s="17">
        <v>7980</v>
      </c>
      <c r="L173" s="18">
        <v>45513</v>
      </c>
      <c r="M173" s="19" t="s">
        <v>17</v>
      </c>
      <c r="N173" s="20" t="s">
        <v>115</v>
      </c>
      <c r="O173" s="20"/>
      <c r="P173" s="20">
        <v>26</v>
      </c>
      <c r="Q173" s="21">
        <v>45513</v>
      </c>
      <c r="R173" s="20">
        <v>310</v>
      </c>
      <c r="S173" s="22">
        <v>7993</v>
      </c>
      <c r="T173" s="23">
        <v>67</v>
      </c>
      <c r="V173" s="37">
        <f t="shared" si="35"/>
        <v>7997</v>
      </c>
      <c r="W173" s="28">
        <f t="shared" si="36"/>
        <v>4</v>
      </c>
      <c r="X173" s="45">
        <f t="shared" si="37"/>
        <v>17</v>
      </c>
      <c r="Y173" s="204">
        <f t="shared" si="38"/>
        <v>-93</v>
      </c>
      <c r="Z173" s="38">
        <f t="shared" si="39"/>
        <v>-110</v>
      </c>
      <c r="AA173" s="39">
        <f t="shared" si="40"/>
        <v>13</v>
      </c>
      <c r="AB173" s="39">
        <f t="shared" si="41"/>
        <v>-97</v>
      </c>
      <c r="AC173" s="32"/>
      <c r="AE173" s="1"/>
      <c r="AF173" s="1"/>
    </row>
    <row r="174" spans="1:32" hidden="1" x14ac:dyDescent="0.2">
      <c r="A174" s="11" t="s">
        <v>5</v>
      </c>
      <c r="B174" s="12" t="s">
        <v>20</v>
      </c>
      <c r="C174" s="12" t="s">
        <v>274</v>
      </c>
      <c r="D174" s="12" t="s">
        <v>62</v>
      </c>
      <c r="E174" s="12">
        <v>6314229</v>
      </c>
      <c r="F174" s="13">
        <v>7660</v>
      </c>
      <c r="G174" s="14">
        <v>45514</v>
      </c>
      <c r="H174" s="15" t="s">
        <v>7</v>
      </c>
      <c r="I174" s="16" t="s">
        <v>16</v>
      </c>
      <c r="J174" s="16">
        <v>6315955</v>
      </c>
      <c r="K174" s="17">
        <v>7670</v>
      </c>
      <c r="L174" s="18">
        <v>45516</v>
      </c>
      <c r="M174" s="19" t="s">
        <v>39</v>
      </c>
      <c r="N174" s="20" t="s">
        <v>18</v>
      </c>
      <c r="O174" s="20">
        <v>15</v>
      </c>
      <c r="P174" s="20"/>
      <c r="Q174" s="21">
        <v>45516</v>
      </c>
      <c r="R174" s="20">
        <v>55</v>
      </c>
      <c r="S174" s="22">
        <v>7698</v>
      </c>
      <c r="T174" s="23">
        <v>123</v>
      </c>
      <c r="V174" s="37">
        <f t="shared" si="35"/>
        <v>7678</v>
      </c>
      <c r="W174" s="24">
        <f t="shared" si="36"/>
        <v>-20</v>
      </c>
      <c r="X174" s="27">
        <f t="shared" si="37"/>
        <v>8</v>
      </c>
      <c r="Y174" s="47">
        <f t="shared" si="38"/>
        <v>18</v>
      </c>
      <c r="Z174" s="38">
        <f t="shared" si="39"/>
        <v>10</v>
      </c>
      <c r="AA174" s="39">
        <f t="shared" si="40"/>
        <v>28</v>
      </c>
      <c r="AB174" s="39">
        <f t="shared" si="41"/>
        <v>38</v>
      </c>
      <c r="AC174" s="32"/>
      <c r="AE174" s="1"/>
      <c r="AF174" s="1"/>
    </row>
    <row r="175" spans="1:32" hidden="1" x14ac:dyDescent="0.2">
      <c r="A175" s="11" t="s">
        <v>5</v>
      </c>
      <c r="B175" s="12" t="s">
        <v>20</v>
      </c>
      <c r="C175" s="12" t="s">
        <v>275</v>
      </c>
      <c r="D175" s="12" t="s">
        <v>15</v>
      </c>
      <c r="E175" s="12">
        <v>6314059</v>
      </c>
      <c r="F175" s="13">
        <v>7660</v>
      </c>
      <c r="G175" s="14">
        <v>45513</v>
      </c>
      <c r="H175" s="15" t="s">
        <v>48</v>
      </c>
      <c r="I175" s="16" t="s">
        <v>32</v>
      </c>
      <c r="J175" s="16">
        <v>6315902</v>
      </c>
      <c r="K175" s="17">
        <v>7670</v>
      </c>
      <c r="L175" s="18">
        <v>45516</v>
      </c>
      <c r="M175" s="19" t="s">
        <v>39</v>
      </c>
      <c r="N175" s="20" t="s">
        <v>18</v>
      </c>
      <c r="O175" s="20">
        <v>15</v>
      </c>
      <c r="P175" s="20"/>
      <c r="Q175" s="21">
        <v>45516</v>
      </c>
      <c r="R175" s="20">
        <v>55</v>
      </c>
      <c r="S175" s="22">
        <v>7685</v>
      </c>
      <c r="T175" s="23">
        <v>130</v>
      </c>
      <c r="V175" s="37">
        <f t="shared" si="35"/>
        <v>7685</v>
      </c>
      <c r="W175" s="28">
        <f t="shared" si="36"/>
        <v>0</v>
      </c>
      <c r="X175" s="45">
        <f t="shared" si="37"/>
        <v>15</v>
      </c>
      <c r="Y175" s="204">
        <f t="shared" si="38"/>
        <v>25</v>
      </c>
      <c r="Z175" s="38">
        <f t="shared" si="39"/>
        <v>10</v>
      </c>
      <c r="AA175" s="39">
        <f t="shared" si="40"/>
        <v>15</v>
      </c>
      <c r="AB175" s="39">
        <f t="shared" si="41"/>
        <v>25</v>
      </c>
      <c r="AC175" s="32"/>
      <c r="AE175" s="1"/>
      <c r="AF175" s="1"/>
    </row>
    <row r="176" spans="1:32" hidden="1" x14ac:dyDescent="0.2">
      <c r="A176" s="11" t="s">
        <v>135</v>
      </c>
      <c r="B176" s="12" t="s">
        <v>20</v>
      </c>
      <c r="C176" s="12" t="s">
        <v>276</v>
      </c>
      <c r="D176" s="12" t="s">
        <v>62</v>
      </c>
      <c r="E176" s="12">
        <v>6312581</v>
      </c>
      <c r="F176" s="13">
        <v>7660</v>
      </c>
      <c r="G176" s="14">
        <v>45513</v>
      </c>
      <c r="H176" s="15" t="s">
        <v>48</v>
      </c>
      <c r="I176" s="16" t="s">
        <v>32</v>
      </c>
      <c r="J176" s="16">
        <v>6314524</v>
      </c>
      <c r="K176" s="17">
        <v>7700</v>
      </c>
      <c r="L176" s="18">
        <v>45514</v>
      </c>
      <c r="M176" s="19" t="s">
        <v>39</v>
      </c>
      <c r="N176" s="20" t="s">
        <v>18</v>
      </c>
      <c r="O176" s="20">
        <v>15</v>
      </c>
      <c r="P176" s="20"/>
      <c r="Q176" s="21">
        <v>45514</v>
      </c>
      <c r="R176" s="20">
        <v>500</v>
      </c>
      <c r="S176" s="22">
        <v>7680</v>
      </c>
      <c r="T176" s="23">
        <v>180</v>
      </c>
      <c r="V176" s="37">
        <f t="shared" si="35"/>
        <v>7680</v>
      </c>
      <c r="W176" s="28">
        <f t="shared" si="36"/>
        <v>0</v>
      </c>
      <c r="X176" s="26">
        <f t="shared" si="37"/>
        <v>-20</v>
      </c>
      <c r="Y176" s="47">
        <f t="shared" si="38"/>
        <v>20</v>
      </c>
      <c r="Z176" s="38">
        <f t="shared" si="39"/>
        <v>40</v>
      </c>
      <c r="AA176" s="39">
        <f t="shared" si="40"/>
        <v>-20</v>
      </c>
      <c r="AB176" s="39">
        <f t="shared" si="41"/>
        <v>20</v>
      </c>
      <c r="AC176" s="32"/>
      <c r="AE176" s="1"/>
      <c r="AF176" s="1"/>
    </row>
    <row r="177" spans="1:32" hidden="1" x14ac:dyDescent="0.2">
      <c r="A177" s="11" t="s">
        <v>135</v>
      </c>
      <c r="B177" s="12" t="s">
        <v>20</v>
      </c>
      <c r="C177" s="12" t="s">
        <v>277</v>
      </c>
      <c r="D177" s="12" t="s">
        <v>62</v>
      </c>
      <c r="E177" s="12">
        <v>6312503</v>
      </c>
      <c r="F177" s="13">
        <v>7660</v>
      </c>
      <c r="G177" s="14">
        <v>45513</v>
      </c>
      <c r="H177" s="15" t="s">
        <v>48</v>
      </c>
      <c r="I177" s="16" t="s">
        <v>63</v>
      </c>
      <c r="J177" s="16">
        <v>6314188</v>
      </c>
      <c r="K177" s="17">
        <v>7716</v>
      </c>
      <c r="L177" s="18">
        <v>45514</v>
      </c>
      <c r="M177" s="19" t="s">
        <v>39</v>
      </c>
      <c r="N177" s="20" t="s">
        <v>238</v>
      </c>
      <c r="O177" s="20">
        <v>15</v>
      </c>
      <c r="P177" s="20"/>
      <c r="Q177" s="21">
        <v>45514</v>
      </c>
      <c r="R177" s="20">
        <v>110</v>
      </c>
      <c r="S177" s="22">
        <v>7665</v>
      </c>
      <c r="T177" s="23">
        <v>55</v>
      </c>
      <c r="V177" s="37">
        <f t="shared" si="35"/>
        <v>7665</v>
      </c>
      <c r="W177" s="28">
        <f t="shared" si="36"/>
        <v>0</v>
      </c>
      <c r="X177" s="26">
        <f t="shared" si="37"/>
        <v>-51</v>
      </c>
      <c r="Y177" s="47">
        <f t="shared" si="38"/>
        <v>5</v>
      </c>
      <c r="Z177" s="38">
        <f t="shared" si="39"/>
        <v>56</v>
      </c>
      <c r="AA177" s="39">
        <f t="shared" si="40"/>
        <v>-51</v>
      </c>
      <c r="AB177" s="39">
        <f t="shared" si="41"/>
        <v>5</v>
      </c>
      <c r="AC177" s="32"/>
      <c r="AE177" s="1"/>
      <c r="AF177" s="1"/>
    </row>
    <row r="178" spans="1:32" hidden="1" x14ac:dyDescent="0.2">
      <c r="A178" s="11" t="s">
        <v>135</v>
      </c>
      <c r="B178" s="12" t="s">
        <v>20</v>
      </c>
      <c r="C178" s="12" t="s">
        <v>278</v>
      </c>
      <c r="D178" s="12" t="s">
        <v>15</v>
      </c>
      <c r="E178" s="12">
        <v>6313854</v>
      </c>
      <c r="F178" s="13">
        <v>7680</v>
      </c>
      <c r="G178" s="14">
        <v>45513</v>
      </c>
      <c r="H178" s="15" t="s">
        <v>48</v>
      </c>
      <c r="I178" s="16" t="s">
        <v>63</v>
      </c>
      <c r="J178" s="16">
        <v>6314416</v>
      </c>
      <c r="K178" s="17">
        <v>7714</v>
      </c>
      <c r="L178" s="18">
        <v>45514</v>
      </c>
      <c r="M178" s="19" t="s">
        <v>39</v>
      </c>
      <c r="N178" s="20" t="s">
        <v>18</v>
      </c>
      <c r="O178" s="20">
        <v>15</v>
      </c>
      <c r="P178" s="20"/>
      <c r="Q178" s="21">
        <v>45514</v>
      </c>
      <c r="R178" s="20">
        <v>110</v>
      </c>
      <c r="S178" s="22">
        <v>7686</v>
      </c>
      <c r="T178" s="23">
        <v>76</v>
      </c>
      <c r="V178" s="37">
        <f t="shared" si="35"/>
        <v>7686</v>
      </c>
      <c r="W178" s="28">
        <f t="shared" si="36"/>
        <v>0</v>
      </c>
      <c r="X178" s="26">
        <f t="shared" si="37"/>
        <v>-28</v>
      </c>
      <c r="Y178" s="47">
        <f t="shared" si="38"/>
        <v>6</v>
      </c>
      <c r="Z178" s="38">
        <f t="shared" si="39"/>
        <v>34</v>
      </c>
      <c r="AA178" s="39">
        <f t="shared" si="40"/>
        <v>-28</v>
      </c>
      <c r="AB178" s="39">
        <f t="shared" si="41"/>
        <v>6</v>
      </c>
      <c r="AC178" s="32"/>
      <c r="AE178" s="1"/>
      <c r="AF178" s="1"/>
    </row>
    <row r="179" spans="1:32" hidden="1" x14ac:dyDescent="0.2">
      <c r="A179" s="11" t="s">
        <v>135</v>
      </c>
      <c r="B179" s="12" t="s">
        <v>20</v>
      </c>
      <c r="C179" s="12" t="s">
        <v>279</v>
      </c>
      <c r="D179" s="12" t="s">
        <v>15</v>
      </c>
      <c r="E179" s="12">
        <v>6312088</v>
      </c>
      <c r="F179" s="13">
        <v>7660</v>
      </c>
      <c r="G179" s="14">
        <v>45512</v>
      </c>
      <c r="H179" s="15" t="s">
        <v>48</v>
      </c>
      <c r="I179" s="16" t="s">
        <v>63</v>
      </c>
      <c r="J179" s="16">
        <v>6314333</v>
      </c>
      <c r="K179" s="17">
        <v>7686</v>
      </c>
      <c r="L179" s="18">
        <v>45514</v>
      </c>
      <c r="M179" s="19" t="s">
        <v>39</v>
      </c>
      <c r="N179" s="20" t="s">
        <v>18</v>
      </c>
      <c r="O179" s="20">
        <v>15</v>
      </c>
      <c r="P179" s="20"/>
      <c r="Q179" s="21">
        <v>45514</v>
      </c>
      <c r="R179" s="20">
        <v>110</v>
      </c>
      <c r="S179" s="22">
        <v>7666</v>
      </c>
      <c r="T179" s="23">
        <v>56</v>
      </c>
      <c r="V179" s="37">
        <f t="shared" si="35"/>
        <v>7666</v>
      </c>
      <c r="W179" s="28">
        <f t="shared" si="36"/>
        <v>0</v>
      </c>
      <c r="X179" s="26">
        <f t="shared" si="37"/>
        <v>-20</v>
      </c>
      <c r="Y179" s="47">
        <f t="shared" si="38"/>
        <v>6</v>
      </c>
      <c r="Z179" s="38">
        <f t="shared" si="39"/>
        <v>26</v>
      </c>
      <c r="AA179" s="39">
        <f t="shared" si="40"/>
        <v>-20</v>
      </c>
      <c r="AB179" s="39">
        <f t="shared" si="41"/>
        <v>6</v>
      </c>
      <c r="AC179" s="32"/>
      <c r="AE179" s="1"/>
      <c r="AF179" s="1"/>
    </row>
    <row r="180" spans="1:32" x14ac:dyDescent="0.2">
      <c r="A180" s="11" t="s">
        <v>5</v>
      </c>
      <c r="B180" s="12" t="s">
        <v>19</v>
      </c>
      <c r="C180" s="12" t="s">
        <v>280</v>
      </c>
      <c r="D180" s="12" t="s">
        <v>218</v>
      </c>
      <c r="E180" s="12">
        <v>6311907</v>
      </c>
      <c r="F180" s="13">
        <v>7750</v>
      </c>
      <c r="G180" s="14">
        <v>45512</v>
      </c>
      <c r="H180" s="15" t="s">
        <v>163</v>
      </c>
      <c r="I180" s="16" t="s">
        <v>8</v>
      </c>
      <c r="J180" s="16">
        <v>6313672</v>
      </c>
      <c r="K180" s="17">
        <v>7750</v>
      </c>
      <c r="L180" s="18">
        <v>45513</v>
      </c>
      <c r="M180" s="19" t="s">
        <v>17</v>
      </c>
      <c r="N180" s="20" t="s">
        <v>247</v>
      </c>
      <c r="O180" s="20"/>
      <c r="P180" s="20">
        <v>25</v>
      </c>
      <c r="Q180" s="21">
        <v>45514</v>
      </c>
      <c r="R180" s="20">
        <v>310</v>
      </c>
      <c r="S180" s="22">
        <v>7774</v>
      </c>
      <c r="T180" s="23">
        <v>120</v>
      </c>
      <c r="V180" s="37">
        <f t="shared" si="35"/>
        <v>7745</v>
      </c>
      <c r="W180" s="24">
        <f t="shared" si="36"/>
        <v>-29</v>
      </c>
      <c r="X180" s="27">
        <f t="shared" si="37"/>
        <v>-5</v>
      </c>
      <c r="Y180" s="47">
        <f t="shared" si="38"/>
        <v>-5</v>
      </c>
      <c r="Z180" s="38">
        <f t="shared" si="39"/>
        <v>0</v>
      </c>
      <c r="AA180" s="39">
        <f t="shared" si="40"/>
        <v>24</v>
      </c>
      <c r="AB180" s="39">
        <f t="shared" si="41"/>
        <v>24</v>
      </c>
      <c r="AC180" s="32"/>
      <c r="AE180" s="1"/>
      <c r="AF180" s="1"/>
    </row>
    <row r="181" spans="1:32" x14ac:dyDescent="0.2">
      <c r="A181" s="11" t="s">
        <v>5</v>
      </c>
      <c r="B181" s="12" t="s">
        <v>20</v>
      </c>
      <c r="C181" s="12" t="s">
        <v>281</v>
      </c>
      <c r="D181" s="12" t="s">
        <v>218</v>
      </c>
      <c r="E181" s="12">
        <v>6311562</v>
      </c>
      <c r="F181" s="13">
        <v>7660</v>
      </c>
      <c r="G181" s="14">
        <v>45512</v>
      </c>
      <c r="H181" s="15" t="s">
        <v>163</v>
      </c>
      <c r="I181" s="16" t="s">
        <v>8</v>
      </c>
      <c r="J181" s="16">
        <v>6313951</v>
      </c>
      <c r="K181" s="17">
        <v>7685</v>
      </c>
      <c r="L181" s="18">
        <v>45513</v>
      </c>
      <c r="M181" s="19" t="s">
        <v>17</v>
      </c>
      <c r="N181" s="20" t="s">
        <v>247</v>
      </c>
      <c r="O181" s="20"/>
      <c r="P181" s="20">
        <v>25</v>
      </c>
      <c r="Q181" s="21">
        <v>45514</v>
      </c>
      <c r="R181" s="20">
        <v>310</v>
      </c>
      <c r="S181" s="22">
        <v>7699</v>
      </c>
      <c r="T181" s="23">
        <v>55</v>
      </c>
      <c r="V181" s="37">
        <f t="shared" si="35"/>
        <v>7680</v>
      </c>
      <c r="W181" s="46">
        <f t="shared" si="36"/>
        <v>-19</v>
      </c>
      <c r="X181" s="27">
        <f t="shared" si="37"/>
        <v>-5</v>
      </c>
      <c r="Y181" s="204">
        <f t="shared" si="38"/>
        <v>20</v>
      </c>
      <c r="Z181" s="38">
        <f t="shared" si="39"/>
        <v>25</v>
      </c>
      <c r="AA181" s="39">
        <f t="shared" si="40"/>
        <v>14</v>
      </c>
      <c r="AB181" s="39">
        <f t="shared" si="41"/>
        <v>39</v>
      </c>
      <c r="AC181" s="32"/>
      <c r="AE181" s="1"/>
      <c r="AF181" s="1"/>
    </row>
    <row r="182" spans="1:32" x14ac:dyDescent="0.2">
      <c r="A182" s="11" t="s">
        <v>5</v>
      </c>
      <c r="B182" s="12" t="s">
        <v>19</v>
      </c>
      <c r="C182" s="12" t="s">
        <v>282</v>
      </c>
      <c r="D182" s="12" t="s">
        <v>62</v>
      </c>
      <c r="E182" s="12">
        <v>6311085</v>
      </c>
      <c r="F182" s="13">
        <v>7720</v>
      </c>
      <c r="G182" s="14">
        <v>45512</v>
      </c>
      <c r="H182" s="15" t="s">
        <v>163</v>
      </c>
      <c r="I182" s="16" t="s">
        <v>32</v>
      </c>
      <c r="J182" s="16">
        <v>6313452</v>
      </c>
      <c r="K182" s="17">
        <v>7720</v>
      </c>
      <c r="L182" s="18">
        <v>45513</v>
      </c>
      <c r="M182" s="19" t="s">
        <v>17</v>
      </c>
      <c r="N182" s="20" t="s">
        <v>51</v>
      </c>
      <c r="O182" s="20"/>
      <c r="P182" s="20">
        <v>25</v>
      </c>
      <c r="Q182" s="21">
        <v>45513</v>
      </c>
      <c r="R182" s="20">
        <v>310</v>
      </c>
      <c r="S182" s="22">
        <v>7695</v>
      </c>
      <c r="T182" s="23">
        <v>70</v>
      </c>
      <c r="V182" s="37">
        <f t="shared" si="35"/>
        <v>7695</v>
      </c>
      <c r="W182" s="28">
        <f t="shared" si="36"/>
        <v>0</v>
      </c>
      <c r="X182" s="26">
        <f t="shared" si="37"/>
        <v>-25</v>
      </c>
      <c r="Y182" s="47">
        <f t="shared" si="38"/>
        <v>-25</v>
      </c>
      <c r="Z182" s="38">
        <f t="shared" si="39"/>
        <v>0</v>
      </c>
      <c r="AA182" s="39">
        <f t="shared" si="40"/>
        <v>-25</v>
      </c>
      <c r="AB182" s="39">
        <f t="shared" si="41"/>
        <v>-25</v>
      </c>
      <c r="AC182" s="32"/>
      <c r="AE182" s="1"/>
      <c r="AF182" s="1"/>
    </row>
    <row r="183" spans="1:32" x14ac:dyDescent="0.2">
      <c r="A183" s="11" t="s">
        <v>5</v>
      </c>
      <c r="B183" s="12" t="s">
        <v>24</v>
      </c>
      <c r="C183" s="12" t="s">
        <v>283</v>
      </c>
      <c r="D183" s="12" t="s">
        <v>62</v>
      </c>
      <c r="E183" s="12">
        <v>6310877</v>
      </c>
      <c r="F183" s="13">
        <v>7680</v>
      </c>
      <c r="G183" s="14">
        <v>45512</v>
      </c>
      <c r="H183" s="15" t="s">
        <v>163</v>
      </c>
      <c r="I183" s="16" t="s">
        <v>8</v>
      </c>
      <c r="J183" s="16">
        <v>6313772</v>
      </c>
      <c r="K183" s="17">
        <v>7700</v>
      </c>
      <c r="L183" s="18">
        <v>45513</v>
      </c>
      <c r="M183" s="19" t="s">
        <v>17</v>
      </c>
      <c r="N183" s="20" t="s">
        <v>51</v>
      </c>
      <c r="O183" s="20"/>
      <c r="P183" s="20">
        <v>25</v>
      </c>
      <c r="Q183" s="21">
        <v>45513</v>
      </c>
      <c r="R183" s="20">
        <v>310</v>
      </c>
      <c r="S183" s="22">
        <v>7700</v>
      </c>
      <c r="T183" s="23">
        <v>40</v>
      </c>
      <c r="V183" s="37">
        <f t="shared" si="35"/>
        <v>7665</v>
      </c>
      <c r="W183" s="24">
        <f t="shared" si="36"/>
        <v>-35</v>
      </c>
      <c r="X183" s="45">
        <f t="shared" si="37"/>
        <v>-35</v>
      </c>
      <c r="Y183" s="203">
        <f t="shared" si="38"/>
        <v>-15</v>
      </c>
      <c r="Z183" s="38">
        <f t="shared" si="39"/>
        <v>20</v>
      </c>
      <c r="AA183" s="39">
        <f t="shared" si="40"/>
        <v>0</v>
      </c>
      <c r="AB183" s="39">
        <f t="shared" si="41"/>
        <v>20</v>
      </c>
      <c r="AC183" s="32"/>
      <c r="AE183" s="1"/>
      <c r="AF183" s="1"/>
    </row>
    <row r="184" spans="1:32" hidden="1" x14ac:dyDescent="0.2">
      <c r="A184" s="11" t="s">
        <v>5</v>
      </c>
      <c r="B184" s="12" t="s">
        <v>20</v>
      </c>
      <c r="C184" s="12" t="s">
        <v>284</v>
      </c>
      <c r="D184" s="12" t="s">
        <v>15</v>
      </c>
      <c r="E184" s="12">
        <v>6315170</v>
      </c>
      <c r="F184" s="13">
        <v>7660</v>
      </c>
      <c r="G184" s="14">
        <v>45514</v>
      </c>
      <c r="H184" s="15" t="s">
        <v>48</v>
      </c>
      <c r="I184" s="16" t="s">
        <v>32</v>
      </c>
      <c r="J184" s="16">
        <v>6315950</v>
      </c>
      <c r="K184" s="17">
        <v>7670</v>
      </c>
      <c r="L184" s="18">
        <v>45516</v>
      </c>
      <c r="M184" s="19" t="s">
        <v>35</v>
      </c>
      <c r="N184" s="20" t="s">
        <v>79</v>
      </c>
      <c r="O184" s="20">
        <v>15</v>
      </c>
      <c r="P184" s="20"/>
      <c r="Q184" s="21">
        <v>45516</v>
      </c>
      <c r="R184" s="20">
        <v>55</v>
      </c>
      <c r="S184" s="22">
        <v>7675</v>
      </c>
      <c r="T184" s="23">
        <v>118</v>
      </c>
      <c r="V184" s="37">
        <f t="shared" si="35"/>
        <v>7673</v>
      </c>
      <c r="W184" s="28">
        <f t="shared" si="36"/>
        <v>-2</v>
      </c>
      <c r="X184" s="45">
        <f t="shared" si="37"/>
        <v>3</v>
      </c>
      <c r="Y184" s="204">
        <f t="shared" si="38"/>
        <v>13</v>
      </c>
      <c r="Z184" s="38">
        <f t="shared" si="39"/>
        <v>10</v>
      </c>
      <c r="AA184" s="39">
        <f t="shared" si="40"/>
        <v>5</v>
      </c>
      <c r="AB184" s="39">
        <f t="shared" si="41"/>
        <v>15</v>
      </c>
      <c r="AC184" s="32"/>
      <c r="AE184" s="1"/>
      <c r="AF184" s="1"/>
    </row>
    <row r="185" spans="1:32" hidden="1" x14ac:dyDescent="0.2">
      <c r="A185" s="11" t="s">
        <v>28</v>
      </c>
      <c r="B185" s="12" t="s">
        <v>24</v>
      </c>
      <c r="C185" s="12" t="s">
        <v>285</v>
      </c>
      <c r="D185" s="12" t="s">
        <v>218</v>
      </c>
      <c r="E185" s="12">
        <v>6312980</v>
      </c>
      <c r="F185" s="13">
        <v>8140</v>
      </c>
      <c r="G185" s="14">
        <v>45513</v>
      </c>
      <c r="H185" s="15" t="s">
        <v>7</v>
      </c>
      <c r="I185" s="16" t="s">
        <v>16</v>
      </c>
      <c r="J185" s="16">
        <v>6313635</v>
      </c>
      <c r="K185" s="17">
        <v>8160</v>
      </c>
      <c r="L185" s="18">
        <v>45513</v>
      </c>
      <c r="M185" s="19" t="s">
        <v>35</v>
      </c>
      <c r="N185" s="20" t="s">
        <v>79</v>
      </c>
      <c r="O185" s="20">
        <v>16</v>
      </c>
      <c r="P185" s="20"/>
      <c r="Q185" s="21">
        <v>45513</v>
      </c>
      <c r="R185" s="20">
        <v>110</v>
      </c>
      <c r="S185" s="22">
        <v>8164</v>
      </c>
      <c r="T185" s="23">
        <v>50</v>
      </c>
      <c r="V185" s="37">
        <f t="shared" si="35"/>
        <v>8160</v>
      </c>
      <c r="W185" s="46">
        <f t="shared" si="36"/>
        <v>-4</v>
      </c>
      <c r="X185" s="27">
        <f t="shared" si="37"/>
        <v>0</v>
      </c>
      <c r="Y185" s="204">
        <f t="shared" si="38"/>
        <v>20</v>
      </c>
      <c r="Z185" s="38">
        <f t="shared" si="39"/>
        <v>20</v>
      </c>
      <c r="AA185" s="39">
        <f t="shared" si="40"/>
        <v>4</v>
      </c>
      <c r="AB185" s="39">
        <f t="shared" si="41"/>
        <v>24</v>
      </c>
      <c r="AC185" s="32"/>
      <c r="AE185" s="1"/>
      <c r="AF185" s="1"/>
    </row>
    <row r="186" spans="1:32" hidden="1" x14ac:dyDescent="0.2">
      <c r="A186" s="11" t="s">
        <v>5</v>
      </c>
      <c r="B186" s="12" t="s">
        <v>20</v>
      </c>
      <c r="C186" s="12" t="s">
        <v>286</v>
      </c>
      <c r="D186" s="12" t="s">
        <v>62</v>
      </c>
      <c r="E186" s="12">
        <v>6314387</v>
      </c>
      <c r="F186" s="13">
        <v>7660</v>
      </c>
      <c r="G186" s="14">
        <v>45514</v>
      </c>
      <c r="H186" s="15" t="s">
        <v>48</v>
      </c>
      <c r="I186" s="16" t="s">
        <v>32</v>
      </c>
      <c r="J186" s="16">
        <v>6315997</v>
      </c>
      <c r="K186" s="17">
        <v>7680</v>
      </c>
      <c r="L186" s="18">
        <v>45516</v>
      </c>
      <c r="M186" s="19" t="s">
        <v>35</v>
      </c>
      <c r="N186" s="20" t="s">
        <v>79</v>
      </c>
      <c r="O186" s="20">
        <v>15</v>
      </c>
      <c r="P186" s="20"/>
      <c r="Q186" s="21">
        <v>45516</v>
      </c>
      <c r="R186" s="20">
        <v>55</v>
      </c>
      <c r="S186" s="22">
        <v>7689</v>
      </c>
      <c r="T186" s="23">
        <v>132</v>
      </c>
      <c r="V186" s="37">
        <f t="shared" si="35"/>
        <v>7687</v>
      </c>
      <c r="W186" s="28">
        <f t="shared" si="36"/>
        <v>-2</v>
      </c>
      <c r="X186" s="45">
        <f t="shared" si="37"/>
        <v>7</v>
      </c>
      <c r="Y186" s="204">
        <f t="shared" si="38"/>
        <v>27</v>
      </c>
      <c r="Z186" s="38">
        <f t="shared" si="39"/>
        <v>20</v>
      </c>
      <c r="AA186" s="39">
        <f t="shared" si="40"/>
        <v>9</v>
      </c>
      <c r="AB186" s="39">
        <f t="shared" si="41"/>
        <v>29</v>
      </c>
      <c r="AC186" s="32"/>
      <c r="AE186" s="1"/>
      <c r="AF186" s="1"/>
    </row>
    <row r="187" spans="1:32" hidden="1" x14ac:dyDescent="0.2">
      <c r="A187" s="11"/>
      <c r="B187" s="12" t="s">
        <v>20</v>
      </c>
      <c r="C187" s="12" t="s">
        <v>287</v>
      </c>
      <c r="D187" s="12" t="s">
        <v>67</v>
      </c>
      <c r="E187" s="12">
        <v>6314599</v>
      </c>
      <c r="F187" s="13">
        <v>7660</v>
      </c>
      <c r="G187" s="14">
        <v>45514</v>
      </c>
      <c r="H187" s="15" t="s">
        <v>7</v>
      </c>
      <c r="I187" s="16" t="s">
        <v>101</v>
      </c>
      <c r="J187" s="16">
        <v>6316144</v>
      </c>
      <c r="K187" s="17">
        <v>7670</v>
      </c>
      <c r="L187" s="18">
        <v>45516</v>
      </c>
      <c r="M187" s="19" t="s">
        <v>39</v>
      </c>
      <c r="N187" s="20" t="s">
        <v>115</v>
      </c>
      <c r="O187" s="20">
        <v>15</v>
      </c>
      <c r="P187" s="20"/>
      <c r="Q187" s="21">
        <v>45516</v>
      </c>
      <c r="R187" s="20">
        <v>55</v>
      </c>
      <c r="S187" s="22">
        <v>7697</v>
      </c>
      <c r="T187" s="23">
        <v>118</v>
      </c>
      <c r="V187" s="37">
        <f t="shared" si="35"/>
        <v>7673</v>
      </c>
      <c r="W187" s="24">
        <f t="shared" si="36"/>
        <v>-24</v>
      </c>
      <c r="X187" s="27">
        <f t="shared" si="37"/>
        <v>3</v>
      </c>
      <c r="Y187" s="47">
        <f t="shared" si="38"/>
        <v>13</v>
      </c>
      <c r="Z187" s="38">
        <f t="shared" si="39"/>
        <v>10</v>
      </c>
      <c r="AA187" s="39">
        <f t="shared" si="40"/>
        <v>27</v>
      </c>
      <c r="AB187" s="39">
        <f t="shared" si="41"/>
        <v>37</v>
      </c>
      <c r="AC187" s="32"/>
      <c r="AE187" s="1"/>
      <c r="AF187" s="1"/>
    </row>
    <row r="188" spans="1:32" x14ac:dyDescent="0.2">
      <c r="A188" s="11"/>
      <c r="B188" s="12"/>
      <c r="C188" s="12"/>
      <c r="D188" s="12"/>
      <c r="E188" s="12"/>
      <c r="F188" s="13"/>
      <c r="G188" s="30"/>
      <c r="H188" s="15"/>
      <c r="I188" s="16"/>
      <c r="J188" s="16"/>
      <c r="K188" s="17"/>
      <c r="L188" s="31"/>
      <c r="M188" s="19"/>
      <c r="N188" s="20"/>
      <c r="O188" s="20"/>
      <c r="P188" s="20"/>
      <c r="Q188" s="20"/>
      <c r="R188" s="20"/>
      <c r="S188" s="22"/>
      <c r="T188" s="23"/>
      <c r="V188" s="37" t="str">
        <f t="shared" si="35"/>
        <v/>
      </c>
      <c r="W188" s="46" t="str">
        <f t="shared" si="36"/>
        <v/>
      </c>
      <c r="X188" s="45" t="str">
        <f t="shared" si="37"/>
        <v/>
      </c>
      <c r="Y188" s="47" t="str">
        <f t="shared" si="38"/>
        <v/>
      </c>
      <c r="Z188" s="38" t="str">
        <f t="shared" si="39"/>
        <v/>
      </c>
      <c r="AA188" s="39" t="str">
        <f t="shared" si="40"/>
        <v/>
      </c>
      <c r="AB188" s="39" t="str">
        <f t="shared" si="41"/>
        <v/>
      </c>
      <c r="AC188" s="32"/>
      <c r="AE188" s="1"/>
      <c r="AF188" s="1"/>
    </row>
    <row r="189" spans="1:32" x14ac:dyDescent="0.2">
      <c r="A189" s="11"/>
      <c r="B189" s="12"/>
      <c r="C189" s="12"/>
      <c r="D189" s="12"/>
      <c r="E189" s="12"/>
      <c r="F189" s="13"/>
      <c r="G189" s="30"/>
      <c r="H189" s="15"/>
      <c r="I189" s="16"/>
      <c r="J189" s="16"/>
      <c r="K189" s="17"/>
      <c r="L189" s="31"/>
      <c r="M189" s="19"/>
      <c r="N189" s="20"/>
      <c r="O189" s="20"/>
      <c r="P189" s="20"/>
      <c r="Q189" s="20"/>
      <c r="R189" s="20"/>
      <c r="S189" s="22"/>
      <c r="T189" s="23"/>
      <c r="V189" s="37" t="str">
        <f t="shared" si="35"/>
        <v/>
      </c>
      <c r="W189" s="46" t="str">
        <f t="shared" si="36"/>
        <v/>
      </c>
      <c r="X189" s="45" t="str">
        <f t="shared" si="37"/>
        <v/>
      </c>
      <c r="Y189" s="47" t="str">
        <f t="shared" si="38"/>
        <v/>
      </c>
      <c r="Z189" s="38" t="str">
        <f t="shared" si="39"/>
        <v/>
      </c>
      <c r="AA189" s="39" t="str">
        <f t="shared" si="40"/>
        <v/>
      </c>
      <c r="AB189" s="39" t="str">
        <f t="shared" si="41"/>
        <v/>
      </c>
      <c r="AC189" s="32"/>
      <c r="AE189" s="1"/>
      <c r="AF189" s="1"/>
    </row>
    <row r="190" spans="1:32" x14ac:dyDescent="0.2">
      <c r="A190" s="11"/>
      <c r="B190" s="12"/>
      <c r="C190" s="12"/>
      <c r="D190" s="12"/>
      <c r="E190" s="12"/>
      <c r="F190" s="13"/>
      <c r="G190" s="30"/>
      <c r="H190" s="15"/>
      <c r="I190" s="16"/>
      <c r="J190" s="16"/>
      <c r="K190" s="17"/>
      <c r="L190" s="31"/>
      <c r="M190" s="19"/>
      <c r="N190" s="20"/>
      <c r="O190" s="20"/>
      <c r="P190" s="20"/>
      <c r="Q190" s="20"/>
      <c r="R190" s="20"/>
      <c r="S190" s="22"/>
      <c r="T190" s="23"/>
      <c r="V190" s="37" t="str">
        <f t="shared" si="35"/>
        <v/>
      </c>
      <c r="W190" s="46" t="str">
        <f t="shared" si="36"/>
        <v/>
      </c>
      <c r="X190" s="45" t="str">
        <f t="shared" si="37"/>
        <v/>
      </c>
      <c r="Y190" s="47" t="str">
        <f t="shared" si="38"/>
        <v/>
      </c>
      <c r="Z190" s="38" t="str">
        <f t="shared" si="39"/>
        <v/>
      </c>
      <c r="AA190" s="39" t="str">
        <f t="shared" si="40"/>
        <v/>
      </c>
      <c r="AB190" s="39" t="str">
        <f t="shared" si="41"/>
        <v/>
      </c>
      <c r="AC190" s="32"/>
      <c r="AE190" s="1"/>
      <c r="AF190" s="1"/>
    </row>
    <row r="191" spans="1:32" x14ac:dyDescent="0.2">
      <c r="A191" s="11"/>
      <c r="B191" s="12"/>
      <c r="C191" s="12"/>
      <c r="D191" s="12"/>
      <c r="E191" s="12"/>
      <c r="F191" s="13"/>
      <c r="G191" s="30"/>
      <c r="H191" s="15"/>
      <c r="I191" s="16"/>
      <c r="J191" s="16"/>
      <c r="K191" s="17"/>
      <c r="L191" s="31"/>
      <c r="M191" s="19"/>
      <c r="N191" s="20"/>
      <c r="O191" s="20"/>
      <c r="P191" s="20"/>
      <c r="Q191" s="20"/>
      <c r="R191" s="20"/>
      <c r="S191" s="22"/>
      <c r="T191" s="23"/>
      <c r="V191" s="37" t="str">
        <f t="shared" si="35"/>
        <v/>
      </c>
      <c r="W191" s="46" t="str">
        <f t="shared" si="36"/>
        <v/>
      </c>
      <c r="X191" s="45" t="str">
        <f t="shared" si="37"/>
        <v/>
      </c>
      <c r="Y191" s="47" t="str">
        <f t="shared" si="38"/>
        <v/>
      </c>
      <c r="Z191" s="38" t="str">
        <f t="shared" si="39"/>
        <v/>
      </c>
      <c r="AA191" s="39" t="str">
        <f t="shared" si="40"/>
        <v/>
      </c>
      <c r="AB191" s="39" t="str">
        <f t="shared" si="41"/>
        <v/>
      </c>
      <c r="AC191" s="32"/>
      <c r="AE191" s="1"/>
      <c r="AF191" s="1"/>
    </row>
    <row r="192" spans="1:32" x14ac:dyDescent="0.2">
      <c r="A192" s="11"/>
      <c r="B192" s="12"/>
      <c r="C192" s="12"/>
      <c r="D192" s="12"/>
      <c r="E192" s="12"/>
      <c r="F192" s="13"/>
      <c r="G192" s="30"/>
      <c r="H192" s="15"/>
      <c r="I192" s="16"/>
      <c r="J192" s="16"/>
      <c r="K192" s="17"/>
      <c r="L192" s="31"/>
      <c r="M192" s="19"/>
      <c r="N192" s="20"/>
      <c r="O192" s="20"/>
      <c r="P192" s="20"/>
      <c r="Q192" s="20"/>
      <c r="R192" s="20"/>
      <c r="S192" s="22"/>
      <c r="T192" s="23"/>
      <c r="V192" s="37" t="str">
        <f t="shared" si="35"/>
        <v/>
      </c>
      <c r="W192" s="46" t="str">
        <f t="shared" si="36"/>
        <v/>
      </c>
      <c r="X192" s="45" t="str">
        <f t="shared" si="37"/>
        <v/>
      </c>
      <c r="Y192" s="47" t="str">
        <f t="shared" si="38"/>
        <v/>
      </c>
      <c r="Z192" s="38" t="str">
        <f t="shared" si="39"/>
        <v/>
      </c>
      <c r="AA192" s="39" t="str">
        <f t="shared" si="40"/>
        <v/>
      </c>
      <c r="AB192" s="39" t="str">
        <f t="shared" si="41"/>
        <v/>
      </c>
      <c r="AC192" s="32"/>
      <c r="AE192" s="1"/>
      <c r="AF192" s="1"/>
    </row>
    <row r="193" spans="1:32" x14ac:dyDescent="0.2">
      <c r="A193" s="11"/>
      <c r="B193" s="12"/>
      <c r="C193" s="12"/>
      <c r="D193" s="12"/>
      <c r="E193" s="12"/>
      <c r="F193" s="13"/>
      <c r="G193" s="30"/>
      <c r="H193" s="15"/>
      <c r="I193" s="16"/>
      <c r="J193" s="16"/>
      <c r="K193" s="17"/>
      <c r="L193" s="31"/>
      <c r="M193" s="19"/>
      <c r="N193" s="20"/>
      <c r="O193" s="20"/>
      <c r="P193" s="20"/>
      <c r="Q193" s="20"/>
      <c r="R193" s="20"/>
      <c r="S193" s="22"/>
      <c r="T193" s="23"/>
      <c r="V193" s="37" t="str">
        <f t="shared" si="35"/>
        <v/>
      </c>
      <c r="W193" s="46" t="str">
        <f t="shared" si="36"/>
        <v/>
      </c>
      <c r="X193" s="45" t="str">
        <f t="shared" si="37"/>
        <v/>
      </c>
      <c r="Y193" s="47" t="str">
        <f t="shared" si="38"/>
        <v/>
      </c>
      <c r="Z193" s="38" t="str">
        <f t="shared" si="39"/>
        <v/>
      </c>
      <c r="AA193" s="39" t="str">
        <f t="shared" si="40"/>
        <v/>
      </c>
      <c r="AB193" s="39" t="str">
        <f t="shared" si="41"/>
        <v/>
      </c>
      <c r="AC193" s="32"/>
      <c r="AE193" s="1"/>
      <c r="AF193" s="1"/>
    </row>
    <row r="194" spans="1:32" x14ac:dyDescent="0.2">
      <c r="A194" s="11"/>
      <c r="B194" s="12"/>
      <c r="C194" s="12"/>
      <c r="D194" s="12"/>
      <c r="E194" s="12"/>
      <c r="F194" s="13"/>
      <c r="G194" s="30"/>
      <c r="H194" s="15"/>
      <c r="I194" s="16"/>
      <c r="J194" s="16"/>
      <c r="K194" s="17"/>
      <c r="L194" s="31"/>
      <c r="M194" s="19"/>
      <c r="N194" s="20"/>
      <c r="O194" s="20"/>
      <c r="P194" s="20"/>
      <c r="Q194" s="20"/>
      <c r="R194" s="20"/>
      <c r="S194" s="22"/>
      <c r="T194" s="23"/>
      <c r="V194" s="37" t="str">
        <f t="shared" si="35"/>
        <v/>
      </c>
      <c r="W194" s="46" t="str">
        <f t="shared" si="36"/>
        <v/>
      </c>
      <c r="X194" s="45" t="str">
        <f t="shared" si="37"/>
        <v/>
      </c>
      <c r="Y194" s="47" t="str">
        <f t="shared" si="38"/>
        <v/>
      </c>
      <c r="Z194" s="38" t="str">
        <f t="shared" si="39"/>
        <v/>
      </c>
      <c r="AA194" s="39" t="str">
        <f t="shared" si="40"/>
        <v/>
      </c>
      <c r="AB194" s="39" t="str">
        <f t="shared" si="41"/>
        <v/>
      </c>
      <c r="AC194" s="32"/>
      <c r="AE194" s="1"/>
      <c r="AF194" s="1"/>
    </row>
    <row r="195" spans="1:32" x14ac:dyDescent="0.2">
      <c r="A195" s="11"/>
      <c r="B195" s="12"/>
      <c r="C195" s="12"/>
      <c r="D195" s="12"/>
      <c r="E195" s="12"/>
      <c r="F195" s="13"/>
      <c r="G195" s="30"/>
      <c r="H195" s="15"/>
      <c r="I195" s="16"/>
      <c r="J195" s="16"/>
      <c r="K195" s="17"/>
      <c r="L195" s="31"/>
      <c r="M195" s="19"/>
      <c r="N195" s="20"/>
      <c r="O195" s="20"/>
      <c r="P195" s="20"/>
      <c r="Q195" s="20"/>
      <c r="R195" s="20"/>
      <c r="S195" s="22"/>
      <c r="T195" s="23"/>
      <c r="V195" s="37" t="str">
        <f t="shared" si="35"/>
        <v/>
      </c>
      <c r="W195" s="46" t="str">
        <f t="shared" si="36"/>
        <v/>
      </c>
      <c r="X195" s="45" t="str">
        <f t="shared" si="37"/>
        <v/>
      </c>
      <c r="Y195" s="47" t="str">
        <f t="shared" si="38"/>
        <v/>
      </c>
      <c r="Z195" s="38" t="str">
        <f t="shared" si="39"/>
        <v/>
      </c>
      <c r="AA195" s="39" t="str">
        <f t="shared" si="40"/>
        <v/>
      </c>
      <c r="AB195" s="39" t="str">
        <f t="shared" si="41"/>
        <v/>
      </c>
      <c r="AC195" s="32"/>
      <c r="AE195" s="1"/>
      <c r="AF195" s="1"/>
    </row>
    <row r="196" spans="1:32" x14ac:dyDescent="0.2">
      <c r="A196" s="11"/>
      <c r="B196" s="12"/>
      <c r="C196" s="12"/>
      <c r="D196" s="12"/>
      <c r="E196" s="12"/>
      <c r="F196" s="13"/>
      <c r="G196" s="30"/>
      <c r="H196" s="15"/>
      <c r="I196" s="16"/>
      <c r="J196" s="16"/>
      <c r="K196" s="17"/>
      <c r="L196" s="31"/>
      <c r="M196" s="19"/>
      <c r="N196" s="20"/>
      <c r="O196" s="20"/>
      <c r="P196" s="20"/>
      <c r="Q196" s="20"/>
      <c r="R196" s="20"/>
      <c r="S196" s="22"/>
      <c r="T196" s="23"/>
      <c r="V196" s="37" t="str">
        <f t="shared" si="35"/>
        <v/>
      </c>
      <c r="W196" s="46" t="str">
        <f t="shared" si="36"/>
        <v/>
      </c>
      <c r="X196" s="45" t="str">
        <f t="shared" si="37"/>
        <v/>
      </c>
      <c r="Y196" s="47" t="str">
        <f t="shared" si="38"/>
        <v/>
      </c>
      <c r="Z196" s="38" t="str">
        <f t="shared" si="39"/>
        <v/>
      </c>
      <c r="AA196" s="39" t="str">
        <f t="shared" si="40"/>
        <v/>
      </c>
      <c r="AB196" s="39" t="str">
        <f t="shared" si="41"/>
        <v/>
      </c>
      <c r="AC196" s="32"/>
      <c r="AE196" s="1"/>
      <c r="AF196" s="1"/>
    </row>
    <row r="197" spans="1:32" x14ac:dyDescent="0.2">
      <c r="A197" s="11"/>
      <c r="B197" s="12"/>
      <c r="C197" s="12"/>
      <c r="D197" s="12"/>
      <c r="E197" s="12"/>
      <c r="F197" s="13"/>
      <c r="G197" s="30"/>
      <c r="H197" s="15"/>
      <c r="I197" s="16"/>
      <c r="J197" s="16"/>
      <c r="K197" s="17"/>
      <c r="L197" s="31"/>
      <c r="M197" s="19"/>
      <c r="N197" s="20"/>
      <c r="O197" s="20"/>
      <c r="P197" s="20"/>
      <c r="Q197" s="20"/>
      <c r="R197" s="20"/>
      <c r="S197" s="22"/>
      <c r="T197" s="23"/>
      <c r="V197" s="37" t="str">
        <f t="shared" si="35"/>
        <v/>
      </c>
      <c r="W197" s="46" t="str">
        <f t="shared" si="36"/>
        <v/>
      </c>
      <c r="X197" s="45" t="str">
        <f t="shared" si="37"/>
        <v/>
      </c>
      <c r="Y197" s="47" t="str">
        <f t="shared" si="38"/>
        <v/>
      </c>
      <c r="Z197" s="38" t="str">
        <f t="shared" si="39"/>
        <v/>
      </c>
      <c r="AA197" s="39" t="str">
        <f t="shared" si="40"/>
        <v/>
      </c>
      <c r="AB197" s="39" t="str">
        <f t="shared" si="41"/>
        <v/>
      </c>
      <c r="AC197" s="32"/>
      <c r="AE197" s="1"/>
      <c r="AF197" s="1"/>
    </row>
    <row r="198" spans="1:32" x14ac:dyDescent="0.2">
      <c r="A198" s="11"/>
      <c r="B198" s="12"/>
      <c r="C198" s="12"/>
      <c r="D198" s="12"/>
      <c r="E198" s="12"/>
      <c r="F198" s="13"/>
      <c r="G198" s="30"/>
      <c r="H198" s="15"/>
      <c r="I198" s="16"/>
      <c r="J198" s="16"/>
      <c r="K198" s="17"/>
      <c r="L198" s="31"/>
      <c r="M198" s="19"/>
      <c r="N198" s="20"/>
      <c r="O198" s="20"/>
      <c r="P198" s="20"/>
      <c r="Q198" s="20"/>
      <c r="R198" s="20"/>
      <c r="S198" s="22"/>
      <c r="T198" s="23"/>
      <c r="V198" s="37" t="str">
        <f t="shared" si="35"/>
        <v/>
      </c>
      <c r="W198" s="46" t="str">
        <f t="shared" si="36"/>
        <v/>
      </c>
      <c r="X198" s="45" t="str">
        <f t="shared" si="37"/>
        <v/>
      </c>
      <c r="Y198" s="47" t="str">
        <f t="shared" si="38"/>
        <v/>
      </c>
      <c r="Z198" s="38" t="str">
        <f t="shared" si="39"/>
        <v/>
      </c>
      <c r="AA198" s="39" t="str">
        <f t="shared" si="40"/>
        <v/>
      </c>
      <c r="AB198" s="39" t="str">
        <f t="shared" si="41"/>
        <v/>
      </c>
      <c r="AC198" s="32"/>
      <c r="AE198" s="1"/>
      <c r="AF198" s="1"/>
    </row>
    <row r="199" spans="1:32" x14ac:dyDescent="0.2">
      <c r="A199" s="11"/>
      <c r="B199" s="12"/>
      <c r="C199" s="12"/>
      <c r="D199" s="12"/>
      <c r="E199" s="12"/>
      <c r="F199" s="13"/>
      <c r="G199" s="30"/>
      <c r="H199" s="15"/>
      <c r="I199" s="16"/>
      <c r="J199" s="16"/>
      <c r="K199" s="17"/>
      <c r="L199" s="31"/>
      <c r="M199" s="19"/>
      <c r="N199" s="20"/>
      <c r="O199" s="20"/>
      <c r="P199" s="20"/>
      <c r="Q199" s="20"/>
      <c r="R199" s="20"/>
      <c r="S199" s="22"/>
      <c r="T199" s="23"/>
      <c r="V199" s="37" t="str">
        <f t="shared" si="35"/>
        <v/>
      </c>
      <c r="W199" s="46" t="str">
        <f t="shared" si="36"/>
        <v/>
      </c>
      <c r="X199" s="45" t="str">
        <f t="shared" si="37"/>
        <v/>
      </c>
      <c r="Y199" s="47" t="str">
        <f t="shared" si="38"/>
        <v/>
      </c>
      <c r="Z199" s="38" t="str">
        <f t="shared" si="39"/>
        <v/>
      </c>
      <c r="AA199" s="39" t="str">
        <f t="shared" si="40"/>
        <v/>
      </c>
      <c r="AB199" s="39" t="str">
        <f t="shared" si="41"/>
        <v/>
      </c>
      <c r="AC199" s="32"/>
      <c r="AE199" s="1"/>
      <c r="AF199" s="1"/>
    </row>
    <row r="200" spans="1:32" x14ac:dyDescent="0.2">
      <c r="A200" s="11"/>
      <c r="B200" s="12"/>
      <c r="C200" s="12"/>
      <c r="D200" s="12"/>
      <c r="E200" s="12"/>
      <c r="F200" s="13"/>
      <c r="G200" s="30"/>
      <c r="H200" s="15"/>
      <c r="I200" s="16"/>
      <c r="J200" s="16"/>
      <c r="K200" s="17"/>
      <c r="L200" s="31"/>
      <c r="M200" s="19"/>
      <c r="N200" s="20"/>
      <c r="O200" s="20"/>
      <c r="P200" s="20"/>
      <c r="Q200" s="20"/>
      <c r="R200" s="20"/>
      <c r="S200" s="22"/>
      <c r="T200" s="23"/>
      <c r="V200" s="37" t="str">
        <f t="shared" si="35"/>
        <v/>
      </c>
      <c r="W200" s="46" t="str">
        <f t="shared" si="36"/>
        <v/>
      </c>
      <c r="X200" s="45" t="str">
        <f t="shared" si="37"/>
        <v/>
      </c>
      <c r="Y200" s="47" t="str">
        <f t="shared" si="38"/>
        <v/>
      </c>
      <c r="Z200" s="38" t="str">
        <f t="shared" si="39"/>
        <v/>
      </c>
      <c r="AA200" s="39" t="str">
        <f t="shared" si="40"/>
        <v/>
      </c>
      <c r="AB200" s="39" t="str">
        <f t="shared" si="41"/>
        <v/>
      </c>
      <c r="AC200" s="32"/>
      <c r="AE200" s="1"/>
      <c r="AF200" s="1"/>
    </row>
    <row r="201" spans="1:32" x14ac:dyDescent="0.2">
      <c r="A201" s="11"/>
      <c r="B201" s="12"/>
      <c r="C201" s="12"/>
      <c r="D201" s="12"/>
      <c r="E201" s="12"/>
      <c r="F201" s="13"/>
      <c r="G201" s="30"/>
      <c r="H201" s="15"/>
      <c r="I201" s="16"/>
      <c r="J201" s="16"/>
      <c r="K201" s="17"/>
      <c r="L201" s="31"/>
      <c r="M201" s="19"/>
      <c r="N201" s="20"/>
      <c r="O201" s="20"/>
      <c r="P201" s="20"/>
      <c r="Q201" s="20"/>
      <c r="R201" s="20"/>
      <c r="S201" s="22"/>
      <c r="T201" s="23"/>
      <c r="V201" s="37" t="str">
        <f t="shared" si="35"/>
        <v/>
      </c>
      <c r="W201" s="46" t="str">
        <f t="shared" si="36"/>
        <v/>
      </c>
      <c r="X201" s="45" t="str">
        <f t="shared" si="37"/>
        <v/>
      </c>
      <c r="Y201" s="47" t="str">
        <f t="shared" si="38"/>
        <v/>
      </c>
      <c r="Z201" s="38" t="str">
        <f t="shared" si="39"/>
        <v/>
      </c>
      <c r="AA201" s="39" t="str">
        <f t="shared" si="40"/>
        <v/>
      </c>
      <c r="AB201" s="39" t="str">
        <f t="shared" si="41"/>
        <v/>
      </c>
      <c r="AC201" s="32"/>
      <c r="AE201" s="1"/>
      <c r="AF201" s="1"/>
    </row>
    <row r="202" spans="1:32" x14ac:dyDescent="0.2">
      <c r="A202" s="11"/>
      <c r="B202" s="12"/>
      <c r="C202" s="12"/>
      <c r="D202" s="12"/>
      <c r="E202" s="12"/>
      <c r="F202" s="13"/>
      <c r="G202" s="30"/>
      <c r="H202" s="15"/>
      <c r="I202" s="16"/>
      <c r="J202" s="16"/>
      <c r="K202" s="17"/>
      <c r="L202" s="31"/>
      <c r="M202" s="19"/>
      <c r="N202" s="20"/>
      <c r="O202" s="20"/>
      <c r="P202" s="20"/>
      <c r="Q202" s="20"/>
      <c r="R202" s="20"/>
      <c r="S202" s="22"/>
      <c r="T202" s="23"/>
      <c r="V202" s="37" t="str">
        <f t="shared" si="35"/>
        <v/>
      </c>
      <c r="W202" s="46" t="str">
        <f t="shared" si="36"/>
        <v/>
      </c>
      <c r="X202" s="45" t="str">
        <f t="shared" si="37"/>
        <v/>
      </c>
      <c r="Y202" s="47" t="str">
        <f t="shared" si="38"/>
        <v/>
      </c>
      <c r="Z202" s="38" t="str">
        <f t="shared" si="39"/>
        <v/>
      </c>
      <c r="AA202" s="39" t="str">
        <f t="shared" si="40"/>
        <v/>
      </c>
      <c r="AB202" s="39" t="str">
        <f t="shared" si="41"/>
        <v/>
      </c>
      <c r="AC202" s="32"/>
      <c r="AE202" s="1"/>
      <c r="AF202" s="1"/>
    </row>
    <row r="203" spans="1:32" x14ac:dyDescent="0.2">
      <c r="A203" s="11"/>
      <c r="B203" s="12"/>
      <c r="C203" s="12"/>
      <c r="D203" s="12"/>
      <c r="E203" s="12"/>
      <c r="F203" s="13"/>
      <c r="G203" s="30"/>
      <c r="H203" s="15"/>
      <c r="I203" s="16"/>
      <c r="J203" s="16"/>
      <c r="K203" s="17"/>
      <c r="L203" s="31"/>
      <c r="M203" s="19"/>
      <c r="N203" s="20"/>
      <c r="O203" s="20"/>
      <c r="P203" s="20"/>
      <c r="Q203" s="20"/>
      <c r="R203" s="20"/>
      <c r="S203" s="22"/>
      <c r="T203" s="23"/>
      <c r="V203" s="37" t="str">
        <f t="shared" si="35"/>
        <v/>
      </c>
      <c r="W203" s="46" t="str">
        <f t="shared" si="36"/>
        <v/>
      </c>
      <c r="X203" s="45" t="str">
        <f t="shared" si="37"/>
        <v/>
      </c>
      <c r="Y203" s="47" t="str">
        <f t="shared" si="38"/>
        <v/>
      </c>
      <c r="Z203" s="38" t="str">
        <f t="shared" si="39"/>
        <v/>
      </c>
      <c r="AA203" s="39" t="str">
        <f t="shared" si="40"/>
        <v/>
      </c>
      <c r="AB203" s="39" t="str">
        <f t="shared" si="41"/>
        <v/>
      </c>
      <c r="AC203" s="32"/>
      <c r="AE203" s="1"/>
      <c r="AF203" s="1"/>
    </row>
    <row r="204" spans="1:32" x14ac:dyDescent="0.2">
      <c r="A204" s="11"/>
      <c r="B204" s="12"/>
      <c r="C204" s="12"/>
      <c r="D204" s="12"/>
      <c r="E204" s="12"/>
      <c r="F204" s="13"/>
      <c r="G204" s="30"/>
      <c r="H204" s="15"/>
      <c r="I204" s="16"/>
      <c r="J204" s="16"/>
      <c r="K204" s="17"/>
      <c r="L204" s="31"/>
      <c r="M204" s="19"/>
      <c r="N204" s="20"/>
      <c r="O204" s="20"/>
      <c r="P204" s="20"/>
      <c r="Q204" s="20"/>
      <c r="R204" s="20"/>
      <c r="S204" s="22"/>
      <c r="T204" s="23"/>
      <c r="V204" s="37" t="str">
        <f t="shared" si="35"/>
        <v/>
      </c>
      <c r="W204" s="46" t="str">
        <f t="shared" si="36"/>
        <v/>
      </c>
      <c r="X204" s="45" t="str">
        <f t="shared" si="37"/>
        <v/>
      </c>
      <c r="Y204" s="47" t="str">
        <f t="shared" si="38"/>
        <v/>
      </c>
      <c r="Z204" s="38" t="str">
        <f t="shared" si="39"/>
        <v/>
      </c>
      <c r="AA204" s="39" t="str">
        <f t="shared" si="40"/>
        <v/>
      </c>
      <c r="AB204" s="39" t="str">
        <f t="shared" si="41"/>
        <v/>
      </c>
      <c r="AC204" s="32"/>
      <c r="AE204" s="1"/>
      <c r="AF204" s="1"/>
    </row>
    <row r="205" spans="1:32" x14ac:dyDescent="0.2">
      <c r="A205" s="11"/>
      <c r="B205" s="12"/>
      <c r="C205" s="12"/>
      <c r="D205" s="12"/>
      <c r="E205" s="12"/>
      <c r="F205" s="13"/>
      <c r="G205" s="30"/>
      <c r="H205" s="15"/>
      <c r="I205" s="16"/>
      <c r="J205" s="16"/>
      <c r="K205" s="17"/>
      <c r="L205" s="31"/>
      <c r="M205" s="19"/>
      <c r="N205" s="20"/>
      <c r="O205" s="20"/>
      <c r="P205" s="20"/>
      <c r="Q205" s="20"/>
      <c r="R205" s="20"/>
      <c r="S205" s="22"/>
      <c r="T205" s="23"/>
      <c r="V205" s="37" t="str">
        <f t="shared" si="35"/>
        <v/>
      </c>
      <c r="W205" s="46" t="str">
        <f t="shared" si="36"/>
        <v/>
      </c>
      <c r="X205" s="45" t="str">
        <f t="shared" si="37"/>
        <v/>
      </c>
      <c r="Y205" s="47" t="str">
        <f t="shared" si="38"/>
        <v/>
      </c>
      <c r="Z205" s="38" t="str">
        <f t="shared" si="39"/>
        <v/>
      </c>
      <c r="AA205" s="39" t="str">
        <f t="shared" si="40"/>
        <v/>
      </c>
      <c r="AB205" s="39" t="str">
        <f t="shared" si="41"/>
        <v/>
      </c>
      <c r="AC205" s="32"/>
      <c r="AE205" s="1"/>
      <c r="AF205" s="1"/>
    </row>
    <row r="206" spans="1:32" x14ac:dyDescent="0.2">
      <c r="A206" s="11"/>
      <c r="B206" s="12"/>
      <c r="C206" s="12"/>
      <c r="D206" s="12"/>
      <c r="E206" s="12"/>
      <c r="F206" s="13"/>
      <c r="G206" s="30"/>
      <c r="H206" s="15"/>
      <c r="I206" s="16"/>
      <c r="J206" s="16"/>
      <c r="K206" s="17"/>
      <c r="L206" s="31"/>
      <c r="M206" s="19"/>
      <c r="N206" s="20"/>
      <c r="O206" s="20"/>
      <c r="P206" s="20"/>
      <c r="Q206" s="20"/>
      <c r="R206" s="20"/>
      <c r="S206" s="22"/>
      <c r="T206" s="23"/>
      <c r="V206" s="37" t="str">
        <f t="shared" si="35"/>
        <v/>
      </c>
      <c r="W206" s="46" t="str">
        <f t="shared" si="36"/>
        <v/>
      </c>
      <c r="X206" s="45" t="str">
        <f t="shared" si="37"/>
        <v/>
      </c>
      <c r="Y206" s="47" t="str">
        <f t="shared" si="38"/>
        <v/>
      </c>
      <c r="Z206" s="38" t="str">
        <f t="shared" si="39"/>
        <v/>
      </c>
      <c r="AA206" s="39" t="str">
        <f t="shared" si="40"/>
        <v/>
      </c>
      <c r="AB206" s="39" t="str">
        <f t="shared" si="41"/>
        <v/>
      </c>
      <c r="AC206" s="32"/>
      <c r="AE206" s="1"/>
      <c r="AF206" s="1"/>
    </row>
    <row r="207" spans="1:32" x14ac:dyDescent="0.2">
      <c r="A207" s="11"/>
      <c r="B207" s="12"/>
      <c r="C207" s="12"/>
      <c r="D207" s="12"/>
      <c r="E207" s="12"/>
      <c r="F207" s="13"/>
      <c r="G207" s="30"/>
      <c r="H207" s="15"/>
      <c r="I207" s="16"/>
      <c r="J207" s="16"/>
      <c r="K207" s="17"/>
      <c r="L207" s="31"/>
      <c r="M207" s="19"/>
      <c r="N207" s="20"/>
      <c r="O207" s="20"/>
      <c r="P207" s="20"/>
      <c r="Q207" s="20"/>
      <c r="R207" s="20"/>
      <c r="S207" s="22"/>
      <c r="T207" s="23"/>
      <c r="V207" s="37" t="str">
        <f t="shared" si="35"/>
        <v/>
      </c>
      <c r="W207" s="46" t="str">
        <f t="shared" si="36"/>
        <v/>
      </c>
      <c r="X207" s="45" t="str">
        <f t="shared" si="37"/>
        <v/>
      </c>
      <c r="Y207" s="47" t="str">
        <f t="shared" si="38"/>
        <v/>
      </c>
      <c r="Z207" s="38" t="str">
        <f t="shared" si="39"/>
        <v/>
      </c>
      <c r="AA207" s="39" t="str">
        <f t="shared" si="40"/>
        <v/>
      </c>
      <c r="AB207" s="39" t="str">
        <f t="shared" si="41"/>
        <v/>
      </c>
      <c r="AC207" s="32"/>
      <c r="AE207" s="1"/>
      <c r="AF207" s="1"/>
    </row>
    <row r="208" spans="1:32" x14ac:dyDescent="0.2">
      <c r="A208" s="11"/>
      <c r="B208" s="12"/>
      <c r="C208" s="12"/>
      <c r="D208" s="12"/>
      <c r="E208" s="12"/>
      <c r="F208" s="13"/>
      <c r="G208" s="30"/>
      <c r="H208" s="15"/>
      <c r="I208" s="16"/>
      <c r="J208" s="16"/>
      <c r="K208" s="17"/>
      <c r="L208" s="31"/>
      <c r="M208" s="19"/>
      <c r="N208" s="20"/>
      <c r="O208" s="20"/>
      <c r="P208" s="20"/>
      <c r="Q208" s="20"/>
      <c r="R208" s="20"/>
      <c r="S208" s="22"/>
      <c r="T208" s="23"/>
      <c r="V208" s="37" t="str">
        <f t="shared" si="35"/>
        <v/>
      </c>
      <c r="W208" s="46" t="str">
        <f t="shared" si="36"/>
        <v/>
      </c>
      <c r="X208" s="45" t="str">
        <f t="shared" si="37"/>
        <v/>
      </c>
      <c r="Y208" s="47" t="str">
        <f t="shared" si="38"/>
        <v/>
      </c>
      <c r="Z208" s="38" t="str">
        <f t="shared" si="39"/>
        <v/>
      </c>
      <c r="AA208" s="39" t="str">
        <f t="shared" si="40"/>
        <v/>
      </c>
      <c r="AB208" s="39" t="str">
        <f t="shared" si="41"/>
        <v/>
      </c>
      <c r="AC208" s="32"/>
      <c r="AE208" s="1"/>
      <c r="AF208" s="1"/>
    </row>
    <row r="209" spans="1:32" x14ac:dyDescent="0.2">
      <c r="A209" s="11"/>
      <c r="B209" s="12"/>
      <c r="C209" s="12"/>
      <c r="D209" s="12"/>
      <c r="E209" s="12"/>
      <c r="F209" s="13"/>
      <c r="G209" s="30"/>
      <c r="H209" s="15"/>
      <c r="I209" s="16"/>
      <c r="J209" s="16"/>
      <c r="K209" s="17"/>
      <c r="L209" s="31"/>
      <c r="M209" s="19"/>
      <c r="N209" s="20"/>
      <c r="O209" s="20"/>
      <c r="P209" s="20"/>
      <c r="Q209" s="20"/>
      <c r="R209" s="20"/>
      <c r="S209" s="22"/>
      <c r="T209" s="23"/>
      <c r="V209" s="37" t="str">
        <f t="shared" si="35"/>
        <v/>
      </c>
      <c r="W209" s="46" t="str">
        <f t="shared" si="36"/>
        <v/>
      </c>
      <c r="X209" s="45" t="str">
        <f t="shared" si="37"/>
        <v/>
      </c>
      <c r="Y209" s="47" t="str">
        <f t="shared" si="38"/>
        <v/>
      </c>
      <c r="Z209" s="38" t="str">
        <f t="shared" si="39"/>
        <v/>
      </c>
      <c r="AA209" s="39" t="str">
        <f t="shared" si="40"/>
        <v/>
      </c>
      <c r="AB209" s="39" t="str">
        <f t="shared" si="41"/>
        <v/>
      </c>
      <c r="AC209" s="32"/>
      <c r="AE209" s="1"/>
      <c r="AF209" s="1"/>
    </row>
    <row r="210" spans="1:32" x14ac:dyDescent="0.2">
      <c r="A210" s="11"/>
      <c r="B210" s="12"/>
      <c r="C210" s="12"/>
      <c r="D210" s="12"/>
      <c r="E210" s="12"/>
      <c r="F210" s="13"/>
      <c r="G210" s="30"/>
      <c r="H210" s="15"/>
      <c r="I210" s="16"/>
      <c r="J210" s="16"/>
      <c r="K210" s="17"/>
      <c r="L210" s="31"/>
      <c r="M210" s="19"/>
      <c r="N210" s="20"/>
      <c r="O210" s="20"/>
      <c r="P210" s="20"/>
      <c r="Q210" s="20"/>
      <c r="R210" s="20"/>
      <c r="S210" s="22"/>
      <c r="T210" s="23"/>
      <c r="V210" s="37" t="str">
        <f t="shared" si="35"/>
        <v/>
      </c>
      <c r="W210" s="46" t="str">
        <f t="shared" si="36"/>
        <v/>
      </c>
      <c r="X210" s="45" t="str">
        <f t="shared" si="37"/>
        <v/>
      </c>
      <c r="Y210" s="47" t="str">
        <f t="shared" si="38"/>
        <v/>
      </c>
      <c r="Z210" s="38" t="str">
        <f t="shared" si="39"/>
        <v/>
      </c>
      <c r="AA210" s="39" t="str">
        <f t="shared" si="40"/>
        <v/>
      </c>
      <c r="AB210" s="39" t="str">
        <f t="shared" si="41"/>
        <v/>
      </c>
      <c r="AC210" s="32"/>
      <c r="AE210" s="1"/>
      <c r="AF210" s="1"/>
    </row>
    <row r="211" spans="1:32" x14ac:dyDescent="0.2">
      <c r="A211" s="11"/>
      <c r="B211" s="12"/>
      <c r="C211" s="12"/>
      <c r="D211" s="12"/>
      <c r="E211" s="12"/>
      <c r="F211" s="13"/>
      <c r="G211" s="30"/>
      <c r="H211" s="15"/>
      <c r="I211" s="16"/>
      <c r="J211" s="16"/>
      <c r="K211" s="17"/>
      <c r="L211" s="31"/>
      <c r="M211" s="19"/>
      <c r="N211" s="20"/>
      <c r="O211" s="20"/>
      <c r="P211" s="20"/>
      <c r="Q211" s="20"/>
      <c r="R211" s="20"/>
      <c r="S211" s="22"/>
      <c r="T211" s="23"/>
      <c r="V211" s="37" t="str">
        <f t="shared" si="35"/>
        <v/>
      </c>
      <c r="W211" s="46" t="str">
        <f t="shared" si="36"/>
        <v/>
      </c>
      <c r="X211" s="45" t="str">
        <f t="shared" si="37"/>
        <v/>
      </c>
      <c r="Y211" s="47" t="str">
        <f t="shared" si="38"/>
        <v/>
      </c>
      <c r="Z211" s="38" t="str">
        <f t="shared" si="39"/>
        <v/>
      </c>
      <c r="AA211" s="39" t="str">
        <f t="shared" si="40"/>
        <v/>
      </c>
      <c r="AB211" s="39" t="str">
        <f t="shared" si="41"/>
        <v/>
      </c>
      <c r="AC211" s="32"/>
      <c r="AE211" s="1"/>
      <c r="AF211" s="1"/>
    </row>
    <row r="212" spans="1:32" x14ac:dyDescent="0.2">
      <c r="A212" s="11"/>
      <c r="B212" s="12"/>
      <c r="C212" s="12"/>
      <c r="D212" s="12"/>
      <c r="E212" s="12"/>
      <c r="F212" s="13"/>
      <c r="G212" s="30"/>
      <c r="H212" s="15"/>
      <c r="I212" s="16"/>
      <c r="J212" s="16"/>
      <c r="K212" s="17"/>
      <c r="L212" s="31"/>
      <c r="M212" s="19"/>
      <c r="N212" s="20"/>
      <c r="O212" s="20"/>
      <c r="P212" s="20"/>
      <c r="Q212" s="20"/>
      <c r="R212" s="20"/>
      <c r="S212" s="22"/>
      <c r="T212" s="23"/>
      <c r="V212" s="37" t="str">
        <f t="shared" si="35"/>
        <v/>
      </c>
      <c r="W212" s="46" t="str">
        <f t="shared" si="36"/>
        <v/>
      </c>
      <c r="X212" s="45" t="str">
        <f t="shared" si="37"/>
        <v/>
      </c>
      <c r="Y212" s="47" t="str">
        <f t="shared" si="38"/>
        <v/>
      </c>
      <c r="Z212" s="38" t="str">
        <f t="shared" si="39"/>
        <v/>
      </c>
      <c r="AA212" s="39" t="str">
        <f t="shared" si="40"/>
        <v/>
      </c>
      <c r="AB212" s="39" t="str">
        <f t="shared" si="41"/>
        <v/>
      </c>
      <c r="AC212" s="32"/>
      <c r="AD212" s="32"/>
      <c r="AE212" s="1"/>
      <c r="AF212" s="1"/>
    </row>
    <row r="213" spans="1:32" x14ac:dyDescent="0.2">
      <c r="A213" s="11"/>
      <c r="B213" s="12"/>
      <c r="C213" s="12"/>
      <c r="D213" s="12"/>
      <c r="E213" s="12"/>
      <c r="F213" s="13"/>
      <c r="G213" s="30"/>
      <c r="H213" s="15"/>
      <c r="I213" s="16"/>
      <c r="J213" s="16"/>
      <c r="K213" s="17"/>
      <c r="L213" s="31"/>
      <c r="M213" s="19"/>
      <c r="N213" s="20"/>
      <c r="O213" s="20"/>
      <c r="P213" s="20"/>
      <c r="Q213" s="20"/>
      <c r="R213" s="20"/>
      <c r="S213" s="22"/>
      <c r="T213" s="23"/>
      <c r="V213" s="37" t="str">
        <f t="shared" si="35"/>
        <v/>
      </c>
      <c r="W213" s="46" t="str">
        <f t="shared" si="36"/>
        <v/>
      </c>
      <c r="X213" s="45" t="str">
        <f t="shared" si="37"/>
        <v/>
      </c>
      <c r="Y213" s="47" t="str">
        <f t="shared" si="38"/>
        <v/>
      </c>
      <c r="Z213" s="38" t="str">
        <f t="shared" si="39"/>
        <v/>
      </c>
      <c r="AA213" s="39" t="str">
        <f t="shared" si="40"/>
        <v/>
      </c>
      <c r="AB213" s="39" t="str">
        <f t="shared" si="41"/>
        <v/>
      </c>
      <c r="AC213" s="32"/>
      <c r="AD213" s="32"/>
      <c r="AE213" s="1"/>
      <c r="AF213" s="1"/>
    </row>
    <row r="214" spans="1:32" x14ac:dyDescent="0.2">
      <c r="A214" s="11"/>
      <c r="B214" s="12"/>
      <c r="C214" s="12"/>
      <c r="D214" s="12"/>
      <c r="E214" s="12"/>
      <c r="F214" s="13"/>
      <c r="G214" s="30"/>
      <c r="H214" s="15"/>
      <c r="I214" s="16"/>
      <c r="J214" s="16"/>
      <c r="K214" s="17"/>
      <c r="L214" s="31"/>
      <c r="M214" s="19"/>
      <c r="N214" s="20"/>
      <c r="O214" s="20"/>
      <c r="P214" s="20"/>
      <c r="Q214" s="20"/>
      <c r="R214" s="20"/>
      <c r="S214" s="22"/>
      <c r="T214" s="23"/>
      <c r="V214" s="37" t="str">
        <f t="shared" ref="V214:V277" si="42">IF(RIGHT(C214, 1)="1",
    IF(O214&lt;&gt;"", 500*O214 + T214 + IF(R214&lt;=110, R214, 0), IF(P214&lt;&gt;"", 305*P214 + T214 + IF(R214&lt;=110, R214, 0), "")),
    IF(O214&lt;&gt;"", 500*O214 + T214, IF(P214&lt;&gt;"", 305*P214 + T214, ""))
)</f>
        <v/>
      </c>
      <c r="W214" s="46" t="str">
        <f t="shared" ref="W214:W277" si="43">IF(OR(ISBLANK(V214), ISBLANK(S214), NOT(ISNUMBER(V214)), NOT(ISNUMBER(S214))), "", V214-S214)</f>
        <v/>
      </c>
      <c r="X214" s="45" t="str">
        <f t="shared" ref="X214:X277" si="44">IF(OR(ISBLANK(V214), ISBLANK(K214), NOT(ISNUMBER(V214)), NOT(ISNUMBER(K214))), "", V214-K214)</f>
        <v/>
      </c>
      <c r="Y214" s="47" t="str">
        <f t="shared" ref="Y214:Y277" si="45">IF(OR(ISBLANK(V214), ISBLANK(F214), NOT(ISNUMBER(V214)), NOT(ISNUMBER(F214))), "", V214-F214)</f>
        <v/>
      </c>
      <c r="Z214" s="38" t="str">
        <f t="shared" ref="Z214:Z277" si="46">IF(OR(ISBLANK(F214), ISBLANK(K214)), "",K214-F214)</f>
        <v/>
      </c>
      <c r="AA214" s="39" t="str">
        <f t="shared" ref="AA214:AA277" si="47">IF(OR(ISBLANK(K214), ISBLANK(S214)), "",S214-K214)</f>
        <v/>
      </c>
      <c r="AB214" s="39" t="str">
        <f t="shared" ref="AB214:AB277" si="48">IF(OR(ISBLANK(F214), ISBLANK(S214)), "",S214-F214)</f>
        <v/>
      </c>
      <c r="AC214" s="32"/>
      <c r="AD214" s="32"/>
      <c r="AE214" s="1"/>
      <c r="AF214" s="1"/>
    </row>
    <row r="215" spans="1:32" x14ac:dyDescent="0.2">
      <c r="A215" s="11"/>
      <c r="B215" s="12"/>
      <c r="C215" s="12"/>
      <c r="D215" s="12"/>
      <c r="E215" s="12"/>
      <c r="F215" s="13"/>
      <c r="G215" s="30"/>
      <c r="H215" s="15"/>
      <c r="I215" s="16"/>
      <c r="J215" s="16"/>
      <c r="K215" s="17"/>
      <c r="L215" s="31"/>
      <c r="M215" s="19"/>
      <c r="N215" s="20"/>
      <c r="O215" s="20"/>
      <c r="P215" s="20"/>
      <c r="Q215" s="20"/>
      <c r="R215" s="20"/>
      <c r="S215" s="22"/>
      <c r="T215" s="23"/>
      <c r="V215" s="37" t="str">
        <f t="shared" si="42"/>
        <v/>
      </c>
      <c r="W215" s="46" t="str">
        <f t="shared" si="43"/>
        <v/>
      </c>
      <c r="X215" s="45" t="str">
        <f t="shared" si="44"/>
        <v/>
      </c>
      <c r="Y215" s="47" t="str">
        <f t="shared" si="45"/>
        <v/>
      </c>
      <c r="Z215" s="38" t="str">
        <f t="shared" si="46"/>
        <v/>
      </c>
      <c r="AA215" s="39" t="str">
        <f t="shared" si="47"/>
        <v/>
      </c>
      <c r="AB215" s="39" t="str">
        <f t="shared" si="48"/>
        <v/>
      </c>
      <c r="AC215" s="32"/>
      <c r="AD215" s="32"/>
      <c r="AE215" s="1"/>
      <c r="AF215" s="1"/>
    </row>
    <row r="216" spans="1:32" x14ac:dyDescent="0.2">
      <c r="A216" s="11"/>
      <c r="B216" s="12"/>
      <c r="C216" s="12"/>
      <c r="D216" s="12"/>
      <c r="E216" s="12"/>
      <c r="F216" s="13"/>
      <c r="G216" s="30"/>
      <c r="H216" s="15"/>
      <c r="I216" s="16"/>
      <c r="J216" s="16"/>
      <c r="K216" s="17"/>
      <c r="L216" s="31"/>
      <c r="M216" s="19"/>
      <c r="N216" s="20"/>
      <c r="O216" s="20"/>
      <c r="P216" s="20"/>
      <c r="Q216" s="20"/>
      <c r="R216" s="20"/>
      <c r="S216" s="22"/>
      <c r="T216" s="23"/>
      <c r="V216" s="37" t="str">
        <f t="shared" si="42"/>
        <v/>
      </c>
      <c r="W216" s="46" t="str">
        <f t="shared" si="43"/>
        <v/>
      </c>
      <c r="X216" s="45" t="str">
        <f t="shared" si="44"/>
        <v/>
      </c>
      <c r="Y216" s="47" t="str">
        <f t="shared" si="45"/>
        <v/>
      </c>
      <c r="Z216" s="38" t="str">
        <f t="shared" si="46"/>
        <v/>
      </c>
      <c r="AA216" s="39" t="str">
        <f t="shared" si="47"/>
        <v/>
      </c>
      <c r="AB216" s="39" t="str">
        <f t="shared" si="48"/>
        <v/>
      </c>
      <c r="AC216" s="32"/>
      <c r="AD216" s="32"/>
      <c r="AE216" s="1"/>
      <c r="AF216" s="1"/>
    </row>
    <row r="217" spans="1:32" x14ac:dyDescent="0.2">
      <c r="A217" s="11"/>
      <c r="B217" s="12"/>
      <c r="C217" s="12"/>
      <c r="D217" s="12"/>
      <c r="E217" s="12"/>
      <c r="F217" s="13"/>
      <c r="G217" s="30"/>
      <c r="H217" s="15"/>
      <c r="I217" s="16"/>
      <c r="J217" s="16"/>
      <c r="K217" s="17"/>
      <c r="L217" s="31"/>
      <c r="M217" s="19"/>
      <c r="N217" s="20"/>
      <c r="O217" s="20"/>
      <c r="P217" s="20"/>
      <c r="Q217" s="20"/>
      <c r="R217" s="20"/>
      <c r="S217" s="22"/>
      <c r="T217" s="23"/>
      <c r="V217" s="37" t="str">
        <f t="shared" si="42"/>
        <v/>
      </c>
      <c r="W217" s="46" t="str">
        <f t="shared" si="43"/>
        <v/>
      </c>
      <c r="X217" s="45" t="str">
        <f t="shared" si="44"/>
        <v/>
      </c>
      <c r="Y217" s="47" t="str">
        <f t="shared" si="45"/>
        <v/>
      </c>
      <c r="Z217" s="38" t="str">
        <f t="shared" si="46"/>
        <v/>
      </c>
      <c r="AA217" s="39" t="str">
        <f t="shared" si="47"/>
        <v/>
      </c>
      <c r="AB217" s="39" t="str">
        <f t="shared" si="48"/>
        <v/>
      </c>
      <c r="AC217" s="32"/>
      <c r="AD217" s="32"/>
      <c r="AE217" s="1"/>
      <c r="AF217" s="1"/>
    </row>
    <row r="218" spans="1:32" x14ac:dyDescent="0.2">
      <c r="A218" s="11"/>
      <c r="B218" s="12"/>
      <c r="C218" s="12"/>
      <c r="D218" s="12"/>
      <c r="E218" s="12"/>
      <c r="F218" s="13"/>
      <c r="G218" s="30"/>
      <c r="H218" s="15"/>
      <c r="I218" s="16"/>
      <c r="J218" s="16"/>
      <c r="K218" s="17"/>
      <c r="L218" s="31"/>
      <c r="M218" s="19"/>
      <c r="N218" s="20"/>
      <c r="O218" s="20"/>
      <c r="P218" s="20"/>
      <c r="Q218" s="20"/>
      <c r="R218" s="20"/>
      <c r="S218" s="22"/>
      <c r="T218" s="23"/>
      <c r="V218" s="37" t="str">
        <f t="shared" si="42"/>
        <v/>
      </c>
      <c r="W218" s="46" t="str">
        <f t="shared" si="43"/>
        <v/>
      </c>
      <c r="X218" s="45" t="str">
        <f t="shared" si="44"/>
        <v/>
      </c>
      <c r="Y218" s="47" t="str">
        <f t="shared" si="45"/>
        <v/>
      </c>
      <c r="Z218" s="38" t="str">
        <f t="shared" si="46"/>
        <v/>
      </c>
      <c r="AA218" s="39" t="str">
        <f t="shared" si="47"/>
        <v/>
      </c>
      <c r="AB218" s="39" t="str">
        <f t="shared" si="48"/>
        <v/>
      </c>
      <c r="AC218" s="32"/>
      <c r="AD218" s="32"/>
      <c r="AE218" s="1"/>
      <c r="AF218" s="1"/>
    </row>
    <row r="219" spans="1:32" x14ac:dyDescent="0.2">
      <c r="A219" s="11"/>
      <c r="B219" s="12"/>
      <c r="C219" s="12"/>
      <c r="D219" s="12"/>
      <c r="E219" s="12"/>
      <c r="F219" s="13"/>
      <c r="G219" s="30"/>
      <c r="H219" s="15"/>
      <c r="I219" s="16"/>
      <c r="J219" s="16"/>
      <c r="K219" s="17"/>
      <c r="L219" s="31"/>
      <c r="M219" s="19"/>
      <c r="N219" s="20"/>
      <c r="O219" s="20"/>
      <c r="P219" s="20"/>
      <c r="Q219" s="20"/>
      <c r="R219" s="20"/>
      <c r="S219" s="22"/>
      <c r="T219" s="23"/>
      <c r="V219" s="37" t="str">
        <f t="shared" si="42"/>
        <v/>
      </c>
      <c r="W219" s="46" t="str">
        <f t="shared" si="43"/>
        <v/>
      </c>
      <c r="X219" s="45" t="str">
        <f t="shared" si="44"/>
        <v/>
      </c>
      <c r="Y219" s="47" t="str">
        <f t="shared" si="45"/>
        <v/>
      </c>
      <c r="Z219" s="38" t="str">
        <f t="shared" si="46"/>
        <v/>
      </c>
      <c r="AA219" s="39" t="str">
        <f t="shared" si="47"/>
        <v/>
      </c>
      <c r="AB219" s="39" t="str">
        <f t="shared" si="48"/>
        <v/>
      </c>
      <c r="AC219" s="32"/>
      <c r="AD219" s="32"/>
      <c r="AE219" s="1"/>
      <c r="AF219" s="1"/>
    </row>
    <row r="220" spans="1:32" x14ac:dyDescent="0.2">
      <c r="A220" s="11"/>
      <c r="B220" s="12"/>
      <c r="C220" s="12"/>
      <c r="D220" s="12"/>
      <c r="E220" s="12"/>
      <c r="F220" s="13"/>
      <c r="G220" s="30"/>
      <c r="H220" s="15"/>
      <c r="I220" s="16"/>
      <c r="J220" s="16"/>
      <c r="K220" s="17"/>
      <c r="L220" s="31"/>
      <c r="M220" s="19"/>
      <c r="N220" s="20"/>
      <c r="O220" s="20"/>
      <c r="P220" s="20"/>
      <c r="Q220" s="20"/>
      <c r="R220" s="20"/>
      <c r="S220" s="22"/>
      <c r="T220" s="23"/>
      <c r="V220" s="37" t="str">
        <f t="shared" si="42"/>
        <v/>
      </c>
      <c r="W220" s="46" t="str">
        <f t="shared" si="43"/>
        <v/>
      </c>
      <c r="X220" s="45" t="str">
        <f t="shared" si="44"/>
        <v/>
      </c>
      <c r="Y220" s="47" t="str">
        <f t="shared" si="45"/>
        <v/>
      </c>
      <c r="Z220" s="38" t="str">
        <f t="shared" si="46"/>
        <v/>
      </c>
      <c r="AA220" s="39" t="str">
        <f t="shared" si="47"/>
        <v/>
      </c>
      <c r="AB220" s="39" t="str">
        <f t="shared" si="48"/>
        <v/>
      </c>
      <c r="AC220" s="32"/>
      <c r="AD220" s="32"/>
      <c r="AE220" s="1"/>
      <c r="AF220" s="1"/>
    </row>
    <row r="221" spans="1:32" x14ac:dyDescent="0.2">
      <c r="A221" s="11"/>
      <c r="B221" s="12"/>
      <c r="C221" s="12"/>
      <c r="D221" s="12"/>
      <c r="E221" s="12"/>
      <c r="F221" s="13"/>
      <c r="G221" s="30"/>
      <c r="H221" s="15"/>
      <c r="I221" s="16"/>
      <c r="J221" s="16"/>
      <c r="K221" s="17"/>
      <c r="L221" s="31"/>
      <c r="M221" s="19"/>
      <c r="N221" s="20"/>
      <c r="O221" s="20"/>
      <c r="P221" s="20"/>
      <c r="Q221" s="20"/>
      <c r="R221" s="20"/>
      <c r="S221" s="22"/>
      <c r="T221" s="23"/>
      <c r="V221" s="37" t="str">
        <f t="shared" si="42"/>
        <v/>
      </c>
      <c r="W221" s="46" t="str">
        <f t="shared" si="43"/>
        <v/>
      </c>
      <c r="X221" s="45" t="str">
        <f t="shared" si="44"/>
        <v/>
      </c>
      <c r="Y221" s="47" t="str">
        <f t="shared" si="45"/>
        <v/>
      </c>
      <c r="Z221" s="38" t="str">
        <f t="shared" si="46"/>
        <v/>
      </c>
      <c r="AA221" s="39" t="str">
        <f t="shared" si="47"/>
        <v/>
      </c>
      <c r="AB221" s="39" t="str">
        <f t="shared" si="48"/>
        <v/>
      </c>
      <c r="AC221" s="32"/>
      <c r="AD221" s="32"/>
      <c r="AE221" s="1"/>
      <c r="AF221" s="1"/>
    </row>
    <row r="222" spans="1:32" x14ac:dyDescent="0.2">
      <c r="A222" s="11"/>
      <c r="B222" s="12"/>
      <c r="C222" s="12"/>
      <c r="D222" s="12"/>
      <c r="E222" s="12"/>
      <c r="F222" s="13"/>
      <c r="G222" s="30"/>
      <c r="H222" s="15"/>
      <c r="I222" s="16"/>
      <c r="J222" s="16"/>
      <c r="K222" s="17"/>
      <c r="L222" s="31"/>
      <c r="M222" s="19"/>
      <c r="N222" s="20"/>
      <c r="O222" s="20"/>
      <c r="P222" s="20"/>
      <c r="Q222" s="20"/>
      <c r="R222" s="20"/>
      <c r="S222" s="22"/>
      <c r="T222" s="23"/>
      <c r="V222" s="37" t="str">
        <f t="shared" si="42"/>
        <v/>
      </c>
      <c r="W222" s="46" t="str">
        <f t="shared" si="43"/>
        <v/>
      </c>
      <c r="X222" s="45" t="str">
        <f t="shared" si="44"/>
        <v/>
      </c>
      <c r="Y222" s="47" t="str">
        <f t="shared" si="45"/>
        <v/>
      </c>
      <c r="Z222" s="38" t="str">
        <f t="shared" si="46"/>
        <v/>
      </c>
      <c r="AA222" s="39" t="str">
        <f t="shared" si="47"/>
        <v/>
      </c>
      <c r="AB222" s="39" t="str">
        <f t="shared" si="48"/>
        <v/>
      </c>
      <c r="AC222" s="32"/>
      <c r="AD222" s="32"/>
      <c r="AE222" s="1"/>
      <c r="AF222" s="1"/>
    </row>
    <row r="223" spans="1:32" x14ac:dyDescent="0.2">
      <c r="A223" s="11"/>
      <c r="B223" s="12"/>
      <c r="C223" s="12"/>
      <c r="D223" s="12"/>
      <c r="E223" s="12"/>
      <c r="F223" s="13"/>
      <c r="G223" s="30"/>
      <c r="H223" s="15"/>
      <c r="I223" s="16"/>
      <c r="J223" s="16"/>
      <c r="K223" s="17"/>
      <c r="L223" s="31"/>
      <c r="M223" s="19"/>
      <c r="N223" s="20"/>
      <c r="O223" s="20"/>
      <c r="P223" s="20"/>
      <c r="Q223" s="20"/>
      <c r="R223" s="20"/>
      <c r="S223" s="22"/>
      <c r="T223" s="23"/>
      <c r="V223" s="37" t="str">
        <f t="shared" si="42"/>
        <v/>
      </c>
      <c r="W223" s="46" t="str">
        <f t="shared" si="43"/>
        <v/>
      </c>
      <c r="X223" s="45" t="str">
        <f t="shared" si="44"/>
        <v/>
      </c>
      <c r="Y223" s="47" t="str">
        <f t="shared" si="45"/>
        <v/>
      </c>
      <c r="Z223" s="38" t="str">
        <f t="shared" si="46"/>
        <v/>
      </c>
      <c r="AA223" s="39" t="str">
        <f t="shared" si="47"/>
        <v/>
      </c>
      <c r="AB223" s="39" t="str">
        <f t="shared" si="48"/>
        <v/>
      </c>
      <c r="AC223" s="32"/>
      <c r="AD223" s="32"/>
      <c r="AE223" s="1"/>
      <c r="AF223" s="1"/>
    </row>
    <row r="224" spans="1:32" x14ac:dyDescent="0.2">
      <c r="A224" s="11"/>
      <c r="B224" s="12"/>
      <c r="C224" s="12"/>
      <c r="D224" s="12"/>
      <c r="E224" s="12"/>
      <c r="F224" s="13"/>
      <c r="G224" s="30"/>
      <c r="H224" s="15"/>
      <c r="I224" s="16"/>
      <c r="J224" s="16"/>
      <c r="K224" s="17"/>
      <c r="L224" s="31"/>
      <c r="M224" s="19"/>
      <c r="N224" s="20"/>
      <c r="O224" s="20"/>
      <c r="P224" s="20"/>
      <c r="Q224" s="20"/>
      <c r="R224" s="20"/>
      <c r="S224" s="22"/>
      <c r="T224" s="23"/>
      <c r="V224" s="37" t="str">
        <f t="shared" si="42"/>
        <v/>
      </c>
      <c r="W224" s="46" t="str">
        <f t="shared" si="43"/>
        <v/>
      </c>
      <c r="X224" s="45" t="str">
        <f t="shared" si="44"/>
        <v/>
      </c>
      <c r="Y224" s="47" t="str">
        <f t="shared" si="45"/>
        <v/>
      </c>
      <c r="Z224" s="38" t="str">
        <f t="shared" si="46"/>
        <v/>
      </c>
      <c r="AA224" s="39" t="str">
        <f t="shared" si="47"/>
        <v/>
      </c>
      <c r="AB224" s="39" t="str">
        <f t="shared" si="48"/>
        <v/>
      </c>
      <c r="AC224" s="32"/>
      <c r="AD224" s="32"/>
      <c r="AE224" s="1"/>
      <c r="AF224" s="1"/>
    </row>
    <row r="225" spans="1:32" x14ac:dyDescent="0.2">
      <c r="A225" s="11"/>
      <c r="B225" s="12"/>
      <c r="C225" s="12"/>
      <c r="D225" s="12"/>
      <c r="E225" s="12"/>
      <c r="F225" s="13"/>
      <c r="G225" s="30"/>
      <c r="H225" s="15"/>
      <c r="I225" s="16"/>
      <c r="J225" s="16"/>
      <c r="K225" s="17"/>
      <c r="L225" s="31"/>
      <c r="M225" s="19"/>
      <c r="N225" s="20"/>
      <c r="O225" s="20"/>
      <c r="P225" s="20"/>
      <c r="Q225" s="20"/>
      <c r="R225" s="20"/>
      <c r="S225" s="22"/>
      <c r="T225" s="23"/>
      <c r="V225" s="37" t="str">
        <f t="shared" si="42"/>
        <v/>
      </c>
      <c r="W225" s="46" t="str">
        <f t="shared" si="43"/>
        <v/>
      </c>
      <c r="X225" s="45" t="str">
        <f t="shared" si="44"/>
        <v/>
      </c>
      <c r="Y225" s="47" t="str">
        <f t="shared" si="45"/>
        <v/>
      </c>
      <c r="Z225" s="38" t="str">
        <f t="shared" si="46"/>
        <v/>
      </c>
      <c r="AA225" s="39" t="str">
        <f t="shared" si="47"/>
        <v/>
      </c>
      <c r="AB225" s="39" t="str">
        <f t="shared" si="48"/>
        <v/>
      </c>
      <c r="AC225" s="32"/>
      <c r="AD225" s="32"/>
      <c r="AE225" s="1"/>
      <c r="AF225" s="1"/>
    </row>
    <row r="226" spans="1:32" x14ac:dyDescent="0.2">
      <c r="A226" s="11"/>
      <c r="B226" s="12"/>
      <c r="C226" s="12"/>
      <c r="D226" s="12"/>
      <c r="E226" s="12"/>
      <c r="F226" s="13"/>
      <c r="G226" s="30"/>
      <c r="H226" s="15"/>
      <c r="I226" s="16"/>
      <c r="J226" s="16"/>
      <c r="K226" s="17"/>
      <c r="L226" s="31"/>
      <c r="M226" s="19"/>
      <c r="N226" s="20"/>
      <c r="O226" s="20"/>
      <c r="P226" s="20"/>
      <c r="Q226" s="20"/>
      <c r="R226" s="20"/>
      <c r="S226" s="22"/>
      <c r="T226" s="23"/>
      <c r="V226" s="37" t="str">
        <f t="shared" si="42"/>
        <v/>
      </c>
      <c r="W226" s="46" t="str">
        <f t="shared" si="43"/>
        <v/>
      </c>
      <c r="X226" s="45" t="str">
        <f t="shared" si="44"/>
        <v/>
      </c>
      <c r="Y226" s="47" t="str">
        <f t="shared" si="45"/>
        <v/>
      </c>
      <c r="Z226" s="38" t="str">
        <f t="shared" si="46"/>
        <v/>
      </c>
      <c r="AA226" s="39" t="str">
        <f t="shared" si="47"/>
        <v/>
      </c>
      <c r="AB226" s="39" t="str">
        <f t="shared" si="48"/>
        <v/>
      </c>
      <c r="AC226" s="32"/>
      <c r="AD226" s="32"/>
      <c r="AE226" s="1"/>
      <c r="AF226" s="1"/>
    </row>
    <row r="227" spans="1:32" x14ac:dyDescent="0.2">
      <c r="A227" s="11"/>
      <c r="B227" s="12"/>
      <c r="C227" s="12"/>
      <c r="D227" s="12"/>
      <c r="E227" s="12"/>
      <c r="F227" s="13"/>
      <c r="G227" s="30"/>
      <c r="H227" s="15"/>
      <c r="I227" s="16"/>
      <c r="J227" s="16"/>
      <c r="K227" s="17"/>
      <c r="L227" s="31"/>
      <c r="M227" s="19"/>
      <c r="N227" s="20"/>
      <c r="O227" s="20"/>
      <c r="P227" s="20"/>
      <c r="Q227" s="20"/>
      <c r="R227" s="20"/>
      <c r="S227" s="22"/>
      <c r="T227" s="23"/>
      <c r="V227" s="37" t="str">
        <f t="shared" si="42"/>
        <v/>
      </c>
      <c r="W227" s="46" t="str">
        <f t="shared" si="43"/>
        <v/>
      </c>
      <c r="X227" s="45" t="str">
        <f t="shared" si="44"/>
        <v/>
      </c>
      <c r="Y227" s="47" t="str">
        <f t="shared" si="45"/>
        <v/>
      </c>
      <c r="Z227" s="38" t="str">
        <f t="shared" si="46"/>
        <v/>
      </c>
      <c r="AA227" s="39" t="str">
        <f t="shared" si="47"/>
        <v/>
      </c>
      <c r="AB227" s="39" t="str">
        <f t="shared" si="48"/>
        <v/>
      </c>
      <c r="AC227" s="32"/>
      <c r="AD227" s="32"/>
      <c r="AE227" s="1"/>
      <c r="AF227" s="1"/>
    </row>
    <row r="228" spans="1:32" x14ac:dyDescent="0.2">
      <c r="A228" s="11"/>
      <c r="B228" s="12"/>
      <c r="C228" s="12"/>
      <c r="D228" s="12"/>
      <c r="E228" s="12"/>
      <c r="F228" s="13"/>
      <c r="G228" s="30"/>
      <c r="H228" s="15"/>
      <c r="I228" s="16"/>
      <c r="J228" s="16"/>
      <c r="K228" s="17"/>
      <c r="L228" s="31"/>
      <c r="M228" s="19"/>
      <c r="N228" s="20"/>
      <c r="O228" s="20"/>
      <c r="P228" s="20"/>
      <c r="Q228" s="20"/>
      <c r="R228" s="20"/>
      <c r="S228" s="22"/>
      <c r="T228" s="23"/>
      <c r="V228" s="37" t="str">
        <f t="shared" si="42"/>
        <v/>
      </c>
      <c r="W228" s="46" t="str">
        <f t="shared" si="43"/>
        <v/>
      </c>
      <c r="X228" s="45" t="str">
        <f t="shared" si="44"/>
        <v/>
      </c>
      <c r="Y228" s="47" t="str">
        <f t="shared" si="45"/>
        <v/>
      </c>
      <c r="Z228" s="38" t="str">
        <f t="shared" si="46"/>
        <v/>
      </c>
      <c r="AA228" s="39" t="str">
        <f t="shared" si="47"/>
        <v/>
      </c>
      <c r="AB228" s="39" t="str">
        <f t="shared" si="48"/>
        <v/>
      </c>
      <c r="AC228" s="32"/>
      <c r="AD228" s="32"/>
      <c r="AE228" s="1"/>
      <c r="AF228" s="1"/>
    </row>
    <row r="229" spans="1:32" x14ac:dyDescent="0.2">
      <c r="A229" s="11"/>
      <c r="B229" s="12"/>
      <c r="C229" s="12"/>
      <c r="D229" s="12"/>
      <c r="E229" s="12"/>
      <c r="F229" s="13"/>
      <c r="G229" s="30"/>
      <c r="H229" s="15"/>
      <c r="I229" s="16"/>
      <c r="J229" s="16"/>
      <c r="K229" s="17"/>
      <c r="L229" s="31"/>
      <c r="M229" s="19"/>
      <c r="N229" s="20"/>
      <c r="O229" s="20"/>
      <c r="P229" s="20"/>
      <c r="Q229" s="20"/>
      <c r="R229" s="20"/>
      <c r="S229" s="22"/>
      <c r="T229" s="23"/>
      <c r="V229" s="37" t="str">
        <f t="shared" si="42"/>
        <v/>
      </c>
      <c r="W229" s="46" t="str">
        <f t="shared" si="43"/>
        <v/>
      </c>
      <c r="X229" s="45" t="str">
        <f t="shared" si="44"/>
        <v/>
      </c>
      <c r="Y229" s="47" t="str">
        <f t="shared" si="45"/>
        <v/>
      </c>
      <c r="Z229" s="38" t="str">
        <f t="shared" si="46"/>
        <v/>
      </c>
      <c r="AA229" s="39" t="str">
        <f t="shared" si="47"/>
        <v/>
      </c>
      <c r="AB229" s="39" t="str">
        <f t="shared" si="48"/>
        <v/>
      </c>
      <c r="AC229" s="32"/>
      <c r="AD229" s="32"/>
      <c r="AE229" s="1"/>
      <c r="AF229" s="1"/>
    </row>
    <row r="230" spans="1:32" x14ac:dyDescent="0.2">
      <c r="A230" s="11"/>
      <c r="B230" s="12"/>
      <c r="C230" s="12"/>
      <c r="D230" s="12"/>
      <c r="E230" s="12"/>
      <c r="F230" s="13"/>
      <c r="G230" s="30"/>
      <c r="H230" s="15"/>
      <c r="I230" s="16"/>
      <c r="J230" s="16"/>
      <c r="K230" s="17"/>
      <c r="L230" s="31"/>
      <c r="M230" s="19"/>
      <c r="N230" s="20"/>
      <c r="O230" s="20"/>
      <c r="P230" s="20"/>
      <c r="Q230" s="20"/>
      <c r="R230" s="20"/>
      <c r="S230" s="22"/>
      <c r="T230" s="23"/>
      <c r="V230" s="37" t="str">
        <f t="shared" si="42"/>
        <v/>
      </c>
      <c r="W230" s="46" t="str">
        <f t="shared" si="43"/>
        <v/>
      </c>
      <c r="X230" s="45" t="str">
        <f t="shared" si="44"/>
        <v/>
      </c>
      <c r="Y230" s="47" t="str">
        <f t="shared" si="45"/>
        <v/>
      </c>
      <c r="Z230" s="38" t="str">
        <f t="shared" si="46"/>
        <v/>
      </c>
      <c r="AA230" s="39" t="str">
        <f t="shared" si="47"/>
        <v/>
      </c>
      <c r="AB230" s="39" t="str">
        <f t="shared" si="48"/>
        <v/>
      </c>
      <c r="AC230" s="32"/>
      <c r="AD230" s="32"/>
      <c r="AE230" s="1"/>
      <c r="AF230" s="1"/>
    </row>
    <row r="231" spans="1:32" x14ac:dyDescent="0.2">
      <c r="A231" s="11"/>
      <c r="B231" s="12"/>
      <c r="C231" s="12"/>
      <c r="D231" s="12"/>
      <c r="E231" s="12"/>
      <c r="F231" s="13"/>
      <c r="G231" s="30"/>
      <c r="H231" s="15"/>
      <c r="I231" s="16"/>
      <c r="J231" s="16"/>
      <c r="K231" s="17"/>
      <c r="L231" s="31"/>
      <c r="M231" s="19"/>
      <c r="N231" s="20"/>
      <c r="O231" s="20"/>
      <c r="P231" s="20"/>
      <c r="Q231" s="20"/>
      <c r="R231" s="20"/>
      <c r="S231" s="22"/>
      <c r="T231" s="23"/>
      <c r="V231" s="37" t="str">
        <f t="shared" si="42"/>
        <v/>
      </c>
      <c r="W231" s="46" t="str">
        <f t="shared" si="43"/>
        <v/>
      </c>
      <c r="X231" s="45" t="str">
        <f t="shared" si="44"/>
        <v/>
      </c>
      <c r="Y231" s="47" t="str">
        <f t="shared" si="45"/>
        <v/>
      </c>
      <c r="Z231" s="38" t="str">
        <f t="shared" si="46"/>
        <v/>
      </c>
      <c r="AA231" s="39" t="str">
        <f t="shared" si="47"/>
        <v/>
      </c>
      <c r="AB231" s="39" t="str">
        <f t="shared" si="48"/>
        <v/>
      </c>
      <c r="AC231" s="32"/>
      <c r="AD231" s="32"/>
      <c r="AE231" s="1"/>
      <c r="AF231" s="1"/>
    </row>
    <row r="232" spans="1:32" x14ac:dyDescent="0.2">
      <c r="A232" s="11"/>
      <c r="B232" s="12"/>
      <c r="C232" s="12"/>
      <c r="D232" s="12"/>
      <c r="E232" s="12"/>
      <c r="F232" s="13"/>
      <c r="G232" s="30"/>
      <c r="H232" s="15"/>
      <c r="I232" s="16"/>
      <c r="J232" s="16"/>
      <c r="K232" s="17"/>
      <c r="L232" s="31"/>
      <c r="M232" s="19"/>
      <c r="N232" s="20"/>
      <c r="O232" s="20"/>
      <c r="P232" s="20"/>
      <c r="Q232" s="20"/>
      <c r="R232" s="20"/>
      <c r="S232" s="22"/>
      <c r="T232" s="23"/>
      <c r="V232" s="37" t="str">
        <f t="shared" si="42"/>
        <v/>
      </c>
      <c r="W232" s="46" t="str">
        <f t="shared" si="43"/>
        <v/>
      </c>
      <c r="X232" s="45" t="str">
        <f t="shared" si="44"/>
        <v/>
      </c>
      <c r="Y232" s="47" t="str">
        <f t="shared" si="45"/>
        <v/>
      </c>
      <c r="Z232" s="38" t="str">
        <f t="shared" si="46"/>
        <v/>
      </c>
      <c r="AA232" s="39" t="str">
        <f t="shared" si="47"/>
        <v/>
      </c>
      <c r="AB232" s="39" t="str">
        <f t="shared" si="48"/>
        <v/>
      </c>
      <c r="AC232" s="32"/>
      <c r="AD232" s="32"/>
      <c r="AE232" s="1"/>
      <c r="AF232" s="1"/>
    </row>
    <row r="233" spans="1:32" x14ac:dyDescent="0.2">
      <c r="A233" s="11"/>
      <c r="B233" s="12"/>
      <c r="C233" s="12"/>
      <c r="D233" s="12"/>
      <c r="E233" s="12"/>
      <c r="F233" s="13"/>
      <c r="G233" s="30"/>
      <c r="H233" s="15"/>
      <c r="I233" s="16"/>
      <c r="J233" s="16"/>
      <c r="K233" s="17"/>
      <c r="L233" s="31"/>
      <c r="M233" s="19"/>
      <c r="N233" s="20"/>
      <c r="O233" s="20"/>
      <c r="P233" s="20"/>
      <c r="Q233" s="20"/>
      <c r="R233" s="20"/>
      <c r="S233" s="22"/>
      <c r="T233" s="23"/>
      <c r="V233" s="37" t="str">
        <f t="shared" si="42"/>
        <v/>
      </c>
      <c r="W233" s="46" t="str">
        <f t="shared" si="43"/>
        <v/>
      </c>
      <c r="X233" s="45" t="str">
        <f t="shared" si="44"/>
        <v/>
      </c>
      <c r="Y233" s="47" t="str">
        <f t="shared" si="45"/>
        <v/>
      </c>
      <c r="Z233" s="38" t="str">
        <f t="shared" si="46"/>
        <v/>
      </c>
      <c r="AA233" s="39" t="str">
        <f t="shared" si="47"/>
        <v/>
      </c>
      <c r="AB233" s="39" t="str">
        <f t="shared" si="48"/>
        <v/>
      </c>
      <c r="AC233" s="32"/>
      <c r="AD233" s="32"/>
      <c r="AE233" s="1"/>
      <c r="AF233" s="1"/>
    </row>
    <row r="234" spans="1:32" x14ac:dyDescent="0.2">
      <c r="A234" s="11"/>
      <c r="B234" s="12"/>
      <c r="C234" s="12"/>
      <c r="D234" s="12"/>
      <c r="E234" s="12"/>
      <c r="F234" s="13"/>
      <c r="G234" s="30"/>
      <c r="H234" s="15"/>
      <c r="I234" s="16"/>
      <c r="J234" s="16"/>
      <c r="K234" s="17"/>
      <c r="L234" s="31"/>
      <c r="M234" s="19"/>
      <c r="N234" s="20"/>
      <c r="O234" s="20"/>
      <c r="P234" s="20"/>
      <c r="Q234" s="20"/>
      <c r="R234" s="20"/>
      <c r="S234" s="22"/>
      <c r="T234" s="23"/>
      <c r="V234" s="37" t="str">
        <f t="shared" si="42"/>
        <v/>
      </c>
      <c r="W234" s="46" t="str">
        <f t="shared" si="43"/>
        <v/>
      </c>
      <c r="X234" s="45" t="str">
        <f t="shared" si="44"/>
        <v/>
      </c>
      <c r="Y234" s="47" t="str">
        <f t="shared" si="45"/>
        <v/>
      </c>
      <c r="Z234" s="38" t="str">
        <f t="shared" si="46"/>
        <v/>
      </c>
      <c r="AA234" s="39" t="str">
        <f t="shared" si="47"/>
        <v/>
      </c>
      <c r="AB234" s="39" t="str">
        <f t="shared" si="48"/>
        <v/>
      </c>
      <c r="AC234" s="32"/>
      <c r="AD234" s="32"/>
      <c r="AE234" s="1"/>
      <c r="AF234" s="1"/>
    </row>
    <row r="235" spans="1:32" x14ac:dyDescent="0.2">
      <c r="A235" s="11"/>
      <c r="B235" s="12"/>
      <c r="C235" s="12"/>
      <c r="D235" s="12"/>
      <c r="E235" s="12"/>
      <c r="F235" s="13"/>
      <c r="G235" s="30"/>
      <c r="H235" s="15"/>
      <c r="I235" s="16"/>
      <c r="J235" s="16"/>
      <c r="K235" s="17"/>
      <c r="L235" s="31"/>
      <c r="M235" s="19"/>
      <c r="N235" s="20"/>
      <c r="O235" s="20"/>
      <c r="P235" s="20"/>
      <c r="Q235" s="20"/>
      <c r="R235" s="20"/>
      <c r="S235" s="22"/>
      <c r="T235" s="23"/>
      <c r="V235" s="37" t="str">
        <f t="shared" si="42"/>
        <v/>
      </c>
      <c r="W235" s="46" t="str">
        <f t="shared" si="43"/>
        <v/>
      </c>
      <c r="X235" s="45" t="str">
        <f t="shared" si="44"/>
        <v/>
      </c>
      <c r="Y235" s="47" t="str">
        <f t="shared" si="45"/>
        <v/>
      </c>
      <c r="Z235" s="38" t="str">
        <f t="shared" si="46"/>
        <v/>
      </c>
      <c r="AA235" s="39" t="str">
        <f t="shared" si="47"/>
        <v/>
      </c>
      <c r="AB235" s="39" t="str">
        <f t="shared" si="48"/>
        <v/>
      </c>
      <c r="AC235" s="32"/>
      <c r="AD235" s="32"/>
      <c r="AE235" s="1"/>
      <c r="AF235" s="1"/>
    </row>
    <row r="236" spans="1:32" x14ac:dyDescent="0.2">
      <c r="A236" s="11"/>
      <c r="B236" s="12"/>
      <c r="C236" s="12"/>
      <c r="D236" s="12"/>
      <c r="E236" s="12"/>
      <c r="F236" s="13"/>
      <c r="G236" s="30"/>
      <c r="H236" s="15"/>
      <c r="I236" s="16"/>
      <c r="J236" s="16"/>
      <c r="K236" s="17"/>
      <c r="L236" s="31"/>
      <c r="M236" s="19"/>
      <c r="N236" s="20"/>
      <c r="O236" s="20"/>
      <c r="P236" s="20"/>
      <c r="Q236" s="20"/>
      <c r="R236" s="20"/>
      <c r="S236" s="22"/>
      <c r="T236" s="23"/>
      <c r="V236" s="37" t="str">
        <f t="shared" si="42"/>
        <v/>
      </c>
      <c r="W236" s="46" t="str">
        <f t="shared" si="43"/>
        <v/>
      </c>
      <c r="X236" s="45" t="str">
        <f t="shared" si="44"/>
        <v/>
      </c>
      <c r="Y236" s="47" t="str">
        <f t="shared" si="45"/>
        <v/>
      </c>
      <c r="Z236" s="38" t="str">
        <f t="shared" si="46"/>
        <v/>
      </c>
      <c r="AA236" s="39" t="str">
        <f t="shared" si="47"/>
        <v/>
      </c>
      <c r="AB236" s="39" t="str">
        <f t="shared" si="48"/>
        <v/>
      </c>
      <c r="AC236" s="32"/>
      <c r="AD236" s="32"/>
      <c r="AE236" s="1"/>
      <c r="AF236" s="1"/>
    </row>
    <row r="237" spans="1:32" x14ac:dyDescent="0.2">
      <c r="A237" s="11"/>
      <c r="B237" s="12"/>
      <c r="C237" s="12"/>
      <c r="D237" s="12"/>
      <c r="E237" s="12"/>
      <c r="F237" s="13"/>
      <c r="G237" s="30"/>
      <c r="H237" s="15"/>
      <c r="I237" s="16"/>
      <c r="J237" s="16"/>
      <c r="K237" s="17"/>
      <c r="L237" s="31"/>
      <c r="M237" s="19"/>
      <c r="N237" s="20"/>
      <c r="O237" s="20"/>
      <c r="P237" s="20"/>
      <c r="Q237" s="20"/>
      <c r="R237" s="20"/>
      <c r="S237" s="22"/>
      <c r="T237" s="23"/>
      <c r="V237" s="37" t="str">
        <f t="shared" si="42"/>
        <v/>
      </c>
      <c r="W237" s="46" t="str">
        <f t="shared" si="43"/>
        <v/>
      </c>
      <c r="X237" s="45" t="str">
        <f t="shared" si="44"/>
        <v/>
      </c>
      <c r="Y237" s="47" t="str">
        <f t="shared" si="45"/>
        <v/>
      </c>
      <c r="Z237" s="38" t="str">
        <f t="shared" si="46"/>
        <v/>
      </c>
      <c r="AA237" s="39" t="str">
        <f t="shared" si="47"/>
        <v/>
      </c>
      <c r="AB237" s="39" t="str">
        <f t="shared" si="48"/>
        <v/>
      </c>
      <c r="AC237" s="32"/>
      <c r="AD237" s="32"/>
      <c r="AE237" s="1"/>
      <c r="AF237" s="1"/>
    </row>
    <row r="238" spans="1:32" x14ac:dyDescent="0.2">
      <c r="A238" s="11"/>
      <c r="B238" s="12"/>
      <c r="C238" s="12"/>
      <c r="D238" s="12"/>
      <c r="E238" s="12"/>
      <c r="F238" s="13"/>
      <c r="G238" s="30"/>
      <c r="H238" s="15"/>
      <c r="I238" s="16"/>
      <c r="J238" s="16"/>
      <c r="K238" s="17"/>
      <c r="L238" s="31"/>
      <c r="M238" s="19"/>
      <c r="N238" s="20"/>
      <c r="O238" s="20"/>
      <c r="P238" s="20"/>
      <c r="Q238" s="20"/>
      <c r="R238" s="20"/>
      <c r="S238" s="22"/>
      <c r="T238" s="23"/>
      <c r="V238" s="37" t="str">
        <f t="shared" si="42"/>
        <v/>
      </c>
      <c r="W238" s="46" t="str">
        <f t="shared" si="43"/>
        <v/>
      </c>
      <c r="X238" s="45" t="str">
        <f t="shared" si="44"/>
        <v/>
      </c>
      <c r="Y238" s="47" t="str">
        <f t="shared" si="45"/>
        <v/>
      </c>
      <c r="Z238" s="38" t="str">
        <f t="shared" si="46"/>
        <v/>
      </c>
      <c r="AA238" s="39" t="str">
        <f t="shared" si="47"/>
        <v/>
      </c>
      <c r="AB238" s="39" t="str">
        <f t="shared" si="48"/>
        <v/>
      </c>
      <c r="AC238" s="32"/>
      <c r="AD238" s="32"/>
      <c r="AE238" s="1"/>
      <c r="AF238" s="1"/>
    </row>
    <row r="239" spans="1:32" x14ac:dyDescent="0.2">
      <c r="A239" s="11"/>
      <c r="B239" s="12"/>
      <c r="C239" s="12"/>
      <c r="D239" s="12"/>
      <c r="E239" s="12"/>
      <c r="F239" s="13"/>
      <c r="G239" s="30"/>
      <c r="H239" s="15"/>
      <c r="I239" s="16"/>
      <c r="J239" s="16"/>
      <c r="K239" s="17"/>
      <c r="L239" s="31"/>
      <c r="M239" s="19"/>
      <c r="N239" s="20"/>
      <c r="O239" s="20"/>
      <c r="P239" s="20"/>
      <c r="Q239" s="20"/>
      <c r="R239" s="20"/>
      <c r="S239" s="22"/>
      <c r="T239" s="23"/>
      <c r="V239" s="37" t="str">
        <f t="shared" si="42"/>
        <v/>
      </c>
      <c r="W239" s="46" t="str">
        <f t="shared" si="43"/>
        <v/>
      </c>
      <c r="X239" s="45" t="str">
        <f t="shared" si="44"/>
        <v/>
      </c>
      <c r="Y239" s="47" t="str">
        <f t="shared" si="45"/>
        <v/>
      </c>
      <c r="Z239" s="38" t="str">
        <f t="shared" si="46"/>
        <v/>
      </c>
      <c r="AA239" s="39" t="str">
        <f t="shared" si="47"/>
        <v/>
      </c>
      <c r="AB239" s="39" t="str">
        <f t="shared" si="48"/>
        <v/>
      </c>
      <c r="AC239" s="32"/>
      <c r="AD239" s="32"/>
      <c r="AE239" s="1"/>
      <c r="AF239" s="1"/>
    </row>
    <row r="240" spans="1:32" x14ac:dyDescent="0.2">
      <c r="A240" s="11"/>
      <c r="B240" s="12"/>
      <c r="C240" s="12"/>
      <c r="D240" s="12"/>
      <c r="E240" s="12"/>
      <c r="F240" s="13"/>
      <c r="G240" s="30"/>
      <c r="H240" s="15"/>
      <c r="I240" s="16"/>
      <c r="J240" s="16"/>
      <c r="K240" s="17"/>
      <c r="L240" s="31"/>
      <c r="M240" s="19"/>
      <c r="N240" s="20"/>
      <c r="O240" s="20"/>
      <c r="P240" s="20"/>
      <c r="Q240" s="20"/>
      <c r="R240" s="20"/>
      <c r="S240" s="22"/>
      <c r="T240" s="23"/>
      <c r="V240" s="37" t="str">
        <f t="shared" si="42"/>
        <v/>
      </c>
      <c r="W240" s="46" t="str">
        <f t="shared" si="43"/>
        <v/>
      </c>
      <c r="X240" s="45" t="str">
        <f t="shared" si="44"/>
        <v/>
      </c>
      <c r="Y240" s="47" t="str">
        <f t="shared" si="45"/>
        <v/>
      </c>
      <c r="Z240" s="38" t="str">
        <f t="shared" si="46"/>
        <v/>
      </c>
      <c r="AA240" s="39" t="str">
        <f t="shared" si="47"/>
        <v/>
      </c>
      <c r="AB240" s="39" t="str">
        <f t="shared" si="48"/>
        <v/>
      </c>
      <c r="AC240" s="32"/>
      <c r="AD240" s="32"/>
      <c r="AE240" s="1"/>
      <c r="AF240" s="1"/>
    </row>
    <row r="241" spans="1:32" x14ac:dyDescent="0.2">
      <c r="A241" s="11"/>
      <c r="B241" s="12"/>
      <c r="C241" s="12"/>
      <c r="D241" s="12"/>
      <c r="E241" s="12"/>
      <c r="F241" s="13"/>
      <c r="G241" s="30"/>
      <c r="H241" s="15"/>
      <c r="I241" s="16"/>
      <c r="J241" s="16"/>
      <c r="K241" s="17"/>
      <c r="L241" s="31"/>
      <c r="M241" s="19"/>
      <c r="N241" s="20"/>
      <c r="O241" s="20"/>
      <c r="P241" s="20"/>
      <c r="Q241" s="20"/>
      <c r="R241" s="20"/>
      <c r="S241" s="22"/>
      <c r="T241" s="23"/>
      <c r="V241" s="37" t="str">
        <f t="shared" si="42"/>
        <v/>
      </c>
      <c r="W241" s="46" t="str">
        <f t="shared" si="43"/>
        <v/>
      </c>
      <c r="X241" s="45" t="str">
        <f t="shared" si="44"/>
        <v/>
      </c>
      <c r="Y241" s="47" t="str">
        <f t="shared" si="45"/>
        <v/>
      </c>
      <c r="Z241" s="38" t="str">
        <f t="shared" si="46"/>
        <v/>
      </c>
      <c r="AA241" s="39" t="str">
        <f t="shared" si="47"/>
        <v/>
      </c>
      <c r="AB241" s="39" t="str">
        <f t="shared" si="48"/>
        <v/>
      </c>
      <c r="AC241" s="32"/>
      <c r="AD241" s="32"/>
      <c r="AE241" s="1"/>
      <c r="AF241" s="1"/>
    </row>
    <row r="242" spans="1:32" x14ac:dyDescent="0.2">
      <c r="A242" s="11"/>
      <c r="B242" s="12"/>
      <c r="C242" s="12"/>
      <c r="D242" s="12"/>
      <c r="E242" s="12"/>
      <c r="F242" s="13"/>
      <c r="G242" s="30"/>
      <c r="H242" s="15"/>
      <c r="I242" s="16"/>
      <c r="J242" s="16"/>
      <c r="K242" s="17"/>
      <c r="L242" s="31"/>
      <c r="M242" s="19"/>
      <c r="N242" s="20"/>
      <c r="O242" s="20"/>
      <c r="P242" s="20"/>
      <c r="Q242" s="20"/>
      <c r="R242" s="20"/>
      <c r="S242" s="22"/>
      <c r="T242" s="23"/>
      <c r="V242" s="37" t="str">
        <f t="shared" si="42"/>
        <v/>
      </c>
      <c r="W242" s="46" t="str">
        <f t="shared" si="43"/>
        <v/>
      </c>
      <c r="X242" s="45" t="str">
        <f t="shared" si="44"/>
        <v/>
      </c>
      <c r="Y242" s="47" t="str">
        <f t="shared" si="45"/>
        <v/>
      </c>
      <c r="Z242" s="38" t="str">
        <f t="shared" si="46"/>
        <v/>
      </c>
      <c r="AA242" s="39" t="str">
        <f t="shared" si="47"/>
        <v/>
      </c>
      <c r="AB242" s="39" t="str">
        <f t="shared" si="48"/>
        <v/>
      </c>
      <c r="AC242" s="32"/>
      <c r="AD242" s="32"/>
      <c r="AE242" s="1"/>
      <c r="AF242" s="1"/>
    </row>
    <row r="243" spans="1:32" x14ac:dyDescent="0.2">
      <c r="A243" s="11"/>
      <c r="B243" s="12"/>
      <c r="C243" s="12"/>
      <c r="D243" s="12"/>
      <c r="E243" s="12"/>
      <c r="F243" s="13"/>
      <c r="G243" s="30"/>
      <c r="H243" s="15"/>
      <c r="I243" s="16"/>
      <c r="J243" s="16"/>
      <c r="K243" s="17"/>
      <c r="L243" s="31"/>
      <c r="M243" s="19"/>
      <c r="N243" s="20"/>
      <c r="O243" s="20"/>
      <c r="P243" s="20"/>
      <c r="Q243" s="20"/>
      <c r="R243" s="20"/>
      <c r="S243" s="22"/>
      <c r="T243" s="23"/>
      <c r="V243" s="37" t="str">
        <f t="shared" si="42"/>
        <v/>
      </c>
      <c r="W243" s="46" t="str">
        <f t="shared" si="43"/>
        <v/>
      </c>
      <c r="X243" s="45" t="str">
        <f t="shared" si="44"/>
        <v/>
      </c>
      <c r="Y243" s="47" t="str">
        <f t="shared" si="45"/>
        <v/>
      </c>
      <c r="Z243" s="38" t="str">
        <f t="shared" si="46"/>
        <v/>
      </c>
      <c r="AA243" s="39" t="str">
        <f t="shared" si="47"/>
        <v/>
      </c>
      <c r="AB243" s="39" t="str">
        <f t="shared" si="48"/>
        <v/>
      </c>
      <c r="AC243" s="32"/>
      <c r="AD243" s="32"/>
      <c r="AE243" s="1"/>
      <c r="AF243" s="1"/>
    </row>
    <row r="244" spans="1:32" x14ac:dyDescent="0.2">
      <c r="A244" s="11"/>
      <c r="B244" s="12"/>
      <c r="C244" s="12"/>
      <c r="D244" s="12"/>
      <c r="E244" s="12"/>
      <c r="F244" s="13"/>
      <c r="G244" s="30"/>
      <c r="H244" s="15"/>
      <c r="I244" s="16"/>
      <c r="J244" s="16"/>
      <c r="K244" s="17"/>
      <c r="L244" s="31"/>
      <c r="M244" s="19"/>
      <c r="N244" s="20"/>
      <c r="O244" s="20"/>
      <c r="P244" s="20"/>
      <c r="Q244" s="20"/>
      <c r="R244" s="20"/>
      <c r="S244" s="22"/>
      <c r="T244" s="23"/>
      <c r="V244" s="37" t="str">
        <f t="shared" si="42"/>
        <v/>
      </c>
      <c r="W244" s="46" t="str">
        <f t="shared" si="43"/>
        <v/>
      </c>
      <c r="X244" s="45" t="str">
        <f t="shared" si="44"/>
        <v/>
      </c>
      <c r="Y244" s="47" t="str">
        <f t="shared" si="45"/>
        <v/>
      </c>
      <c r="Z244" s="38" t="str">
        <f t="shared" si="46"/>
        <v/>
      </c>
      <c r="AA244" s="39" t="str">
        <f t="shared" si="47"/>
        <v/>
      </c>
      <c r="AB244" s="39" t="str">
        <f t="shared" si="48"/>
        <v/>
      </c>
      <c r="AC244" s="32"/>
      <c r="AD244" s="32"/>
      <c r="AE244" s="1"/>
      <c r="AF244" s="1"/>
    </row>
    <row r="245" spans="1:32" x14ac:dyDescent="0.2">
      <c r="A245" s="11"/>
      <c r="B245" s="12"/>
      <c r="C245" s="12"/>
      <c r="D245" s="12"/>
      <c r="E245" s="12"/>
      <c r="F245" s="13"/>
      <c r="G245" s="30"/>
      <c r="H245" s="15"/>
      <c r="I245" s="16"/>
      <c r="J245" s="16"/>
      <c r="K245" s="17"/>
      <c r="L245" s="31"/>
      <c r="M245" s="19"/>
      <c r="N245" s="20"/>
      <c r="O245" s="20"/>
      <c r="P245" s="20"/>
      <c r="Q245" s="20"/>
      <c r="R245" s="20"/>
      <c r="S245" s="22"/>
      <c r="T245" s="23"/>
      <c r="V245" s="37" t="str">
        <f t="shared" si="42"/>
        <v/>
      </c>
      <c r="W245" s="46" t="str">
        <f t="shared" si="43"/>
        <v/>
      </c>
      <c r="X245" s="45" t="str">
        <f t="shared" si="44"/>
        <v/>
      </c>
      <c r="Y245" s="47" t="str">
        <f t="shared" si="45"/>
        <v/>
      </c>
      <c r="Z245" s="38" t="str">
        <f t="shared" si="46"/>
        <v/>
      </c>
      <c r="AA245" s="39" t="str">
        <f t="shared" si="47"/>
        <v/>
      </c>
      <c r="AB245" s="39" t="str">
        <f t="shared" si="48"/>
        <v/>
      </c>
      <c r="AC245" s="32"/>
      <c r="AD245" s="32"/>
      <c r="AE245" s="1"/>
      <c r="AF245" s="1"/>
    </row>
    <row r="246" spans="1:32" x14ac:dyDescent="0.2">
      <c r="A246" s="11"/>
      <c r="B246" s="12"/>
      <c r="C246" s="12"/>
      <c r="D246" s="12"/>
      <c r="E246" s="12"/>
      <c r="F246" s="13"/>
      <c r="G246" s="30"/>
      <c r="H246" s="15"/>
      <c r="I246" s="16"/>
      <c r="J246" s="16"/>
      <c r="K246" s="17"/>
      <c r="L246" s="31"/>
      <c r="M246" s="19"/>
      <c r="N246" s="20"/>
      <c r="O246" s="20"/>
      <c r="P246" s="20"/>
      <c r="Q246" s="20"/>
      <c r="R246" s="20"/>
      <c r="S246" s="22"/>
      <c r="T246" s="23"/>
      <c r="V246" s="37" t="str">
        <f t="shared" si="42"/>
        <v/>
      </c>
      <c r="W246" s="46" t="str">
        <f t="shared" si="43"/>
        <v/>
      </c>
      <c r="X246" s="45" t="str">
        <f t="shared" si="44"/>
        <v/>
      </c>
      <c r="Y246" s="47" t="str">
        <f t="shared" si="45"/>
        <v/>
      </c>
      <c r="Z246" s="38" t="str">
        <f t="shared" si="46"/>
        <v/>
      </c>
      <c r="AA246" s="39" t="str">
        <f t="shared" si="47"/>
        <v/>
      </c>
      <c r="AB246" s="39" t="str">
        <f t="shared" si="48"/>
        <v/>
      </c>
      <c r="AC246" s="32"/>
      <c r="AD246" s="32"/>
      <c r="AE246" s="1"/>
      <c r="AF246" s="1"/>
    </row>
    <row r="247" spans="1:32" x14ac:dyDescent="0.2">
      <c r="A247" s="11"/>
      <c r="B247" s="12"/>
      <c r="C247" s="12"/>
      <c r="D247" s="12"/>
      <c r="E247" s="12"/>
      <c r="F247" s="13"/>
      <c r="G247" s="30"/>
      <c r="H247" s="15"/>
      <c r="I247" s="16"/>
      <c r="J247" s="16"/>
      <c r="K247" s="17"/>
      <c r="L247" s="31"/>
      <c r="M247" s="19"/>
      <c r="N247" s="20"/>
      <c r="O247" s="20"/>
      <c r="P247" s="20"/>
      <c r="Q247" s="20"/>
      <c r="R247" s="20"/>
      <c r="S247" s="22"/>
      <c r="T247" s="23"/>
      <c r="V247" s="37" t="str">
        <f t="shared" si="42"/>
        <v/>
      </c>
      <c r="W247" s="46" t="str">
        <f t="shared" si="43"/>
        <v/>
      </c>
      <c r="X247" s="45" t="str">
        <f t="shared" si="44"/>
        <v/>
      </c>
      <c r="Y247" s="47" t="str">
        <f t="shared" si="45"/>
        <v/>
      </c>
      <c r="Z247" s="38" t="str">
        <f t="shared" si="46"/>
        <v/>
      </c>
      <c r="AA247" s="39" t="str">
        <f t="shared" si="47"/>
        <v/>
      </c>
      <c r="AB247" s="39" t="str">
        <f t="shared" si="48"/>
        <v/>
      </c>
      <c r="AC247" s="32"/>
      <c r="AD247" s="32"/>
      <c r="AE247" s="1"/>
      <c r="AF247" s="1"/>
    </row>
    <row r="248" spans="1:32" x14ac:dyDescent="0.2">
      <c r="A248" s="11"/>
      <c r="B248" s="12"/>
      <c r="C248" s="12"/>
      <c r="D248" s="12"/>
      <c r="E248" s="12"/>
      <c r="F248" s="13"/>
      <c r="G248" s="30"/>
      <c r="H248" s="15"/>
      <c r="I248" s="16"/>
      <c r="J248" s="16"/>
      <c r="K248" s="17"/>
      <c r="L248" s="31"/>
      <c r="M248" s="19"/>
      <c r="N248" s="20"/>
      <c r="O248" s="20"/>
      <c r="P248" s="20"/>
      <c r="Q248" s="20"/>
      <c r="R248" s="20"/>
      <c r="S248" s="22"/>
      <c r="T248" s="23"/>
      <c r="V248" s="37" t="str">
        <f t="shared" si="42"/>
        <v/>
      </c>
      <c r="W248" s="46" t="str">
        <f t="shared" si="43"/>
        <v/>
      </c>
      <c r="X248" s="45" t="str">
        <f t="shared" si="44"/>
        <v/>
      </c>
      <c r="Y248" s="47" t="str">
        <f t="shared" si="45"/>
        <v/>
      </c>
      <c r="Z248" s="38" t="str">
        <f t="shared" si="46"/>
        <v/>
      </c>
      <c r="AA248" s="39" t="str">
        <f t="shared" si="47"/>
        <v/>
      </c>
      <c r="AB248" s="39" t="str">
        <f t="shared" si="48"/>
        <v/>
      </c>
      <c r="AC248" s="32"/>
      <c r="AD248" s="32"/>
      <c r="AE248" s="1"/>
      <c r="AF248" s="1"/>
    </row>
    <row r="249" spans="1:32" x14ac:dyDescent="0.2">
      <c r="A249" s="11"/>
      <c r="B249" s="12"/>
      <c r="C249" s="12"/>
      <c r="D249" s="12"/>
      <c r="E249" s="12"/>
      <c r="F249" s="13"/>
      <c r="G249" s="30"/>
      <c r="H249" s="15"/>
      <c r="I249" s="16"/>
      <c r="J249" s="16"/>
      <c r="K249" s="17"/>
      <c r="L249" s="31"/>
      <c r="M249" s="19"/>
      <c r="N249" s="20"/>
      <c r="O249" s="20"/>
      <c r="P249" s="20"/>
      <c r="Q249" s="20"/>
      <c r="R249" s="20"/>
      <c r="S249" s="22"/>
      <c r="T249" s="23"/>
      <c r="V249" s="37" t="str">
        <f t="shared" si="42"/>
        <v/>
      </c>
      <c r="W249" s="46" t="str">
        <f t="shared" si="43"/>
        <v/>
      </c>
      <c r="X249" s="45" t="str">
        <f t="shared" si="44"/>
        <v/>
      </c>
      <c r="Y249" s="47" t="str">
        <f t="shared" si="45"/>
        <v/>
      </c>
      <c r="Z249" s="38" t="str">
        <f t="shared" si="46"/>
        <v/>
      </c>
      <c r="AA249" s="39" t="str">
        <f t="shared" si="47"/>
        <v/>
      </c>
      <c r="AB249" s="39" t="str">
        <f t="shared" si="48"/>
        <v/>
      </c>
      <c r="AC249" s="32"/>
      <c r="AD249" s="32"/>
      <c r="AE249" s="1"/>
      <c r="AF249" s="1"/>
    </row>
    <row r="250" spans="1:32" x14ac:dyDescent="0.2">
      <c r="A250" s="11"/>
      <c r="B250" s="12"/>
      <c r="C250" s="12"/>
      <c r="D250" s="12"/>
      <c r="E250" s="12"/>
      <c r="F250" s="13"/>
      <c r="G250" s="30"/>
      <c r="H250" s="15"/>
      <c r="I250" s="16"/>
      <c r="J250" s="16"/>
      <c r="K250" s="17"/>
      <c r="L250" s="31"/>
      <c r="M250" s="19"/>
      <c r="N250" s="20"/>
      <c r="O250" s="20"/>
      <c r="P250" s="20"/>
      <c r="Q250" s="20"/>
      <c r="R250" s="20"/>
      <c r="S250" s="22"/>
      <c r="T250" s="23"/>
      <c r="V250" s="37" t="str">
        <f t="shared" si="42"/>
        <v/>
      </c>
      <c r="W250" s="46" t="str">
        <f t="shared" si="43"/>
        <v/>
      </c>
      <c r="X250" s="45" t="str">
        <f t="shared" si="44"/>
        <v/>
      </c>
      <c r="Y250" s="47" t="str">
        <f t="shared" si="45"/>
        <v/>
      </c>
      <c r="Z250" s="38" t="str">
        <f t="shared" si="46"/>
        <v/>
      </c>
      <c r="AA250" s="39" t="str">
        <f t="shared" si="47"/>
        <v/>
      </c>
      <c r="AB250" s="39" t="str">
        <f t="shared" si="48"/>
        <v/>
      </c>
      <c r="AC250" s="32"/>
      <c r="AD250" s="32"/>
      <c r="AE250" s="1"/>
      <c r="AF250" s="1"/>
    </row>
    <row r="251" spans="1:32" x14ac:dyDescent="0.2">
      <c r="A251" s="11"/>
      <c r="B251" s="12"/>
      <c r="C251" s="12"/>
      <c r="D251" s="12"/>
      <c r="E251" s="12"/>
      <c r="F251" s="13"/>
      <c r="G251" s="30"/>
      <c r="H251" s="15"/>
      <c r="I251" s="16"/>
      <c r="J251" s="16"/>
      <c r="K251" s="17"/>
      <c r="L251" s="31"/>
      <c r="M251" s="19"/>
      <c r="N251" s="20"/>
      <c r="O251" s="20"/>
      <c r="P251" s="20"/>
      <c r="Q251" s="20"/>
      <c r="R251" s="20"/>
      <c r="S251" s="22"/>
      <c r="T251" s="23"/>
      <c r="V251" s="37" t="str">
        <f t="shared" si="42"/>
        <v/>
      </c>
      <c r="W251" s="46" t="str">
        <f t="shared" si="43"/>
        <v/>
      </c>
      <c r="X251" s="45" t="str">
        <f t="shared" si="44"/>
        <v/>
      </c>
      <c r="Y251" s="47" t="str">
        <f t="shared" si="45"/>
        <v/>
      </c>
      <c r="Z251" s="38" t="str">
        <f t="shared" si="46"/>
        <v/>
      </c>
      <c r="AA251" s="39" t="str">
        <f t="shared" si="47"/>
        <v/>
      </c>
      <c r="AB251" s="39" t="str">
        <f t="shared" si="48"/>
        <v/>
      </c>
      <c r="AC251" s="32"/>
      <c r="AD251" s="32"/>
      <c r="AE251" s="1"/>
      <c r="AF251" s="1"/>
    </row>
    <row r="252" spans="1:32" x14ac:dyDescent="0.2">
      <c r="A252" s="11"/>
      <c r="B252" s="12"/>
      <c r="C252" s="12"/>
      <c r="D252" s="12"/>
      <c r="E252" s="12"/>
      <c r="F252" s="13"/>
      <c r="G252" s="30"/>
      <c r="H252" s="15"/>
      <c r="I252" s="16"/>
      <c r="J252" s="16"/>
      <c r="K252" s="17"/>
      <c r="L252" s="31"/>
      <c r="M252" s="19"/>
      <c r="N252" s="20"/>
      <c r="O252" s="20"/>
      <c r="P252" s="20"/>
      <c r="Q252" s="20"/>
      <c r="R252" s="20"/>
      <c r="S252" s="22"/>
      <c r="T252" s="23"/>
      <c r="V252" s="37" t="str">
        <f t="shared" si="42"/>
        <v/>
      </c>
      <c r="W252" s="46" t="str">
        <f t="shared" si="43"/>
        <v/>
      </c>
      <c r="X252" s="45" t="str">
        <f t="shared" si="44"/>
        <v/>
      </c>
      <c r="Y252" s="47" t="str">
        <f t="shared" si="45"/>
        <v/>
      </c>
      <c r="Z252" s="38" t="str">
        <f t="shared" si="46"/>
        <v/>
      </c>
      <c r="AA252" s="39" t="str">
        <f t="shared" si="47"/>
        <v/>
      </c>
      <c r="AB252" s="39" t="str">
        <f t="shared" si="48"/>
        <v/>
      </c>
      <c r="AC252" s="32"/>
      <c r="AD252" s="32"/>
      <c r="AE252" s="1"/>
      <c r="AF252" s="1"/>
    </row>
    <row r="253" spans="1:32" x14ac:dyDescent="0.2">
      <c r="A253" s="11"/>
      <c r="B253" s="12"/>
      <c r="C253" s="12"/>
      <c r="D253" s="12"/>
      <c r="E253" s="12"/>
      <c r="F253" s="13"/>
      <c r="G253" s="30"/>
      <c r="H253" s="15"/>
      <c r="I253" s="16"/>
      <c r="J253" s="16"/>
      <c r="K253" s="17"/>
      <c r="L253" s="31"/>
      <c r="M253" s="19"/>
      <c r="N253" s="20"/>
      <c r="O253" s="20"/>
      <c r="P253" s="20"/>
      <c r="Q253" s="20"/>
      <c r="R253" s="20"/>
      <c r="S253" s="22"/>
      <c r="T253" s="23"/>
      <c r="V253" s="37" t="str">
        <f t="shared" si="42"/>
        <v/>
      </c>
      <c r="W253" s="46" t="str">
        <f t="shared" si="43"/>
        <v/>
      </c>
      <c r="X253" s="45" t="str">
        <f t="shared" si="44"/>
        <v/>
      </c>
      <c r="Y253" s="47" t="str">
        <f t="shared" si="45"/>
        <v/>
      </c>
      <c r="Z253" s="38" t="str">
        <f t="shared" si="46"/>
        <v/>
      </c>
      <c r="AA253" s="39" t="str">
        <f t="shared" si="47"/>
        <v/>
      </c>
      <c r="AB253" s="39" t="str">
        <f t="shared" si="48"/>
        <v/>
      </c>
      <c r="AC253" s="32"/>
      <c r="AD253" s="32"/>
      <c r="AE253" s="1"/>
      <c r="AF253" s="1"/>
    </row>
    <row r="254" spans="1:32" x14ac:dyDescent="0.2">
      <c r="A254" s="11"/>
      <c r="B254" s="12"/>
      <c r="C254" s="12"/>
      <c r="D254" s="12"/>
      <c r="E254" s="12"/>
      <c r="F254" s="13"/>
      <c r="G254" s="30"/>
      <c r="H254" s="15"/>
      <c r="I254" s="16"/>
      <c r="J254" s="16"/>
      <c r="K254" s="17"/>
      <c r="L254" s="31"/>
      <c r="M254" s="19"/>
      <c r="N254" s="20"/>
      <c r="O254" s="20"/>
      <c r="P254" s="20"/>
      <c r="Q254" s="20"/>
      <c r="R254" s="20"/>
      <c r="S254" s="22"/>
      <c r="T254" s="23"/>
      <c r="V254" s="37" t="str">
        <f t="shared" si="42"/>
        <v/>
      </c>
      <c r="W254" s="46" t="str">
        <f t="shared" si="43"/>
        <v/>
      </c>
      <c r="X254" s="45" t="str">
        <f t="shared" si="44"/>
        <v/>
      </c>
      <c r="Y254" s="47" t="str">
        <f t="shared" si="45"/>
        <v/>
      </c>
      <c r="Z254" s="38" t="str">
        <f t="shared" si="46"/>
        <v/>
      </c>
      <c r="AA254" s="39" t="str">
        <f t="shared" si="47"/>
        <v/>
      </c>
      <c r="AB254" s="39" t="str">
        <f t="shared" si="48"/>
        <v/>
      </c>
      <c r="AC254" s="32"/>
      <c r="AD254" s="32"/>
      <c r="AE254" s="1"/>
      <c r="AF254" s="1"/>
    </row>
    <row r="255" spans="1:32" x14ac:dyDescent="0.2">
      <c r="A255" s="11"/>
      <c r="B255" s="12"/>
      <c r="C255" s="12"/>
      <c r="D255" s="12"/>
      <c r="E255" s="12"/>
      <c r="F255" s="13"/>
      <c r="G255" s="30"/>
      <c r="H255" s="15"/>
      <c r="I255" s="16"/>
      <c r="J255" s="16"/>
      <c r="K255" s="17"/>
      <c r="L255" s="31"/>
      <c r="M255" s="19"/>
      <c r="N255" s="20"/>
      <c r="O255" s="20"/>
      <c r="P255" s="20"/>
      <c r="Q255" s="20"/>
      <c r="R255" s="20"/>
      <c r="S255" s="22"/>
      <c r="T255" s="23"/>
      <c r="V255" s="37" t="str">
        <f t="shared" si="42"/>
        <v/>
      </c>
      <c r="W255" s="46" t="str">
        <f t="shared" si="43"/>
        <v/>
      </c>
      <c r="X255" s="45" t="str">
        <f t="shared" si="44"/>
        <v/>
      </c>
      <c r="Y255" s="47" t="str">
        <f t="shared" si="45"/>
        <v/>
      </c>
      <c r="Z255" s="38" t="str">
        <f t="shared" si="46"/>
        <v/>
      </c>
      <c r="AA255" s="39" t="str">
        <f t="shared" si="47"/>
        <v/>
      </c>
      <c r="AB255" s="39" t="str">
        <f t="shared" si="48"/>
        <v/>
      </c>
      <c r="AC255" s="32"/>
      <c r="AD255" s="32"/>
      <c r="AE255" s="1"/>
      <c r="AF255" s="1"/>
    </row>
    <row r="256" spans="1:32" x14ac:dyDescent="0.2">
      <c r="A256" s="11"/>
      <c r="B256" s="12"/>
      <c r="C256" s="12"/>
      <c r="D256" s="12"/>
      <c r="E256" s="12"/>
      <c r="F256" s="13"/>
      <c r="G256" s="30"/>
      <c r="H256" s="15"/>
      <c r="I256" s="16"/>
      <c r="J256" s="16"/>
      <c r="K256" s="17"/>
      <c r="L256" s="31"/>
      <c r="M256" s="19"/>
      <c r="N256" s="20"/>
      <c r="O256" s="20"/>
      <c r="P256" s="20"/>
      <c r="Q256" s="20"/>
      <c r="R256" s="20"/>
      <c r="S256" s="22"/>
      <c r="T256" s="23"/>
      <c r="V256" s="37" t="str">
        <f t="shared" si="42"/>
        <v/>
      </c>
      <c r="W256" s="46" t="str">
        <f t="shared" si="43"/>
        <v/>
      </c>
      <c r="X256" s="45" t="str">
        <f t="shared" si="44"/>
        <v/>
      </c>
      <c r="Y256" s="47" t="str">
        <f t="shared" si="45"/>
        <v/>
      </c>
      <c r="Z256" s="38" t="str">
        <f t="shared" si="46"/>
        <v/>
      </c>
      <c r="AA256" s="39" t="str">
        <f t="shared" si="47"/>
        <v/>
      </c>
      <c r="AB256" s="39" t="str">
        <f t="shared" si="48"/>
        <v/>
      </c>
      <c r="AC256" s="32"/>
      <c r="AD256" s="32"/>
      <c r="AE256" s="1"/>
      <c r="AF256" s="1"/>
    </row>
    <row r="257" spans="1:32" x14ac:dyDescent="0.2">
      <c r="A257" s="11"/>
      <c r="B257" s="12"/>
      <c r="C257" s="12"/>
      <c r="D257" s="12"/>
      <c r="E257" s="12"/>
      <c r="F257" s="13"/>
      <c r="G257" s="30"/>
      <c r="H257" s="15"/>
      <c r="I257" s="16"/>
      <c r="J257" s="16"/>
      <c r="K257" s="17"/>
      <c r="L257" s="31"/>
      <c r="M257" s="19"/>
      <c r="N257" s="20"/>
      <c r="O257" s="20"/>
      <c r="P257" s="20"/>
      <c r="Q257" s="20"/>
      <c r="R257" s="20"/>
      <c r="S257" s="22"/>
      <c r="T257" s="23"/>
      <c r="V257" s="37" t="str">
        <f t="shared" si="42"/>
        <v/>
      </c>
      <c r="W257" s="46" t="str">
        <f t="shared" si="43"/>
        <v/>
      </c>
      <c r="X257" s="45" t="str">
        <f t="shared" si="44"/>
        <v/>
      </c>
      <c r="Y257" s="47" t="str">
        <f t="shared" si="45"/>
        <v/>
      </c>
      <c r="Z257" s="38" t="str">
        <f t="shared" si="46"/>
        <v/>
      </c>
      <c r="AA257" s="39" t="str">
        <f t="shared" si="47"/>
        <v/>
      </c>
      <c r="AB257" s="39" t="str">
        <f t="shared" si="48"/>
        <v/>
      </c>
      <c r="AC257" s="32"/>
      <c r="AD257" s="32"/>
      <c r="AE257" s="1"/>
      <c r="AF257" s="1"/>
    </row>
    <row r="258" spans="1:32" x14ac:dyDescent="0.2">
      <c r="A258" s="11"/>
      <c r="B258" s="12"/>
      <c r="C258" s="12"/>
      <c r="D258" s="12"/>
      <c r="E258" s="12"/>
      <c r="F258" s="13"/>
      <c r="G258" s="30"/>
      <c r="H258" s="15"/>
      <c r="I258" s="16"/>
      <c r="J258" s="16"/>
      <c r="K258" s="17"/>
      <c r="L258" s="31"/>
      <c r="M258" s="19"/>
      <c r="N258" s="20"/>
      <c r="O258" s="20"/>
      <c r="P258" s="20"/>
      <c r="Q258" s="20"/>
      <c r="R258" s="20"/>
      <c r="S258" s="22"/>
      <c r="T258" s="23"/>
      <c r="V258" s="37" t="str">
        <f t="shared" si="42"/>
        <v/>
      </c>
      <c r="W258" s="46" t="str">
        <f t="shared" si="43"/>
        <v/>
      </c>
      <c r="X258" s="45" t="str">
        <f t="shared" si="44"/>
        <v/>
      </c>
      <c r="Y258" s="47" t="str">
        <f t="shared" si="45"/>
        <v/>
      </c>
      <c r="Z258" s="38" t="str">
        <f t="shared" si="46"/>
        <v/>
      </c>
      <c r="AA258" s="39" t="str">
        <f t="shared" si="47"/>
        <v/>
      </c>
      <c r="AB258" s="39" t="str">
        <f t="shared" si="48"/>
        <v/>
      </c>
      <c r="AC258" s="32"/>
      <c r="AD258" s="32"/>
      <c r="AE258" s="1"/>
      <c r="AF258" s="1"/>
    </row>
    <row r="259" spans="1:32" x14ac:dyDescent="0.2">
      <c r="A259" s="11"/>
      <c r="B259" s="12"/>
      <c r="C259" s="12"/>
      <c r="D259" s="12"/>
      <c r="E259" s="12"/>
      <c r="F259" s="13"/>
      <c r="G259" s="30"/>
      <c r="H259" s="15"/>
      <c r="I259" s="16"/>
      <c r="J259" s="16"/>
      <c r="K259" s="17"/>
      <c r="L259" s="31"/>
      <c r="M259" s="19"/>
      <c r="N259" s="20"/>
      <c r="O259" s="20"/>
      <c r="P259" s="20"/>
      <c r="Q259" s="20"/>
      <c r="R259" s="20"/>
      <c r="S259" s="22"/>
      <c r="T259" s="23"/>
      <c r="V259" s="37" t="str">
        <f t="shared" si="42"/>
        <v/>
      </c>
      <c r="W259" s="46" t="str">
        <f t="shared" si="43"/>
        <v/>
      </c>
      <c r="X259" s="45" t="str">
        <f t="shared" si="44"/>
        <v/>
      </c>
      <c r="Y259" s="47" t="str">
        <f t="shared" si="45"/>
        <v/>
      </c>
      <c r="Z259" s="38" t="str">
        <f t="shared" si="46"/>
        <v/>
      </c>
      <c r="AA259" s="39" t="str">
        <f t="shared" si="47"/>
        <v/>
      </c>
      <c r="AB259" s="39" t="str">
        <f t="shared" si="48"/>
        <v/>
      </c>
      <c r="AC259" s="32"/>
      <c r="AD259" s="32"/>
      <c r="AE259" s="1"/>
      <c r="AF259" s="1"/>
    </row>
    <row r="260" spans="1:32" x14ac:dyDescent="0.2">
      <c r="A260" s="11"/>
      <c r="B260" s="12"/>
      <c r="C260" s="12"/>
      <c r="D260" s="12"/>
      <c r="E260" s="12"/>
      <c r="F260" s="13"/>
      <c r="G260" s="30"/>
      <c r="H260" s="15"/>
      <c r="I260" s="16"/>
      <c r="J260" s="16"/>
      <c r="K260" s="17"/>
      <c r="L260" s="31"/>
      <c r="M260" s="19"/>
      <c r="N260" s="20"/>
      <c r="O260" s="20"/>
      <c r="P260" s="20"/>
      <c r="Q260" s="20"/>
      <c r="R260" s="20"/>
      <c r="S260" s="22"/>
      <c r="T260" s="23"/>
      <c r="V260" s="37" t="str">
        <f t="shared" si="42"/>
        <v/>
      </c>
      <c r="W260" s="46" t="str">
        <f t="shared" si="43"/>
        <v/>
      </c>
      <c r="X260" s="45" t="str">
        <f t="shared" si="44"/>
        <v/>
      </c>
      <c r="Y260" s="47" t="str">
        <f t="shared" si="45"/>
        <v/>
      </c>
      <c r="Z260" s="38" t="str">
        <f t="shared" si="46"/>
        <v/>
      </c>
      <c r="AA260" s="39" t="str">
        <f t="shared" si="47"/>
        <v/>
      </c>
      <c r="AB260" s="39" t="str">
        <f t="shared" si="48"/>
        <v/>
      </c>
      <c r="AC260" s="32"/>
      <c r="AD260" s="32"/>
      <c r="AE260" s="1"/>
      <c r="AF260" s="1"/>
    </row>
    <row r="261" spans="1:32" x14ac:dyDescent="0.2">
      <c r="A261" s="11"/>
      <c r="B261" s="12"/>
      <c r="C261" s="12"/>
      <c r="D261" s="12"/>
      <c r="E261" s="12"/>
      <c r="F261" s="13"/>
      <c r="G261" s="30"/>
      <c r="H261" s="15"/>
      <c r="I261" s="16"/>
      <c r="J261" s="16"/>
      <c r="K261" s="17"/>
      <c r="L261" s="31"/>
      <c r="M261" s="19"/>
      <c r="N261" s="20"/>
      <c r="O261" s="20"/>
      <c r="P261" s="20"/>
      <c r="Q261" s="20"/>
      <c r="R261" s="20"/>
      <c r="S261" s="22"/>
      <c r="T261" s="23"/>
      <c r="V261" s="37" t="str">
        <f t="shared" si="42"/>
        <v/>
      </c>
      <c r="W261" s="46" t="str">
        <f t="shared" si="43"/>
        <v/>
      </c>
      <c r="X261" s="45" t="str">
        <f t="shared" si="44"/>
        <v/>
      </c>
      <c r="Y261" s="47" t="str">
        <f t="shared" si="45"/>
        <v/>
      </c>
      <c r="Z261" s="38" t="str">
        <f t="shared" si="46"/>
        <v/>
      </c>
      <c r="AA261" s="39" t="str">
        <f t="shared" si="47"/>
        <v/>
      </c>
      <c r="AB261" s="39" t="str">
        <f t="shared" si="48"/>
        <v/>
      </c>
      <c r="AC261" s="32"/>
      <c r="AD261" s="32"/>
      <c r="AE261" s="1"/>
      <c r="AF261" s="1"/>
    </row>
    <row r="262" spans="1:32" x14ac:dyDescent="0.2">
      <c r="A262" s="11"/>
      <c r="B262" s="12"/>
      <c r="C262" s="12"/>
      <c r="D262" s="12"/>
      <c r="E262" s="12"/>
      <c r="F262" s="13"/>
      <c r="G262" s="30"/>
      <c r="H262" s="15"/>
      <c r="I262" s="16"/>
      <c r="J262" s="16"/>
      <c r="K262" s="17"/>
      <c r="L262" s="31"/>
      <c r="M262" s="19"/>
      <c r="N262" s="20"/>
      <c r="O262" s="20"/>
      <c r="P262" s="20"/>
      <c r="Q262" s="20"/>
      <c r="R262" s="20"/>
      <c r="S262" s="22"/>
      <c r="T262" s="23"/>
      <c r="V262" s="37" t="str">
        <f t="shared" si="42"/>
        <v/>
      </c>
      <c r="W262" s="46" t="str">
        <f t="shared" si="43"/>
        <v/>
      </c>
      <c r="X262" s="45" t="str">
        <f t="shared" si="44"/>
        <v/>
      </c>
      <c r="Y262" s="47" t="str">
        <f t="shared" si="45"/>
        <v/>
      </c>
      <c r="Z262" s="38" t="str">
        <f t="shared" si="46"/>
        <v/>
      </c>
      <c r="AA262" s="39" t="str">
        <f t="shared" si="47"/>
        <v/>
      </c>
      <c r="AB262" s="39" t="str">
        <f t="shared" si="48"/>
        <v/>
      </c>
      <c r="AC262" s="32"/>
      <c r="AD262" s="32"/>
      <c r="AE262" s="1"/>
      <c r="AF262" s="1"/>
    </row>
    <row r="263" spans="1:32" x14ac:dyDescent="0.2">
      <c r="A263" s="11"/>
      <c r="B263" s="12"/>
      <c r="C263" s="12"/>
      <c r="D263" s="12"/>
      <c r="E263" s="12"/>
      <c r="F263" s="13"/>
      <c r="G263" s="30"/>
      <c r="H263" s="15"/>
      <c r="I263" s="16"/>
      <c r="J263" s="16"/>
      <c r="K263" s="17"/>
      <c r="L263" s="31"/>
      <c r="M263" s="19"/>
      <c r="N263" s="20"/>
      <c r="O263" s="20"/>
      <c r="P263" s="20"/>
      <c r="Q263" s="20"/>
      <c r="R263" s="20"/>
      <c r="S263" s="22"/>
      <c r="T263" s="23"/>
      <c r="V263" s="37" t="str">
        <f t="shared" si="42"/>
        <v/>
      </c>
      <c r="W263" s="46" t="str">
        <f t="shared" si="43"/>
        <v/>
      </c>
      <c r="X263" s="45" t="str">
        <f t="shared" si="44"/>
        <v/>
      </c>
      <c r="Y263" s="47" t="str">
        <f t="shared" si="45"/>
        <v/>
      </c>
      <c r="Z263" s="38" t="str">
        <f t="shared" si="46"/>
        <v/>
      </c>
      <c r="AA263" s="39" t="str">
        <f t="shared" si="47"/>
        <v/>
      </c>
      <c r="AB263" s="39" t="str">
        <f t="shared" si="48"/>
        <v/>
      </c>
      <c r="AC263" s="32"/>
      <c r="AD263" s="32"/>
      <c r="AE263" s="1"/>
      <c r="AF263" s="1"/>
    </row>
    <row r="264" spans="1:32" x14ac:dyDescent="0.2">
      <c r="A264" s="11"/>
      <c r="B264" s="12"/>
      <c r="C264" s="12"/>
      <c r="D264" s="12"/>
      <c r="E264" s="12"/>
      <c r="F264" s="13"/>
      <c r="G264" s="30"/>
      <c r="H264" s="15"/>
      <c r="I264" s="16"/>
      <c r="J264" s="16"/>
      <c r="K264" s="17"/>
      <c r="L264" s="31"/>
      <c r="M264" s="19"/>
      <c r="N264" s="20"/>
      <c r="O264" s="20"/>
      <c r="P264" s="20"/>
      <c r="Q264" s="20"/>
      <c r="R264" s="20"/>
      <c r="S264" s="22"/>
      <c r="T264" s="23"/>
      <c r="V264" s="37" t="str">
        <f t="shared" si="42"/>
        <v/>
      </c>
      <c r="W264" s="46" t="str">
        <f t="shared" si="43"/>
        <v/>
      </c>
      <c r="X264" s="45" t="str">
        <f t="shared" si="44"/>
        <v/>
      </c>
      <c r="Y264" s="47" t="str">
        <f t="shared" si="45"/>
        <v/>
      </c>
      <c r="Z264" s="38" t="str">
        <f t="shared" si="46"/>
        <v/>
      </c>
      <c r="AA264" s="39" t="str">
        <f t="shared" si="47"/>
        <v/>
      </c>
      <c r="AB264" s="39" t="str">
        <f t="shared" si="48"/>
        <v/>
      </c>
      <c r="AC264" s="32"/>
      <c r="AD264" s="32"/>
      <c r="AE264" s="1"/>
      <c r="AF264" s="1"/>
    </row>
    <row r="265" spans="1:32" x14ac:dyDescent="0.2">
      <c r="A265" s="11"/>
      <c r="B265" s="12"/>
      <c r="C265" s="12"/>
      <c r="D265" s="12"/>
      <c r="E265" s="12"/>
      <c r="F265" s="13"/>
      <c r="G265" s="30"/>
      <c r="H265" s="15"/>
      <c r="I265" s="16"/>
      <c r="J265" s="16"/>
      <c r="K265" s="17"/>
      <c r="L265" s="31"/>
      <c r="M265" s="19"/>
      <c r="N265" s="20"/>
      <c r="O265" s="20"/>
      <c r="P265" s="20"/>
      <c r="Q265" s="20"/>
      <c r="R265" s="20"/>
      <c r="S265" s="22"/>
      <c r="T265" s="23"/>
      <c r="V265" s="37" t="str">
        <f t="shared" si="42"/>
        <v/>
      </c>
      <c r="W265" s="46" t="str">
        <f t="shared" si="43"/>
        <v/>
      </c>
      <c r="X265" s="45" t="str">
        <f t="shared" si="44"/>
        <v/>
      </c>
      <c r="Y265" s="47" t="str">
        <f t="shared" si="45"/>
        <v/>
      </c>
      <c r="Z265" s="38" t="str">
        <f t="shared" si="46"/>
        <v/>
      </c>
      <c r="AA265" s="39" t="str">
        <f t="shared" si="47"/>
        <v/>
      </c>
      <c r="AB265" s="39" t="str">
        <f t="shared" si="48"/>
        <v/>
      </c>
      <c r="AC265" s="32"/>
      <c r="AD265" s="32"/>
      <c r="AE265" s="1"/>
      <c r="AF265" s="1"/>
    </row>
    <row r="266" spans="1:32" x14ac:dyDescent="0.2">
      <c r="A266" s="11"/>
      <c r="B266" s="12"/>
      <c r="C266" s="12"/>
      <c r="D266" s="12"/>
      <c r="E266" s="12"/>
      <c r="F266" s="13"/>
      <c r="G266" s="30"/>
      <c r="H266" s="15"/>
      <c r="I266" s="16"/>
      <c r="J266" s="16"/>
      <c r="K266" s="17"/>
      <c r="L266" s="31"/>
      <c r="M266" s="19"/>
      <c r="N266" s="20"/>
      <c r="O266" s="20"/>
      <c r="P266" s="20"/>
      <c r="Q266" s="20"/>
      <c r="R266" s="20"/>
      <c r="S266" s="22"/>
      <c r="T266" s="23"/>
      <c r="V266" s="37" t="str">
        <f t="shared" si="42"/>
        <v/>
      </c>
      <c r="W266" s="46" t="str">
        <f t="shared" si="43"/>
        <v/>
      </c>
      <c r="X266" s="45" t="str">
        <f t="shared" si="44"/>
        <v/>
      </c>
      <c r="Y266" s="47" t="str">
        <f t="shared" si="45"/>
        <v/>
      </c>
      <c r="Z266" s="38" t="str">
        <f t="shared" si="46"/>
        <v/>
      </c>
      <c r="AA266" s="39" t="str">
        <f t="shared" si="47"/>
        <v/>
      </c>
      <c r="AB266" s="39" t="str">
        <f t="shared" si="48"/>
        <v/>
      </c>
      <c r="AC266" s="32"/>
      <c r="AD266" s="32"/>
      <c r="AE266" s="1"/>
      <c r="AF266" s="1"/>
    </row>
    <row r="267" spans="1:32" x14ac:dyDescent="0.2">
      <c r="A267" s="11"/>
      <c r="B267" s="12"/>
      <c r="C267" s="12"/>
      <c r="D267" s="12"/>
      <c r="E267" s="12"/>
      <c r="F267" s="13"/>
      <c r="G267" s="30"/>
      <c r="H267" s="15"/>
      <c r="I267" s="16"/>
      <c r="J267" s="16"/>
      <c r="K267" s="17"/>
      <c r="L267" s="31"/>
      <c r="M267" s="19"/>
      <c r="N267" s="20"/>
      <c r="O267" s="20"/>
      <c r="P267" s="20"/>
      <c r="Q267" s="20"/>
      <c r="R267" s="20"/>
      <c r="S267" s="22"/>
      <c r="T267" s="23"/>
      <c r="V267" s="37" t="str">
        <f t="shared" si="42"/>
        <v/>
      </c>
      <c r="W267" s="46" t="str">
        <f t="shared" si="43"/>
        <v/>
      </c>
      <c r="X267" s="45" t="str">
        <f t="shared" si="44"/>
        <v/>
      </c>
      <c r="Y267" s="47" t="str">
        <f t="shared" si="45"/>
        <v/>
      </c>
      <c r="Z267" s="38" t="str">
        <f t="shared" si="46"/>
        <v/>
      </c>
      <c r="AA267" s="39" t="str">
        <f t="shared" si="47"/>
        <v/>
      </c>
      <c r="AB267" s="39" t="str">
        <f t="shared" si="48"/>
        <v/>
      </c>
      <c r="AC267" s="32"/>
      <c r="AD267" s="32"/>
      <c r="AE267" s="1"/>
      <c r="AF267" s="1"/>
    </row>
    <row r="268" spans="1:32" x14ac:dyDescent="0.2">
      <c r="A268" s="11"/>
      <c r="B268" s="12"/>
      <c r="C268" s="12"/>
      <c r="D268" s="12"/>
      <c r="E268" s="12"/>
      <c r="F268" s="13"/>
      <c r="G268" s="30"/>
      <c r="H268" s="15"/>
      <c r="I268" s="16"/>
      <c r="J268" s="16"/>
      <c r="K268" s="17"/>
      <c r="L268" s="31"/>
      <c r="M268" s="19"/>
      <c r="N268" s="20"/>
      <c r="O268" s="20"/>
      <c r="P268" s="20"/>
      <c r="Q268" s="20"/>
      <c r="R268" s="20"/>
      <c r="S268" s="22"/>
      <c r="T268" s="23"/>
      <c r="V268" s="37" t="str">
        <f t="shared" si="42"/>
        <v/>
      </c>
      <c r="W268" s="46" t="str">
        <f t="shared" si="43"/>
        <v/>
      </c>
      <c r="X268" s="45" t="str">
        <f t="shared" si="44"/>
        <v/>
      </c>
      <c r="Y268" s="47" t="str">
        <f t="shared" si="45"/>
        <v/>
      </c>
      <c r="Z268" s="38" t="str">
        <f t="shared" si="46"/>
        <v/>
      </c>
      <c r="AA268" s="39" t="str">
        <f t="shared" si="47"/>
        <v/>
      </c>
      <c r="AB268" s="39" t="str">
        <f t="shared" si="48"/>
        <v/>
      </c>
      <c r="AC268" s="32"/>
      <c r="AD268" s="32"/>
      <c r="AE268" s="1"/>
      <c r="AF268" s="1"/>
    </row>
    <row r="269" spans="1:32" x14ac:dyDescent="0.2">
      <c r="A269" s="11"/>
      <c r="B269" s="12"/>
      <c r="C269" s="12"/>
      <c r="D269" s="12"/>
      <c r="E269" s="12"/>
      <c r="F269" s="13"/>
      <c r="G269" s="30"/>
      <c r="H269" s="15"/>
      <c r="I269" s="16"/>
      <c r="J269" s="16"/>
      <c r="K269" s="17"/>
      <c r="L269" s="31"/>
      <c r="M269" s="19"/>
      <c r="N269" s="20"/>
      <c r="O269" s="20"/>
      <c r="P269" s="20"/>
      <c r="Q269" s="20"/>
      <c r="R269" s="20"/>
      <c r="S269" s="22"/>
      <c r="T269" s="23"/>
      <c r="V269" s="37" t="str">
        <f t="shared" si="42"/>
        <v/>
      </c>
      <c r="W269" s="46" t="str">
        <f t="shared" si="43"/>
        <v/>
      </c>
      <c r="X269" s="45" t="str">
        <f t="shared" si="44"/>
        <v/>
      </c>
      <c r="Y269" s="47" t="str">
        <f t="shared" si="45"/>
        <v/>
      </c>
      <c r="Z269" s="38" t="str">
        <f t="shared" si="46"/>
        <v/>
      </c>
      <c r="AA269" s="39" t="str">
        <f t="shared" si="47"/>
        <v/>
      </c>
      <c r="AB269" s="39" t="str">
        <f t="shared" si="48"/>
        <v/>
      </c>
      <c r="AC269" s="32"/>
      <c r="AD269" s="32"/>
      <c r="AE269" s="1"/>
      <c r="AF269" s="1"/>
    </row>
    <row r="270" spans="1:32" x14ac:dyDescent="0.2">
      <c r="A270" s="11"/>
      <c r="B270" s="12"/>
      <c r="C270" s="12"/>
      <c r="D270" s="12"/>
      <c r="E270" s="12"/>
      <c r="F270" s="13"/>
      <c r="G270" s="30"/>
      <c r="H270" s="15"/>
      <c r="I270" s="16"/>
      <c r="J270" s="16"/>
      <c r="K270" s="17"/>
      <c r="L270" s="31"/>
      <c r="M270" s="19"/>
      <c r="N270" s="20"/>
      <c r="O270" s="20"/>
      <c r="P270" s="20"/>
      <c r="Q270" s="20"/>
      <c r="R270" s="20"/>
      <c r="S270" s="22"/>
      <c r="T270" s="23"/>
      <c r="V270" s="37" t="str">
        <f t="shared" si="42"/>
        <v/>
      </c>
      <c r="W270" s="46" t="str">
        <f t="shared" si="43"/>
        <v/>
      </c>
      <c r="X270" s="45" t="str">
        <f t="shared" si="44"/>
        <v/>
      </c>
      <c r="Y270" s="47" t="str">
        <f t="shared" si="45"/>
        <v/>
      </c>
      <c r="Z270" s="38" t="str">
        <f t="shared" si="46"/>
        <v/>
      </c>
      <c r="AA270" s="39" t="str">
        <f t="shared" si="47"/>
        <v/>
      </c>
      <c r="AB270" s="39" t="str">
        <f t="shared" si="48"/>
        <v/>
      </c>
      <c r="AC270" s="32"/>
      <c r="AD270" s="32"/>
      <c r="AE270" s="1"/>
      <c r="AF270" s="1"/>
    </row>
    <row r="271" spans="1:32" x14ac:dyDescent="0.2">
      <c r="A271" s="11"/>
      <c r="B271" s="12"/>
      <c r="C271" s="12"/>
      <c r="D271" s="12"/>
      <c r="E271" s="12"/>
      <c r="F271" s="13"/>
      <c r="G271" s="30"/>
      <c r="H271" s="15"/>
      <c r="I271" s="16"/>
      <c r="J271" s="16"/>
      <c r="K271" s="17"/>
      <c r="L271" s="31"/>
      <c r="M271" s="19"/>
      <c r="N271" s="20"/>
      <c r="O271" s="20"/>
      <c r="P271" s="20"/>
      <c r="Q271" s="20"/>
      <c r="R271" s="20"/>
      <c r="S271" s="22"/>
      <c r="T271" s="23"/>
      <c r="V271" s="37" t="str">
        <f t="shared" si="42"/>
        <v/>
      </c>
      <c r="W271" s="46" t="str">
        <f t="shared" si="43"/>
        <v/>
      </c>
      <c r="X271" s="45" t="str">
        <f t="shared" si="44"/>
        <v/>
      </c>
      <c r="Y271" s="47" t="str">
        <f t="shared" si="45"/>
        <v/>
      </c>
      <c r="Z271" s="38" t="str">
        <f t="shared" si="46"/>
        <v/>
      </c>
      <c r="AA271" s="39" t="str">
        <f t="shared" si="47"/>
        <v/>
      </c>
      <c r="AB271" s="39" t="str">
        <f t="shared" si="48"/>
        <v/>
      </c>
      <c r="AC271" s="32"/>
      <c r="AD271" s="32"/>
      <c r="AE271" s="1"/>
      <c r="AF271" s="1"/>
    </row>
    <row r="272" spans="1:32" x14ac:dyDescent="0.2">
      <c r="A272" s="11"/>
      <c r="B272" s="12"/>
      <c r="C272" s="12"/>
      <c r="D272" s="12"/>
      <c r="E272" s="12"/>
      <c r="F272" s="13"/>
      <c r="G272" s="30"/>
      <c r="H272" s="15"/>
      <c r="I272" s="16"/>
      <c r="J272" s="16"/>
      <c r="K272" s="17"/>
      <c r="L272" s="31"/>
      <c r="M272" s="19"/>
      <c r="N272" s="20"/>
      <c r="O272" s="20"/>
      <c r="P272" s="20"/>
      <c r="Q272" s="20"/>
      <c r="R272" s="20"/>
      <c r="S272" s="22"/>
      <c r="T272" s="23"/>
      <c r="V272" s="37" t="str">
        <f t="shared" si="42"/>
        <v/>
      </c>
      <c r="W272" s="46" t="str">
        <f t="shared" si="43"/>
        <v/>
      </c>
      <c r="X272" s="45" t="str">
        <f t="shared" si="44"/>
        <v/>
      </c>
      <c r="Y272" s="47" t="str">
        <f t="shared" si="45"/>
        <v/>
      </c>
      <c r="Z272" s="38" t="str">
        <f t="shared" si="46"/>
        <v/>
      </c>
      <c r="AA272" s="39" t="str">
        <f t="shared" si="47"/>
        <v/>
      </c>
      <c r="AB272" s="39" t="str">
        <f t="shared" si="48"/>
        <v/>
      </c>
      <c r="AC272" s="32"/>
      <c r="AD272" s="32"/>
      <c r="AE272" s="1"/>
      <c r="AF272" s="1"/>
    </row>
    <row r="273" spans="1:32" x14ac:dyDescent="0.2">
      <c r="A273" s="11"/>
      <c r="B273" s="12"/>
      <c r="C273" s="12"/>
      <c r="D273" s="12"/>
      <c r="E273" s="12"/>
      <c r="F273" s="13"/>
      <c r="G273" s="30"/>
      <c r="H273" s="15"/>
      <c r="I273" s="16"/>
      <c r="J273" s="16"/>
      <c r="K273" s="17"/>
      <c r="L273" s="31"/>
      <c r="M273" s="19"/>
      <c r="N273" s="20"/>
      <c r="O273" s="20"/>
      <c r="P273" s="20"/>
      <c r="Q273" s="20"/>
      <c r="R273" s="20"/>
      <c r="S273" s="22"/>
      <c r="T273" s="23"/>
      <c r="V273" s="37" t="str">
        <f t="shared" si="42"/>
        <v/>
      </c>
      <c r="W273" s="46" t="str">
        <f t="shared" si="43"/>
        <v/>
      </c>
      <c r="X273" s="45" t="str">
        <f t="shared" si="44"/>
        <v/>
      </c>
      <c r="Y273" s="47" t="str">
        <f t="shared" si="45"/>
        <v/>
      </c>
      <c r="Z273" s="38" t="str">
        <f t="shared" si="46"/>
        <v/>
      </c>
      <c r="AA273" s="39" t="str">
        <f t="shared" si="47"/>
        <v/>
      </c>
      <c r="AB273" s="39" t="str">
        <f t="shared" si="48"/>
        <v/>
      </c>
      <c r="AC273" s="32"/>
      <c r="AD273" s="32"/>
      <c r="AE273" s="1"/>
      <c r="AF273" s="1"/>
    </row>
    <row r="274" spans="1:32" x14ac:dyDescent="0.2">
      <c r="A274" s="11"/>
      <c r="B274" s="12"/>
      <c r="C274" s="12"/>
      <c r="D274" s="12"/>
      <c r="E274" s="12"/>
      <c r="F274" s="13"/>
      <c r="G274" s="30"/>
      <c r="H274" s="15"/>
      <c r="I274" s="16"/>
      <c r="J274" s="16"/>
      <c r="K274" s="17"/>
      <c r="L274" s="31"/>
      <c r="M274" s="19"/>
      <c r="N274" s="20"/>
      <c r="O274" s="20"/>
      <c r="P274" s="20"/>
      <c r="Q274" s="20"/>
      <c r="R274" s="20"/>
      <c r="S274" s="22"/>
      <c r="T274" s="23"/>
      <c r="V274" s="37" t="str">
        <f t="shared" si="42"/>
        <v/>
      </c>
      <c r="W274" s="46" t="str">
        <f t="shared" si="43"/>
        <v/>
      </c>
      <c r="X274" s="45" t="str">
        <f t="shared" si="44"/>
        <v/>
      </c>
      <c r="Y274" s="47" t="str">
        <f t="shared" si="45"/>
        <v/>
      </c>
      <c r="Z274" s="38" t="str">
        <f t="shared" si="46"/>
        <v/>
      </c>
      <c r="AA274" s="39" t="str">
        <f t="shared" si="47"/>
        <v/>
      </c>
      <c r="AB274" s="39" t="str">
        <f t="shared" si="48"/>
        <v/>
      </c>
      <c r="AC274" s="32"/>
      <c r="AD274" s="32"/>
      <c r="AE274" s="1"/>
      <c r="AF274" s="1"/>
    </row>
    <row r="275" spans="1:32" x14ac:dyDescent="0.2">
      <c r="A275" s="11"/>
      <c r="B275" s="12"/>
      <c r="C275" s="12"/>
      <c r="D275" s="12"/>
      <c r="E275" s="12"/>
      <c r="F275" s="13"/>
      <c r="G275" s="30"/>
      <c r="H275" s="15"/>
      <c r="I275" s="16"/>
      <c r="J275" s="16"/>
      <c r="K275" s="17"/>
      <c r="L275" s="31"/>
      <c r="M275" s="19"/>
      <c r="N275" s="20"/>
      <c r="O275" s="20"/>
      <c r="P275" s="20"/>
      <c r="Q275" s="20"/>
      <c r="R275" s="20"/>
      <c r="S275" s="22"/>
      <c r="T275" s="23"/>
      <c r="V275" s="37" t="str">
        <f t="shared" si="42"/>
        <v/>
      </c>
      <c r="W275" s="46" t="str">
        <f t="shared" si="43"/>
        <v/>
      </c>
      <c r="X275" s="45" t="str">
        <f t="shared" si="44"/>
        <v/>
      </c>
      <c r="Y275" s="47" t="str">
        <f t="shared" si="45"/>
        <v/>
      </c>
      <c r="Z275" s="38" t="str">
        <f t="shared" si="46"/>
        <v/>
      </c>
      <c r="AA275" s="39" t="str">
        <f t="shared" si="47"/>
        <v/>
      </c>
      <c r="AB275" s="39" t="str">
        <f t="shared" si="48"/>
        <v/>
      </c>
      <c r="AC275" s="32"/>
      <c r="AD275" s="32"/>
      <c r="AE275" s="1"/>
      <c r="AF275" s="1"/>
    </row>
    <row r="276" spans="1:32" x14ac:dyDescent="0.2">
      <c r="A276" s="11"/>
      <c r="B276" s="12"/>
      <c r="C276" s="12"/>
      <c r="D276" s="12"/>
      <c r="E276" s="12"/>
      <c r="F276" s="13"/>
      <c r="G276" s="30"/>
      <c r="H276" s="15"/>
      <c r="I276" s="16"/>
      <c r="J276" s="16"/>
      <c r="K276" s="17"/>
      <c r="L276" s="31"/>
      <c r="M276" s="19"/>
      <c r="N276" s="20"/>
      <c r="O276" s="20"/>
      <c r="P276" s="20"/>
      <c r="Q276" s="20"/>
      <c r="R276" s="20"/>
      <c r="S276" s="22"/>
      <c r="T276" s="23"/>
      <c r="V276" s="37" t="str">
        <f t="shared" si="42"/>
        <v/>
      </c>
      <c r="W276" s="46" t="str">
        <f t="shared" si="43"/>
        <v/>
      </c>
      <c r="X276" s="45" t="str">
        <f t="shared" si="44"/>
        <v/>
      </c>
      <c r="Y276" s="47" t="str">
        <f t="shared" si="45"/>
        <v/>
      </c>
      <c r="Z276" s="38" t="str">
        <f t="shared" si="46"/>
        <v/>
      </c>
      <c r="AA276" s="39" t="str">
        <f t="shared" si="47"/>
        <v/>
      </c>
      <c r="AB276" s="39" t="str">
        <f t="shared" si="48"/>
        <v/>
      </c>
      <c r="AC276" s="32"/>
      <c r="AD276" s="32"/>
      <c r="AE276" s="1"/>
      <c r="AF276" s="1"/>
    </row>
    <row r="277" spans="1:32" x14ac:dyDescent="0.2">
      <c r="A277" s="11"/>
      <c r="B277" s="12"/>
      <c r="C277" s="12"/>
      <c r="D277" s="12"/>
      <c r="E277" s="12"/>
      <c r="F277" s="13"/>
      <c r="G277" s="30"/>
      <c r="H277" s="15"/>
      <c r="I277" s="16"/>
      <c r="J277" s="16"/>
      <c r="K277" s="17"/>
      <c r="L277" s="31"/>
      <c r="M277" s="19"/>
      <c r="N277" s="20"/>
      <c r="O277" s="20"/>
      <c r="P277" s="20"/>
      <c r="Q277" s="20"/>
      <c r="R277" s="20"/>
      <c r="S277" s="22"/>
      <c r="T277" s="23"/>
      <c r="V277" s="37" t="str">
        <f t="shared" si="42"/>
        <v/>
      </c>
      <c r="W277" s="46" t="str">
        <f t="shared" si="43"/>
        <v/>
      </c>
      <c r="X277" s="45" t="str">
        <f t="shared" si="44"/>
        <v/>
      </c>
      <c r="Y277" s="47" t="str">
        <f t="shared" si="45"/>
        <v/>
      </c>
      <c r="Z277" s="38" t="str">
        <f t="shared" si="46"/>
        <v/>
      </c>
      <c r="AA277" s="39" t="str">
        <f t="shared" si="47"/>
        <v/>
      </c>
      <c r="AB277" s="39" t="str">
        <f t="shared" si="48"/>
        <v/>
      </c>
      <c r="AC277" s="32"/>
      <c r="AD277" s="32"/>
      <c r="AE277" s="1"/>
      <c r="AF277" s="1"/>
    </row>
    <row r="278" spans="1:32" x14ac:dyDescent="0.2">
      <c r="A278" s="11"/>
      <c r="B278" s="12"/>
      <c r="C278" s="12"/>
      <c r="D278" s="12"/>
      <c r="E278" s="12"/>
      <c r="F278" s="13"/>
      <c r="G278" s="30"/>
      <c r="H278" s="15"/>
      <c r="I278" s="16"/>
      <c r="J278" s="16"/>
      <c r="K278" s="17"/>
      <c r="L278" s="31"/>
      <c r="M278" s="19"/>
      <c r="N278" s="20"/>
      <c r="O278" s="20"/>
      <c r="P278" s="20"/>
      <c r="Q278" s="20"/>
      <c r="R278" s="20"/>
      <c r="S278" s="22"/>
      <c r="T278" s="23"/>
      <c r="V278" s="37" t="str">
        <f t="shared" ref="V278:V292" si="49">IF(RIGHT(C278, 1)="1",
    IF(O278&lt;&gt;"", 500*O278 + T278 + IF(R278&lt;=110, R278, 0), IF(P278&lt;&gt;"", 305*P278 + T278 + IF(R278&lt;=110, R278, 0), "")),
    IF(O278&lt;&gt;"", 500*O278 + T278, IF(P278&lt;&gt;"", 305*P278 + T278, ""))
)</f>
        <v/>
      </c>
      <c r="W278" s="46" t="str">
        <f t="shared" ref="W278:W292" si="50">IF(OR(ISBLANK(V278), ISBLANK(S278), NOT(ISNUMBER(V278)), NOT(ISNUMBER(S278))), "", V278-S278)</f>
        <v/>
      </c>
      <c r="X278" s="45" t="str">
        <f t="shared" ref="X278:X292" si="51">IF(OR(ISBLANK(V278), ISBLANK(K278), NOT(ISNUMBER(V278)), NOT(ISNUMBER(K278))), "", V278-K278)</f>
        <v/>
      </c>
      <c r="Y278" s="47" t="str">
        <f t="shared" ref="Y278:Y292" si="52">IF(OR(ISBLANK(V278), ISBLANK(F278), NOT(ISNUMBER(V278)), NOT(ISNUMBER(F278))), "", V278-F278)</f>
        <v/>
      </c>
      <c r="Z278" s="38" t="str">
        <f t="shared" ref="Z278:Z292" si="53">IF(OR(ISBLANK(F278), ISBLANK(K278)), "",K278-F278)</f>
        <v/>
      </c>
      <c r="AA278" s="39" t="str">
        <f t="shared" ref="AA278:AA292" si="54">IF(OR(ISBLANK(K278), ISBLANK(S278)), "",S278-K278)</f>
        <v/>
      </c>
      <c r="AB278" s="39" t="str">
        <f t="shared" ref="AB278:AB292" si="55">IF(OR(ISBLANK(F278), ISBLANK(S278)), "",S278-F278)</f>
        <v/>
      </c>
      <c r="AC278" s="32"/>
      <c r="AD278" s="32"/>
      <c r="AE278" s="1"/>
      <c r="AF278" s="1"/>
    </row>
    <row r="279" spans="1:32" x14ac:dyDescent="0.2">
      <c r="A279" s="11"/>
      <c r="B279" s="12"/>
      <c r="C279" s="12"/>
      <c r="D279" s="12"/>
      <c r="E279" s="12"/>
      <c r="F279" s="13"/>
      <c r="G279" s="30"/>
      <c r="H279" s="15"/>
      <c r="I279" s="16"/>
      <c r="J279" s="16"/>
      <c r="K279" s="17"/>
      <c r="L279" s="31"/>
      <c r="M279" s="19"/>
      <c r="N279" s="20"/>
      <c r="O279" s="20"/>
      <c r="P279" s="20"/>
      <c r="Q279" s="20"/>
      <c r="R279" s="20"/>
      <c r="S279" s="22"/>
      <c r="T279" s="23"/>
      <c r="V279" s="37" t="str">
        <f t="shared" si="49"/>
        <v/>
      </c>
      <c r="W279" s="46" t="str">
        <f t="shared" si="50"/>
        <v/>
      </c>
      <c r="X279" s="45" t="str">
        <f t="shared" si="51"/>
        <v/>
      </c>
      <c r="Y279" s="47" t="str">
        <f t="shared" si="52"/>
        <v/>
      </c>
      <c r="Z279" s="38" t="str">
        <f t="shared" si="53"/>
        <v/>
      </c>
      <c r="AA279" s="39" t="str">
        <f t="shared" si="54"/>
        <v/>
      </c>
      <c r="AB279" s="39" t="str">
        <f t="shared" si="55"/>
        <v/>
      </c>
      <c r="AC279" s="32"/>
      <c r="AD279" s="32"/>
      <c r="AE279" s="1"/>
      <c r="AF279" s="1"/>
    </row>
    <row r="280" spans="1:32" x14ac:dyDescent="0.2">
      <c r="A280" s="11"/>
      <c r="B280" s="12"/>
      <c r="C280" s="12"/>
      <c r="D280" s="12"/>
      <c r="E280" s="12"/>
      <c r="F280" s="13"/>
      <c r="G280" s="30"/>
      <c r="H280" s="15"/>
      <c r="I280" s="16"/>
      <c r="J280" s="16"/>
      <c r="K280" s="17"/>
      <c r="L280" s="31"/>
      <c r="M280" s="19"/>
      <c r="N280" s="20"/>
      <c r="O280" s="20"/>
      <c r="P280" s="20"/>
      <c r="Q280" s="20"/>
      <c r="R280" s="20"/>
      <c r="S280" s="22"/>
      <c r="T280" s="23"/>
      <c r="V280" s="37" t="str">
        <f t="shared" si="49"/>
        <v/>
      </c>
      <c r="W280" s="46" t="str">
        <f t="shared" si="50"/>
        <v/>
      </c>
      <c r="X280" s="45" t="str">
        <f t="shared" si="51"/>
        <v/>
      </c>
      <c r="Y280" s="47" t="str">
        <f t="shared" si="52"/>
        <v/>
      </c>
      <c r="Z280" s="38" t="str">
        <f t="shared" si="53"/>
        <v/>
      </c>
      <c r="AA280" s="39" t="str">
        <f t="shared" si="54"/>
        <v/>
      </c>
      <c r="AB280" s="39" t="str">
        <f t="shared" si="55"/>
        <v/>
      </c>
      <c r="AC280" s="32"/>
      <c r="AD280" s="32"/>
      <c r="AE280" s="1"/>
      <c r="AF280" s="1"/>
    </row>
    <row r="281" spans="1:32" x14ac:dyDescent="0.2">
      <c r="A281" s="11"/>
      <c r="B281" s="12"/>
      <c r="C281" s="12"/>
      <c r="D281" s="12"/>
      <c r="E281" s="12"/>
      <c r="F281" s="13"/>
      <c r="G281" s="30"/>
      <c r="H281" s="15"/>
      <c r="I281" s="16"/>
      <c r="J281" s="16"/>
      <c r="K281" s="17"/>
      <c r="L281" s="31"/>
      <c r="M281" s="19"/>
      <c r="N281" s="20"/>
      <c r="O281" s="20"/>
      <c r="P281" s="20"/>
      <c r="Q281" s="20"/>
      <c r="R281" s="20"/>
      <c r="S281" s="22"/>
      <c r="T281" s="23"/>
      <c r="V281" s="37" t="str">
        <f t="shared" si="49"/>
        <v/>
      </c>
      <c r="W281" s="46" t="str">
        <f t="shared" si="50"/>
        <v/>
      </c>
      <c r="X281" s="45" t="str">
        <f t="shared" si="51"/>
        <v/>
      </c>
      <c r="Y281" s="47" t="str">
        <f t="shared" si="52"/>
        <v/>
      </c>
      <c r="Z281" s="38" t="str">
        <f t="shared" si="53"/>
        <v/>
      </c>
      <c r="AA281" s="39" t="str">
        <f t="shared" si="54"/>
        <v/>
      </c>
      <c r="AB281" s="39" t="str">
        <f t="shared" si="55"/>
        <v/>
      </c>
      <c r="AC281" s="32"/>
      <c r="AD281" s="32"/>
      <c r="AE281" s="1"/>
      <c r="AF281" s="1"/>
    </row>
    <row r="282" spans="1:32" x14ac:dyDescent="0.2">
      <c r="A282" s="11"/>
      <c r="B282" s="12"/>
      <c r="C282" s="12"/>
      <c r="D282" s="12"/>
      <c r="E282" s="12"/>
      <c r="F282" s="13"/>
      <c r="G282" s="30"/>
      <c r="H282" s="15"/>
      <c r="I282" s="16"/>
      <c r="J282" s="16"/>
      <c r="K282" s="17"/>
      <c r="L282" s="31"/>
      <c r="M282" s="19"/>
      <c r="N282" s="20"/>
      <c r="O282" s="20"/>
      <c r="P282" s="20"/>
      <c r="Q282" s="20"/>
      <c r="R282" s="20"/>
      <c r="S282" s="22"/>
      <c r="T282" s="23"/>
      <c r="V282" s="37" t="str">
        <f t="shared" si="49"/>
        <v/>
      </c>
      <c r="W282" s="46" t="str">
        <f t="shared" si="50"/>
        <v/>
      </c>
      <c r="X282" s="45" t="str">
        <f t="shared" si="51"/>
        <v/>
      </c>
      <c r="Y282" s="47" t="str">
        <f t="shared" si="52"/>
        <v/>
      </c>
      <c r="Z282" s="38" t="str">
        <f t="shared" si="53"/>
        <v/>
      </c>
      <c r="AA282" s="39" t="str">
        <f t="shared" si="54"/>
        <v/>
      </c>
      <c r="AB282" s="39" t="str">
        <f t="shared" si="55"/>
        <v/>
      </c>
      <c r="AC282" s="32"/>
      <c r="AD282" s="32"/>
      <c r="AE282" s="1"/>
      <c r="AF282" s="1"/>
    </row>
    <row r="283" spans="1:32" x14ac:dyDescent="0.2">
      <c r="A283" s="11"/>
      <c r="B283" s="12"/>
      <c r="C283" s="12"/>
      <c r="D283" s="12"/>
      <c r="E283" s="12"/>
      <c r="F283" s="13"/>
      <c r="G283" s="30"/>
      <c r="H283" s="15"/>
      <c r="I283" s="16"/>
      <c r="J283" s="16"/>
      <c r="K283" s="17"/>
      <c r="L283" s="31"/>
      <c r="M283" s="19"/>
      <c r="N283" s="20"/>
      <c r="O283" s="20"/>
      <c r="P283" s="20"/>
      <c r="Q283" s="20"/>
      <c r="R283" s="20"/>
      <c r="S283" s="22"/>
      <c r="T283" s="23"/>
      <c r="V283" s="37" t="str">
        <f t="shared" si="49"/>
        <v/>
      </c>
      <c r="W283" s="46" t="str">
        <f t="shared" si="50"/>
        <v/>
      </c>
      <c r="X283" s="45" t="str">
        <f t="shared" si="51"/>
        <v/>
      </c>
      <c r="Y283" s="47" t="str">
        <f t="shared" si="52"/>
        <v/>
      </c>
      <c r="Z283" s="38" t="str">
        <f t="shared" si="53"/>
        <v/>
      </c>
      <c r="AA283" s="39" t="str">
        <f t="shared" si="54"/>
        <v/>
      </c>
      <c r="AB283" s="39" t="str">
        <f t="shared" si="55"/>
        <v/>
      </c>
      <c r="AC283" s="32"/>
      <c r="AD283" s="32"/>
      <c r="AE283" s="1"/>
      <c r="AF283" s="1"/>
    </row>
    <row r="284" spans="1:32" x14ac:dyDescent="0.2">
      <c r="A284" s="11"/>
      <c r="B284" s="12"/>
      <c r="C284" s="12"/>
      <c r="D284" s="12"/>
      <c r="E284" s="12"/>
      <c r="F284" s="13"/>
      <c r="G284" s="30"/>
      <c r="H284" s="15"/>
      <c r="I284" s="16"/>
      <c r="J284" s="16"/>
      <c r="K284" s="17"/>
      <c r="L284" s="31"/>
      <c r="M284" s="19"/>
      <c r="N284" s="20"/>
      <c r="O284" s="20"/>
      <c r="P284" s="20"/>
      <c r="Q284" s="20"/>
      <c r="R284" s="20"/>
      <c r="S284" s="22"/>
      <c r="T284" s="23"/>
      <c r="V284" s="37" t="str">
        <f t="shared" si="49"/>
        <v/>
      </c>
      <c r="W284" s="46" t="str">
        <f t="shared" si="50"/>
        <v/>
      </c>
      <c r="X284" s="45" t="str">
        <f t="shared" si="51"/>
        <v/>
      </c>
      <c r="Y284" s="47" t="str">
        <f t="shared" si="52"/>
        <v/>
      </c>
      <c r="Z284" s="38" t="str">
        <f t="shared" si="53"/>
        <v/>
      </c>
      <c r="AA284" s="39" t="str">
        <f t="shared" si="54"/>
        <v/>
      </c>
      <c r="AB284" s="39" t="str">
        <f t="shared" si="55"/>
        <v/>
      </c>
      <c r="AC284" s="32"/>
      <c r="AD284" s="32"/>
      <c r="AE284" s="1"/>
      <c r="AF284" s="1"/>
    </row>
    <row r="285" spans="1:32" x14ac:dyDescent="0.2">
      <c r="A285" s="11"/>
      <c r="B285" s="12"/>
      <c r="C285" s="12"/>
      <c r="D285" s="12"/>
      <c r="E285" s="12"/>
      <c r="F285" s="13"/>
      <c r="G285" s="30"/>
      <c r="H285" s="15"/>
      <c r="I285" s="16"/>
      <c r="J285" s="16"/>
      <c r="K285" s="17"/>
      <c r="L285" s="31"/>
      <c r="M285" s="19"/>
      <c r="N285" s="20"/>
      <c r="O285" s="20"/>
      <c r="P285" s="20"/>
      <c r="Q285" s="20"/>
      <c r="R285" s="20"/>
      <c r="S285" s="22"/>
      <c r="T285" s="23"/>
      <c r="V285" s="37" t="str">
        <f t="shared" si="49"/>
        <v/>
      </c>
      <c r="W285" s="46" t="str">
        <f t="shared" si="50"/>
        <v/>
      </c>
      <c r="X285" s="45" t="str">
        <f t="shared" si="51"/>
        <v/>
      </c>
      <c r="Y285" s="47" t="str">
        <f t="shared" si="52"/>
        <v/>
      </c>
      <c r="Z285" s="38" t="str">
        <f t="shared" si="53"/>
        <v/>
      </c>
      <c r="AA285" s="39" t="str">
        <f t="shared" si="54"/>
        <v/>
      </c>
      <c r="AB285" s="39" t="str">
        <f t="shared" si="55"/>
        <v/>
      </c>
      <c r="AC285" s="32"/>
      <c r="AD285" s="32"/>
      <c r="AE285" s="1"/>
      <c r="AF285" s="1"/>
    </row>
    <row r="286" spans="1:32" x14ac:dyDescent="0.2">
      <c r="A286" s="11"/>
      <c r="B286" s="12"/>
      <c r="C286" s="12"/>
      <c r="D286" s="12"/>
      <c r="E286" s="12"/>
      <c r="F286" s="13"/>
      <c r="G286" s="30"/>
      <c r="H286" s="15"/>
      <c r="I286" s="16"/>
      <c r="J286" s="16"/>
      <c r="K286" s="17"/>
      <c r="L286" s="31"/>
      <c r="M286" s="19"/>
      <c r="N286" s="20"/>
      <c r="O286" s="20"/>
      <c r="P286" s="20"/>
      <c r="Q286" s="20"/>
      <c r="R286" s="20"/>
      <c r="S286" s="22"/>
      <c r="T286" s="23"/>
      <c r="V286" s="37" t="str">
        <f t="shared" si="49"/>
        <v/>
      </c>
      <c r="W286" s="46" t="str">
        <f t="shared" si="50"/>
        <v/>
      </c>
      <c r="X286" s="45" t="str">
        <f t="shared" si="51"/>
        <v/>
      </c>
      <c r="Y286" s="47" t="str">
        <f t="shared" si="52"/>
        <v/>
      </c>
      <c r="Z286" s="38" t="str">
        <f t="shared" si="53"/>
        <v/>
      </c>
      <c r="AA286" s="39" t="str">
        <f t="shared" si="54"/>
        <v/>
      </c>
      <c r="AB286" s="39" t="str">
        <f t="shared" si="55"/>
        <v/>
      </c>
      <c r="AC286" s="32"/>
      <c r="AD286" s="32"/>
      <c r="AE286" s="1"/>
      <c r="AF286" s="1"/>
    </row>
    <row r="287" spans="1:32" x14ac:dyDescent="0.2">
      <c r="A287" s="11"/>
      <c r="B287" s="12"/>
      <c r="C287" s="12"/>
      <c r="D287" s="12"/>
      <c r="E287" s="12"/>
      <c r="F287" s="13"/>
      <c r="G287" s="30"/>
      <c r="H287" s="15"/>
      <c r="I287" s="16"/>
      <c r="J287" s="16"/>
      <c r="K287" s="17"/>
      <c r="L287" s="31"/>
      <c r="M287" s="19"/>
      <c r="N287" s="20"/>
      <c r="O287" s="20"/>
      <c r="P287" s="20"/>
      <c r="Q287" s="20"/>
      <c r="R287" s="20"/>
      <c r="S287" s="22"/>
      <c r="T287" s="23"/>
      <c r="V287" s="37" t="str">
        <f t="shared" si="49"/>
        <v/>
      </c>
      <c r="W287" s="46" t="str">
        <f t="shared" si="50"/>
        <v/>
      </c>
      <c r="X287" s="45" t="str">
        <f t="shared" si="51"/>
        <v/>
      </c>
      <c r="Y287" s="47" t="str">
        <f t="shared" si="52"/>
        <v/>
      </c>
      <c r="Z287" s="38" t="str">
        <f t="shared" si="53"/>
        <v/>
      </c>
      <c r="AA287" s="39" t="str">
        <f t="shared" si="54"/>
        <v/>
      </c>
      <c r="AB287" s="39" t="str">
        <f t="shared" si="55"/>
        <v/>
      </c>
      <c r="AC287" s="32"/>
      <c r="AD287" s="32"/>
      <c r="AE287" s="1"/>
      <c r="AF287" s="1"/>
    </row>
    <row r="288" spans="1:32" x14ac:dyDescent="0.2">
      <c r="A288" s="11"/>
      <c r="B288" s="12"/>
      <c r="C288" s="12"/>
      <c r="D288" s="12"/>
      <c r="E288" s="12"/>
      <c r="F288" s="13"/>
      <c r="G288" s="30"/>
      <c r="H288" s="15"/>
      <c r="I288" s="16"/>
      <c r="J288" s="16"/>
      <c r="K288" s="17"/>
      <c r="L288" s="31"/>
      <c r="M288" s="19"/>
      <c r="N288" s="20"/>
      <c r="O288" s="20"/>
      <c r="P288" s="20"/>
      <c r="Q288" s="20"/>
      <c r="R288" s="20"/>
      <c r="S288" s="22"/>
      <c r="T288" s="23"/>
      <c r="V288" s="37" t="str">
        <f t="shared" si="49"/>
        <v/>
      </c>
      <c r="W288" s="46" t="str">
        <f t="shared" si="50"/>
        <v/>
      </c>
      <c r="X288" s="45" t="str">
        <f t="shared" si="51"/>
        <v/>
      </c>
      <c r="Y288" s="47" t="str">
        <f t="shared" si="52"/>
        <v/>
      </c>
      <c r="Z288" s="38" t="str">
        <f t="shared" si="53"/>
        <v/>
      </c>
      <c r="AA288" s="39" t="str">
        <f t="shared" si="54"/>
        <v/>
      </c>
      <c r="AB288" s="39" t="str">
        <f t="shared" si="55"/>
        <v/>
      </c>
      <c r="AC288" s="32"/>
      <c r="AD288" s="32"/>
      <c r="AE288" s="1"/>
      <c r="AF288" s="1"/>
    </row>
    <row r="289" spans="1:32" x14ac:dyDescent="0.2">
      <c r="A289" s="11"/>
      <c r="B289" s="12"/>
      <c r="C289" s="12"/>
      <c r="D289" s="12"/>
      <c r="E289" s="12"/>
      <c r="F289" s="13"/>
      <c r="G289" s="30"/>
      <c r="H289" s="15"/>
      <c r="I289" s="16"/>
      <c r="J289" s="16"/>
      <c r="K289" s="17"/>
      <c r="L289" s="31"/>
      <c r="M289" s="19"/>
      <c r="N289" s="20"/>
      <c r="O289" s="20"/>
      <c r="P289" s="20"/>
      <c r="Q289" s="20"/>
      <c r="R289" s="20"/>
      <c r="S289" s="22"/>
      <c r="T289" s="23"/>
      <c r="V289" s="37" t="str">
        <f t="shared" si="49"/>
        <v/>
      </c>
      <c r="W289" s="46" t="str">
        <f t="shared" si="50"/>
        <v/>
      </c>
      <c r="X289" s="45" t="str">
        <f t="shared" si="51"/>
        <v/>
      </c>
      <c r="Y289" s="47" t="str">
        <f t="shared" si="52"/>
        <v/>
      </c>
      <c r="Z289" s="38" t="str">
        <f t="shared" si="53"/>
        <v/>
      </c>
      <c r="AA289" s="39" t="str">
        <f t="shared" si="54"/>
        <v/>
      </c>
      <c r="AB289" s="39" t="str">
        <f t="shared" si="55"/>
        <v/>
      </c>
      <c r="AC289" s="32"/>
      <c r="AD289" s="32"/>
      <c r="AE289" s="1"/>
      <c r="AF289" s="1"/>
    </row>
    <row r="290" spans="1:32" x14ac:dyDescent="0.2">
      <c r="A290" s="11"/>
      <c r="B290" s="12"/>
      <c r="C290" s="12"/>
      <c r="D290" s="12"/>
      <c r="E290" s="12"/>
      <c r="F290" s="13"/>
      <c r="G290" s="30"/>
      <c r="H290" s="15"/>
      <c r="I290" s="16"/>
      <c r="J290" s="16"/>
      <c r="K290" s="17"/>
      <c r="L290" s="31"/>
      <c r="M290" s="19"/>
      <c r="N290" s="20"/>
      <c r="O290" s="20"/>
      <c r="P290" s="20"/>
      <c r="Q290" s="20"/>
      <c r="R290" s="20"/>
      <c r="S290" s="22"/>
      <c r="T290" s="23"/>
      <c r="V290" s="37" t="str">
        <f t="shared" si="49"/>
        <v/>
      </c>
      <c r="W290" s="46" t="str">
        <f t="shared" si="50"/>
        <v/>
      </c>
      <c r="X290" s="45" t="str">
        <f t="shared" si="51"/>
        <v/>
      </c>
      <c r="Y290" s="47" t="str">
        <f t="shared" si="52"/>
        <v/>
      </c>
      <c r="Z290" s="38" t="str">
        <f t="shared" si="53"/>
        <v/>
      </c>
      <c r="AA290" s="39" t="str">
        <f t="shared" si="54"/>
        <v/>
      </c>
      <c r="AB290" s="39" t="str">
        <f t="shared" si="55"/>
        <v/>
      </c>
      <c r="AC290" s="32"/>
      <c r="AD290" s="32"/>
      <c r="AE290" s="1"/>
      <c r="AF290" s="1"/>
    </row>
    <row r="291" spans="1:32" x14ac:dyDescent="0.2">
      <c r="A291" s="11"/>
      <c r="B291" s="12"/>
      <c r="C291" s="12"/>
      <c r="D291" s="12"/>
      <c r="E291" s="12"/>
      <c r="F291" s="13"/>
      <c r="G291" s="30"/>
      <c r="H291" s="15"/>
      <c r="I291" s="16"/>
      <c r="J291" s="16"/>
      <c r="K291" s="17"/>
      <c r="L291" s="31"/>
      <c r="M291" s="19"/>
      <c r="N291" s="20"/>
      <c r="O291" s="20"/>
      <c r="P291" s="20"/>
      <c r="Q291" s="20"/>
      <c r="R291" s="20"/>
      <c r="S291" s="22"/>
      <c r="T291" s="23"/>
      <c r="V291" s="37" t="str">
        <f t="shared" si="49"/>
        <v/>
      </c>
      <c r="W291" s="46" t="str">
        <f t="shared" si="50"/>
        <v/>
      </c>
      <c r="X291" s="45" t="str">
        <f t="shared" si="51"/>
        <v/>
      </c>
      <c r="Y291" s="47" t="str">
        <f t="shared" si="52"/>
        <v/>
      </c>
      <c r="Z291" s="38" t="str">
        <f t="shared" si="53"/>
        <v/>
      </c>
      <c r="AA291" s="39" t="str">
        <f t="shared" si="54"/>
        <v/>
      </c>
      <c r="AB291" s="39" t="str">
        <f t="shared" si="55"/>
        <v/>
      </c>
      <c r="AC291" s="32"/>
      <c r="AD291" s="32"/>
      <c r="AE291" s="1"/>
      <c r="AF291" s="1"/>
    </row>
    <row r="292" spans="1:32" x14ac:dyDescent="0.2">
      <c r="A292" s="11"/>
      <c r="B292" s="12"/>
      <c r="C292" s="12"/>
      <c r="D292" s="12"/>
      <c r="E292" s="12"/>
      <c r="F292" s="13"/>
      <c r="G292" s="30"/>
      <c r="H292" s="15"/>
      <c r="I292" s="16"/>
      <c r="J292" s="16"/>
      <c r="K292" s="17"/>
      <c r="L292" s="31"/>
      <c r="M292" s="19"/>
      <c r="N292" s="20"/>
      <c r="O292" s="20"/>
      <c r="P292" s="20"/>
      <c r="Q292" s="20"/>
      <c r="R292" s="20"/>
      <c r="S292" s="22"/>
      <c r="T292" s="23"/>
      <c r="V292" s="37" t="str">
        <f t="shared" si="49"/>
        <v/>
      </c>
      <c r="W292" s="46" t="str">
        <f t="shared" si="50"/>
        <v/>
      </c>
      <c r="X292" s="45" t="str">
        <f t="shared" si="51"/>
        <v/>
      </c>
      <c r="Y292" s="47" t="str">
        <f t="shared" si="52"/>
        <v/>
      </c>
      <c r="Z292" s="38" t="str">
        <f t="shared" si="53"/>
        <v/>
      </c>
      <c r="AA292" s="39" t="str">
        <f t="shared" si="54"/>
        <v/>
      </c>
      <c r="AB292" s="39" t="str">
        <f t="shared" si="55"/>
        <v/>
      </c>
      <c r="AC292" s="32"/>
      <c r="AD292" s="32"/>
      <c r="AE292" s="1"/>
      <c r="AF292" s="1"/>
    </row>
    <row r="293" spans="1:32" x14ac:dyDescent="0.4">
      <c r="A293" s="32"/>
      <c r="B293" s="32"/>
      <c r="C293" s="32"/>
      <c r="D293" s="32"/>
      <c r="E293" s="32"/>
      <c r="F293" s="33"/>
      <c r="G293" s="32"/>
      <c r="H293" s="32"/>
      <c r="I293" s="32"/>
      <c r="J293" s="32"/>
      <c r="K293" s="33"/>
      <c r="L293" s="32"/>
      <c r="M293" s="32"/>
      <c r="N293" s="32"/>
      <c r="O293" s="32"/>
      <c r="P293" s="32"/>
      <c r="Q293" s="32"/>
      <c r="R293" s="32"/>
      <c r="S293" s="33"/>
      <c r="T293" s="32"/>
      <c r="U293" s="32"/>
      <c r="AC293" s="32"/>
      <c r="AD293" s="32"/>
      <c r="AE293" s="1"/>
      <c r="AF293" s="1"/>
    </row>
    <row r="294" spans="1:32" x14ac:dyDescent="0.4">
      <c r="A294" s="32"/>
      <c r="B294" s="32"/>
      <c r="C294" s="32"/>
      <c r="D294" s="32"/>
      <c r="E294" s="32"/>
      <c r="F294" s="33"/>
      <c r="G294" s="32"/>
      <c r="H294" s="32"/>
      <c r="I294" s="32"/>
      <c r="J294" s="32"/>
      <c r="K294" s="33"/>
      <c r="L294" s="32"/>
      <c r="M294" s="32"/>
      <c r="N294" s="32"/>
      <c r="O294" s="32"/>
      <c r="P294" s="32"/>
      <c r="Q294" s="32"/>
      <c r="R294" s="32"/>
      <c r="S294" s="33"/>
      <c r="T294" s="32"/>
      <c r="U294" s="32"/>
      <c r="AC294" s="32"/>
      <c r="AD294" s="32"/>
      <c r="AE294" s="1"/>
      <c r="AF294" s="1"/>
    </row>
    <row r="295" spans="1:32" x14ac:dyDescent="0.4">
      <c r="A295" s="32"/>
      <c r="B295" s="32"/>
      <c r="C295" s="32"/>
      <c r="D295" s="32"/>
      <c r="E295" s="32"/>
      <c r="F295" s="33"/>
      <c r="G295" s="32"/>
      <c r="H295" s="32"/>
      <c r="I295" s="32"/>
      <c r="J295" s="32"/>
      <c r="K295" s="33"/>
      <c r="L295" s="32"/>
      <c r="M295" s="32"/>
      <c r="N295" s="32"/>
      <c r="O295" s="32"/>
      <c r="P295" s="32"/>
      <c r="Q295" s="32"/>
      <c r="R295" s="32"/>
      <c r="S295" s="33"/>
      <c r="T295" s="32"/>
      <c r="U295" s="32"/>
      <c r="AC295" s="32"/>
      <c r="AD295" s="32"/>
      <c r="AE295" s="1"/>
      <c r="AF295" s="1"/>
    </row>
    <row r="296" spans="1:32" x14ac:dyDescent="0.4">
      <c r="A296" s="32"/>
      <c r="B296" s="32"/>
      <c r="C296" s="32"/>
      <c r="D296" s="32"/>
      <c r="E296" s="32"/>
      <c r="F296" s="33"/>
      <c r="G296" s="32"/>
      <c r="H296" s="32"/>
      <c r="I296" s="32"/>
      <c r="J296" s="32"/>
      <c r="K296" s="33"/>
      <c r="L296" s="32"/>
      <c r="M296" s="32"/>
      <c r="N296" s="32"/>
      <c r="O296" s="32"/>
      <c r="P296" s="32"/>
      <c r="Q296" s="32"/>
      <c r="R296" s="32"/>
      <c r="S296" s="33"/>
      <c r="T296" s="32"/>
      <c r="U296" s="32"/>
      <c r="AC296" s="32"/>
      <c r="AD296" s="32"/>
      <c r="AE296" s="1"/>
      <c r="AF296" s="1"/>
    </row>
    <row r="297" spans="1:32" x14ac:dyDescent="0.4">
      <c r="A297" s="32"/>
      <c r="B297" s="32"/>
      <c r="C297" s="32"/>
      <c r="D297" s="32"/>
      <c r="E297" s="32"/>
      <c r="F297" s="33"/>
      <c r="G297" s="32"/>
      <c r="H297" s="32"/>
      <c r="I297" s="32"/>
      <c r="J297" s="32"/>
      <c r="K297" s="33"/>
      <c r="L297" s="32"/>
      <c r="M297" s="32"/>
      <c r="N297" s="32"/>
      <c r="O297" s="32"/>
      <c r="P297" s="32"/>
      <c r="Q297" s="32"/>
      <c r="R297" s="32"/>
      <c r="S297" s="33"/>
      <c r="T297" s="32"/>
      <c r="U297" s="32"/>
      <c r="AC297" s="32"/>
      <c r="AD297" s="32"/>
      <c r="AE297" s="1"/>
      <c r="AF297" s="1"/>
    </row>
    <row r="298" spans="1:32" x14ac:dyDescent="0.4">
      <c r="A298" s="32"/>
      <c r="B298" s="32"/>
      <c r="C298" s="32"/>
      <c r="D298" s="32"/>
      <c r="E298" s="32"/>
      <c r="F298" s="33"/>
      <c r="G298" s="32"/>
      <c r="H298" s="32"/>
      <c r="I298" s="32"/>
      <c r="J298" s="32"/>
      <c r="K298" s="33"/>
      <c r="L298" s="32"/>
      <c r="M298" s="32"/>
      <c r="N298" s="32"/>
      <c r="O298" s="32"/>
      <c r="P298" s="32"/>
      <c r="Q298" s="32"/>
      <c r="R298" s="32"/>
      <c r="S298" s="33"/>
      <c r="T298" s="32"/>
      <c r="U298" s="32"/>
      <c r="AC298" s="32"/>
      <c r="AD298" s="32"/>
      <c r="AE298" s="1"/>
      <c r="AF298" s="1"/>
    </row>
    <row r="299" spans="1:32" x14ac:dyDescent="0.4">
      <c r="A299" s="32"/>
      <c r="B299" s="32"/>
      <c r="C299" s="32"/>
      <c r="D299" s="32"/>
      <c r="E299" s="32"/>
      <c r="F299" s="33"/>
      <c r="G299" s="32"/>
      <c r="H299" s="32"/>
      <c r="I299" s="32"/>
      <c r="J299" s="32"/>
      <c r="K299" s="33"/>
      <c r="L299" s="32"/>
      <c r="M299" s="32"/>
      <c r="N299" s="32"/>
      <c r="O299" s="32"/>
      <c r="P299" s="32"/>
      <c r="Q299" s="32"/>
      <c r="R299" s="32"/>
      <c r="S299" s="33"/>
      <c r="T299" s="32"/>
      <c r="U299" s="32"/>
      <c r="AC299" s="32"/>
      <c r="AD299" s="32"/>
      <c r="AE299" s="1"/>
      <c r="AF299" s="1"/>
    </row>
    <row r="300" spans="1:32" x14ac:dyDescent="0.4">
      <c r="A300" s="32"/>
      <c r="B300" s="32"/>
      <c r="C300" s="32"/>
      <c r="D300" s="32"/>
      <c r="E300" s="32"/>
      <c r="F300" s="33"/>
      <c r="G300" s="32"/>
      <c r="H300" s="32"/>
      <c r="I300" s="32"/>
      <c r="J300" s="32"/>
      <c r="K300" s="33"/>
      <c r="L300" s="32"/>
      <c r="M300" s="32"/>
      <c r="N300" s="32"/>
      <c r="O300" s="32"/>
      <c r="P300" s="32"/>
      <c r="Q300" s="32"/>
      <c r="R300" s="32"/>
      <c r="S300" s="33"/>
      <c r="T300" s="32"/>
      <c r="U300" s="32"/>
      <c r="AC300" s="32"/>
      <c r="AD300" s="32"/>
      <c r="AE300" s="1"/>
      <c r="AF300" s="1"/>
    </row>
    <row r="301" spans="1:32" x14ac:dyDescent="0.4">
      <c r="A301" s="32"/>
      <c r="B301" s="32"/>
      <c r="C301" s="32"/>
      <c r="D301" s="32"/>
      <c r="E301" s="32"/>
      <c r="F301" s="33"/>
      <c r="G301" s="32"/>
      <c r="H301" s="32"/>
      <c r="I301" s="32"/>
      <c r="J301" s="32"/>
      <c r="K301" s="33"/>
      <c r="L301" s="32"/>
      <c r="M301" s="32"/>
      <c r="N301" s="32"/>
      <c r="O301" s="32"/>
      <c r="P301" s="32"/>
      <c r="Q301" s="32"/>
      <c r="R301" s="32"/>
      <c r="S301" s="33"/>
      <c r="T301" s="32"/>
      <c r="U301" s="32"/>
      <c r="AC301" s="32"/>
      <c r="AD301" s="32"/>
      <c r="AE301" s="1"/>
      <c r="AF301" s="1"/>
    </row>
    <row r="302" spans="1:32" x14ac:dyDescent="0.4">
      <c r="A302" s="32"/>
      <c r="B302" s="32"/>
      <c r="C302" s="32"/>
      <c r="D302" s="32"/>
      <c r="E302" s="32"/>
      <c r="F302" s="33"/>
      <c r="G302" s="32"/>
      <c r="H302" s="32"/>
      <c r="I302" s="32"/>
      <c r="J302" s="32"/>
      <c r="K302" s="33"/>
      <c r="L302" s="32"/>
      <c r="M302" s="32"/>
      <c r="N302" s="32"/>
      <c r="O302" s="32"/>
      <c r="P302" s="32"/>
      <c r="Q302" s="32"/>
      <c r="R302" s="32"/>
      <c r="S302" s="33"/>
      <c r="T302" s="32"/>
      <c r="U302" s="32"/>
      <c r="AC302" s="32"/>
      <c r="AD302" s="32"/>
      <c r="AE302" s="1"/>
      <c r="AF302" s="1"/>
    </row>
    <row r="303" spans="1:32" x14ac:dyDescent="0.4">
      <c r="A303" s="32"/>
      <c r="B303" s="32"/>
      <c r="C303" s="32"/>
      <c r="D303" s="32"/>
      <c r="E303" s="32"/>
      <c r="F303" s="33"/>
      <c r="G303" s="32"/>
      <c r="H303" s="32"/>
      <c r="I303" s="32"/>
      <c r="J303" s="32"/>
      <c r="K303" s="33"/>
      <c r="L303" s="32"/>
      <c r="M303" s="32"/>
      <c r="N303" s="32"/>
      <c r="O303" s="32"/>
      <c r="P303" s="32"/>
      <c r="Q303" s="32"/>
      <c r="R303" s="32"/>
      <c r="S303" s="33"/>
      <c r="T303" s="32"/>
      <c r="U303" s="32"/>
      <c r="AC303" s="32"/>
      <c r="AD303" s="32"/>
      <c r="AE303" s="1"/>
      <c r="AF303" s="1"/>
    </row>
    <row r="304" spans="1:32" x14ac:dyDescent="0.4">
      <c r="A304" s="32"/>
      <c r="B304" s="32"/>
      <c r="C304" s="32"/>
      <c r="D304" s="32"/>
      <c r="E304" s="32"/>
      <c r="F304" s="33"/>
      <c r="G304" s="32"/>
      <c r="H304" s="32"/>
      <c r="I304" s="32"/>
      <c r="J304" s="32"/>
      <c r="K304" s="33"/>
      <c r="L304" s="32"/>
      <c r="M304" s="32"/>
      <c r="N304" s="32"/>
      <c r="O304" s="32"/>
      <c r="P304" s="32"/>
      <c r="Q304" s="32"/>
      <c r="R304" s="32"/>
      <c r="S304" s="33"/>
      <c r="T304" s="32"/>
      <c r="U304" s="32"/>
      <c r="AC304" s="32"/>
      <c r="AD304" s="32"/>
      <c r="AE304" s="1"/>
      <c r="AF304" s="1"/>
    </row>
    <row r="305" spans="1:32" x14ac:dyDescent="0.4">
      <c r="A305" s="32"/>
      <c r="B305" s="32"/>
      <c r="C305" s="32"/>
      <c r="D305" s="32"/>
      <c r="E305" s="32"/>
      <c r="F305" s="33"/>
      <c r="G305" s="32"/>
      <c r="H305" s="32"/>
      <c r="I305" s="32"/>
      <c r="J305" s="32"/>
      <c r="K305" s="33"/>
      <c r="L305" s="32"/>
      <c r="M305" s="32"/>
      <c r="N305" s="32"/>
      <c r="O305" s="32"/>
      <c r="P305" s="32"/>
      <c r="Q305" s="32"/>
      <c r="R305" s="32"/>
      <c r="S305" s="33"/>
      <c r="T305" s="32"/>
      <c r="U305" s="32"/>
      <c r="AC305" s="32"/>
      <c r="AD305" s="32"/>
      <c r="AE305" s="1"/>
      <c r="AF305" s="1"/>
    </row>
    <row r="306" spans="1:32" x14ac:dyDescent="0.4">
      <c r="A306" s="32"/>
      <c r="B306" s="32"/>
      <c r="C306" s="32"/>
      <c r="D306" s="32"/>
      <c r="E306" s="32"/>
      <c r="F306" s="33"/>
      <c r="G306" s="32"/>
      <c r="H306" s="32"/>
      <c r="I306" s="32"/>
      <c r="J306" s="32"/>
      <c r="K306" s="33"/>
      <c r="L306" s="32"/>
      <c r="M306" s="32"/>
      <c r="N306" s="32"/>
      <c r="O306" s="32"/>
      <c r="P306" s="32"/>
      <c r="Q306" s="32"/>
      <c r="R306" s="32"/>
      <c r="S306" s="33"/>
      <c r="T306" s="32"/>
      <c r="U306" s="32"/>
      <c r="AC306" s="32"/>
      <c r="AD306" s="32"/>
      <c r="AE306" s="1"/>
      <c r="AF306" s="1"/>
    </row>
    <row r="307" spans="1:32" x14ac:dyDescent="0.4">
      <c r="A307" s="32"/>
      <c r="B307" s="32"/>
      <c r="C307" s="32"/>
      <c r="D307" s="32"/>
      <c r="E307" s="32"/>
      <c r="F307" s="33"/>
      <c r="G307" s="32"/>
      <c r="H307" s="32"/>
      <c r="I307" s="32"/>
      <c r="J307" s="32"/>
      <c r="K307" s="33"/>
      <c r="L307" s="32"/>
      <c r="M307" s="32"/>
      <c r="N307" s="32"/>
      <c r="O307" s="32"/>
      <c r="P307" s="32"/>
      <c r="Q307" s="32"/>
      <c r="R307" s="32"/>
      <c r="S307" s="33"/>
      <c r="T307" s="32"/>
      <c r="U307" s="32"/>
      <c r="AC307" s="32"/>
      <c r="AD307" s="32"/>
      <c r="AE307" s="1"/>
      <c r="AF307" s="1"/>
    </row>
    <row r="308" spans="1:32" x14ac:dyDescent="0.4">
      <c r="A308" s="32"/>
      <c r="B308" s="32"/>
      <c r="C308" s="32"/>
      <c r="D308" s="32"/>
      <c r="E308" s="32"/>
      <c r="F308" s="33"/>
      <c r="G308" s="32"/>
      <c r="H308" s="32"/>
      <c r="I308" s="32"/>
      <c r="J308" s="32"/>
      <c r="K308" s="33"/>
      <c r="L308" s="32"/>
      <c r="M308" s="32"/>
      <c r="N308" s="32"/>
      <c r="O308" s="32"/>
      <c r="P308" s="32"/>
      <c r="Q308" s="32"/>
      <c r="R308" s="32"/>
      <c r="S308" s="33"/>
      <c r="T308" s="32"/>
      <c r="U308" s="32"/>
      <c r="AC308" s="32"/>
      <c r="AD308" s="32"/>
      <c r="AE308" s="1"/>
      <c r="AF308" s="1"/>
    </row>
    <row r="309" spans="1:32" x14ac:dyDescent="0.4">
      <c r="A309" s="32"/>
      <c r="B309" s="32"/>
      <c r="C309" s="32"/>
      <c r="D309" s="32"/>
      <c r="E309" s="32"/>
      <c r="F309" s="33"/>
      <c r="G309" s="32"/>
      <c r="H309" s="32"/>
      <c r="I309" s="32"/>
      <c r="J309" s="32"/>
      <c r="K309" s="33"/>
      <c r="L309" s="32"/>
      <c r="M309" s="32"/>
      <c r="N309" s="32"/>
      <c r="O309" s="32"/>
      <c r="P309" s="32"/>
      <c r="Q309" s="32"/>
      <c r="R309" s="32"/>
      <c r="S309" s="33"/>
      <c r="T309" s="32"/>
      <c r="U309" s="32"/>
      <c r="AC309" s="32"/>
      <c r="AD309" s="32"/>
      <c r="AE309" s="1"/>
      <c r="AF309" s="1"/>
    </row>
    <row r="310" spans="1:32" x14ac:dyDescent="0.4">
      <c r="A310" s="32"/>
      <c r="B310" s="32"/>
      <c r="C310" s="32"/>
      <c r="D310" s="32"/>
      <c r="E310" s="32"/>
      <c r="F310" s="33"/>
      <c r="G310" s="32"/>
      <c r="H310" s="32"/>
      <c r="I310" s="32"/>
      <c r="J310" s="32"/>
      <c r="K310" s="33"/>
      <c r="L310" s="32"/>
      <c r="M310" s="32"/>
      <c r="N310" s="32"/>
      <c r="O310" s="32"/>
      <c r="P310" s="32"/>
      <c r="Q310" s="32"/>
      <c r="R310" s="32"/>
      <c r="S310" s="33"/>
      <c r="T310" s="32"/>
      <c r="U310" s="32"/>
      <c r="AC310" s="32"/>
      <c r="AD310" s="32"/>
      <c r="AE310" s="1"/>
      <c r="AF310" s="1"/>
    </row>
    <row r="311" spans="1:32" x14ac:dyDescent="0.4">
      <c r="A311" s="32"/>
      <c r="B311" s="32"/>
      <c r="C311" s="32"/>
      <c r="D311" s="32"/>
      <c r="E311" s="32"/>
      <c r="F311" s="33"/>
      <c r="G311" s="32"/>
      <c r="H311" s="32"/>
      <c r="I311" s="32"/>
      <c r="J311" s="32"/>
      <c r="K311" s="33"/>
      <c r="L311" s="32"/>
      <c r="M311" s="32"/>
      <c r="N311" s="32"/>
      <c r="O311" s="32"/>
      <c r="P311" s="32"/>
      <c r="Q311" s="32"/>
      <c r="R311" s="32"/>
      <c r="S311" s="33"/>
      <c r="T311" s="32"/>
      <c r="U311" s="32"/>
      <c r="AC311" s="32"/>
      <c r="AD311" s="32"/>
      <c r="AE311" s="1"/>
      <c r="AF311" s="1"/>
    </row>
    <row r="312" spans="1:32" x14ac:dyDescent="0.4">
      <c r="A312" s="32"/>
      <c r="B312" s="32"/>
      <c r="C312" s="32"/>
      <c r="D312" s="32"/>
      <c r="E312" s="32"/>
      <c r="F312" s="33"/>
      <c r="G312" s="32"/>
      <c r="H312" s="32"/>
      <c r="I312" s="32"/>
      <c r="J312" s="32"/>
      <c r="K312" s="33"/>
      <c r="L312" s="32"/>
      <c r="M312" s="32"/>
      <c r="N312" s="32"/>
      <c r="O312" s="32"/>
      <c r="P312" s="32"/>
      <c r="Q312" s="32"/>
      <c r="R312" s="32"/>
      <c r="S312" s="33"/>
      <c r="T312" s="32"/>
      <c r="U312" s="32"/>
      <c r="AC312" s="32"/>
      <c r="AD312" s="32"/>
      <c r="AE312" s="1"/>
      <c r="AF312" s="1"/>
    </row>
    <row r="313" spans="1:32" x14ac:dyDescent="0.4">
      <c r="A313" s="32"/>
      <c r="B313" s="32"/>
      <c r="C313" s="32"/>
      <c r="D313" s="32"/>
      <c r="E313" s="32"/>
      <c r="F313" s="33"/>
      <c r="G313" s="32"/>
      <c r="H313" s="32"/>
      <c r="I313" s="32"/>
      <c r="J313" s="32"/>
      <c r="K313" s="33"/>
      <c r="L313" s="32"/>
      <c r="M313" s="32"/>
      <c r="N313" s="32"/>
      <c r="O313" s="32"/>
      <c r="P313" s="32"/>
      <c r="Q313" s="32"/>
      <c r="R313" s="32"/>
      <c r="S313" s="33"/>
      <c r="T313" s="32"/>
      <c r="U313" s="32"/>
      <c r="AC313" s="32"/>
      <c r="AD313" s="32"/>
      <c r="AE313" s="1"/>
      <c r="AF313" s="1"/>
    </row>
    <row r="314" spans="1:32" x14ac:dyDescent="0.4">
      <c r="A314" s="32"/>
      <c r="B314" s="32"/>
      <c r="C314" s="32"/>
      <c r="D314" s="32"/>
      <c r="E314" s="32"/>
      <c r="F314" s="33"/>
      <c r="G314" s="32"/>
      <c r="H314" s="32"/>
      <c r="I314" s="32"/>
      <c r="J314" s="32"/>
      <c r="K314" s="33"/>
      <c r="L314" s="32"/>
      <c r="M314" s="32"/>
      <c r="N314" s="32"/>
      <c r="O314" s="32"/>
      <c r="P314" s="32"/>
      <c r="Q314" s="32"/>
      <c r="R314" s="32"/>
      <c r="S314" s="33"/>
      <c r="T314" s="32"/>
      <c r="U314" s="32"/>
      <c r="AC314" s="32"/>
      <c r="AD314" s="32"/>
      <c r="AE314" s="1"/>
      <c r="AF314" s="1"/>
    </row>
    <row r="315" spans="1:32" x14ac:dyDescent="0.4">
      <c r="A315" s="32"/>
      <c r="B315" s="32"/>
      <c r="C315" s="32"/>
      <c r="D315" s="32"/>
      <c r="E315" s="32"/>
      <c r="F315" s="33"/>
      <c r="G315" s="32"/>
      <c r="H315" s="32"/>
      <c r="I315" s="32"/>
      <c r="J315" s="32"/>
      <c r="K315" s="33"/>
      <c r="L315" s="32"/>
      <c r="M315" s="32"/>
      <c r="N315" s="32"/>
      <c r="O315" s="32"/>
      <c r="P315" s="32"/>
      <c r="Q315" s="32"/>
      <c r="R315" s="32"/>
      <c r="S315" s="33"/>
      <c r="T315" s="32"/>
      <c r="U315" s="32"/>
      <c r="AC315" s="32"/>
      <c r="AD315" s="32"/>
      <c r="AE315" s="1"/>
      <c r="AF315" s="1"/>
    </row>
    <row r="316" spans="1:32" x14ac:dyDescent="0.4">
      <c r="A316" s="32"/>
      <c r="B316" s="32"/>
      <c r="C316" s="32"/>
      <c r="D316" s="32"/>
      <c r="E316" s="32"/>
      <c r="F316" s="33"/>
      <c r="G316" s="32"/>
      <c r="H316" s="32"/>
      <c r="I316" s="32"/>
      <c r="J316" s="32"/>
      <c r="K316" s="33"/>
      <c r="L316" s="32"/>
      <c r="M316" s="32"/>
      <c r="N316" s="32"/>
      <c r="O316" s="32"/>
      <c r="P316" s="32"/>
      <c r="Q316" s="32"/>
      <c r="R316" s="32"/>
      <c r="S316" s="33"/>
      <c r="T316" s="32"/>
      <c r="U316" s="32"/>
      <c r="AC316" s="32"/>
      <c r="AD316" s="32"/>
      <c r="AE316" s="1"/>
      <c r="AF316" s="1"/>
    </row>
    <row r="317" spans="1:32" x14ac:dyDescent="0.4">
      <c r="A317" s="32"/>
      <c r="B317" s="32"/>
      <c r="C317" s="32"/>
      <c r="D317" s="32"/>
      <c r="E317" s="32"/>
      <c r="F317" s="33"/>
      <c r="G317" s="32"/>
      <c r="H317" s="32"/>
      <c r="I317" s="32"/>
      <c r="J317" s="32"/>
      <c r="K317" s="33"/>
      <c r="L317" s="32"/>
      <c r="M317" s="32"/>
      <c r="N317" s="32"/>
      <c r="O317" s="32"/>
      <c r="P317" s="32"/>
      <c r="Q317" s="32"/>
      <c r="R317" s="32"/>
      <c r="S317" s="33"/>
      <c r="T317" s="32"/>
      <c r="U317" s="32"/>
      <c r="AC317" s="32"/>
      <c r="AD317" s="32"/>
      <c r="AE317" s="1"/>
      <c r="AF317" s="1"/>
    </row>
    <row r="318" spans="1:32" x14ac:dyDescent="0.4">
      <c r="A318" s="32"/>
      <c r="B318" s="32"/>
      <c r="C318" s="32"/>
      <c r="D318" s="32"/>
      <c r="E318" s="32"/>
      <c r="F318" s="33"/>
      <c r="G318" s="32"/>
      <c r="H318" s="32"/>
      <c r="I318" s="32"/>
      <c r="J318" s="32"/>
      <c r="K318" s="33"/>
      <c r="L318" s="32"/>
      <c r="M318" s="32"/>
      <c r="N318" s="32"/>
      <c r="O318" s="32"/>
      <c r="P318" s="32"/>
      <c r="Q318" s="32"/>
      <c r="R318" s="32"/>
      <c r="S318" s="33"/>
      <c r="T318" s="32"/>
      <c r="U318" s="32"/>
      <c r="AC318" s="32"/>
      <c r="AD318" s="32"/>
      <c r="AE318" s="1"/>
      <c r="AF318" s="1"/>
    </row>
    <row r="319" spans="1:32" x14ac:dyDescent="0.4">
      <c r="A319" s="32"/>
      <c r="B319" s="32"/>
      <c r="C319" s="32"/>
      <c r="D319" s="32"/>
      <c r="E319" s="32"/>
      <c r="F319" s="33"/>
      <c r="G319" s="32"/>
      <c r="H319" s="32"/>
      <c r="I319" s="32"/>
      <c r="J319" s="32"/>
      <c r="K319" s="33"/>
      <c r="L319" s="32"/>
      <c r="M319" s="32"/>
      <c r="N319" s="32"/>
      <c r="O319" s="32"/>
      <c r="P319" s="32"/>
      <c r="Q319" s="32"/>
      <c r="R319" s="32"/>
      <c r="S319" s="33"/>
      <c r="T319" s="32"/>
      <c r="U319" s="32"/>
      <c r="AC319" s="32"/>
      <c r="AD319" s="32"/>
      <c r="AE319" s="1"/>
      <c r="AF319" s="1"/>
    </row>
    <row r="320" spans="1:32" x14ac:dyDescent="0.4">
      <c r="A320" s="32"/>
      <c r="B320" s="32"/>
      <c r="C320" s="32"/>
      <c r="D320" s="32"/>
      <c r="E320" s="32"/>
      <c r="F320" s="33"/>
      <c r="G320" s="32"/>
      <c r="H320" s="32"/>
      <c r="I320" s="32"/>
      <c r="J320" s="32"/>
      <c r="K320" s="33"/>
      <c r="L320" s="32"/>
      <c r="M320" s="32"/>
      <c r="N320" s="32"/>
      <c r="O320" s="32"/>
      <c r="P320" s="32"/>
      <c r="Q320" s="32"/>
      <c r="R320" s="32"/>
      <c r="S320" s="33"/>
      <c r="T320" s="32"/>
      <c r="U320" s="32"/>
      <c r="AC320" s="32"/>
      <c r="AD320" s="32"/>
      <c r="AE320" s="1"/>
      <c r="AF320" s="1"/>
    </row>
    <row r="321" spans="1:32" x14ac:dyDescent="0.4">
      <c r="A321" s="32"/>
      <c r="B321" s="32"/>
      <c r="C321" s="32"/>
      <c r="D321" s="32"/>
      <c r="E321" s="32"/>
      <c r="F321" s="33"/>
      <c r="G321" s="32"/>
      <c r="H321" s="32"/>
      <c r="I321" s="32"/>
      <c r="J321" s="32"/>
      <c r="K321" s="33"/>
      <c r="L321" s="32"/>
      <c r="M321" s="32"/>
      <c r="N321" s="32"/>
      <c r="O321" s="32"/>
      <c r="P321" s="32"/>
      <c r="Q321" s="32"/>
      <c r="R321" s="32"/>
      <c r="S321" s="33"/>
      <c r="T321" s="32"/>
      <c r="U321" s="32"/>
      <c r="AC321" s="32"/>
      <c r="AD321" s="32"/>
      <c r="AE321" s="1"/>
      <c r="AF321" s="1"/>
    </row>
    <row r="322" spans="1:32" x14ac:dyDescent="0.4">
      <c r="A322" s="32"/>
      <c r="B322" s="32"/>
      <c r="C322" s="32"/>
      <c r="D322" s="32"/>
      <c r="E322" s="32"/>
      <c r="F322" s="33"/>
      <c r="G322" s="32"/>
      <c r="H322" s="32"/>
      <c r="I322" s="32"/>
      <c r="J322" s="32"/>
      <c r="K322" s="33"/>
      <c r="L322" s="32"/>
      <c r="M322" s="32"/>
      <c r="N322" s="32"/>
      <c r="O322" s="32"/>
      <c r="P322" s="32"/>
      <c r="Q322" s="32"/>
      <c r="R322" s="32"/>
      <c r="S322" s="33"/>
      <c r="T322" s="32"/>
      <c r="U322" s="32"/>
      <c r="AC322" s="32"/>
      <c r="AD322" s="32"/>
      <c r="AE322" s="1"/>
      <c r="AF322" s="1"/>
    </row>
    <row r="323" spans="1:32" x14ac:dyDescent="0.4">
      <c r="A323" s="32"/>
      <c r="B323" s="32"/>
      <c r="C323" s="32"/>
      <c r="D323" s="32"/>
      <c r="E323" s="32"/>
      <c r="F323" s="33"/>
      <c r="G323" s="32"/>
      <c r="H323" s="32"/>
      <c r="I323" s="32"/>
      <c r="J323" s="32"/>
      <c r="K323" s="33"/>
      <c r="L323" s="32"/>
      <c r="M323" s="32"/>
      <c r="N323" s="32"/>
      <c r="O323" s="32"/>
      <c r="P323" s="32"/>
      <c r="Q323" s="32"/>
      <c r="R323" s="32"/>
      <c r="S323" s="33"/>
      <c r="T323" s="32"/>
      <c r="U323" s="32"/>
      <c r="AC323" s="32"/>
      <c r="AD323" s="32"/>
      <c r="AE323" s="1"/>
      <c r="AF323" s="1"/>
    </row>
  </sheetData>
  <autoFilter ref="A3:T187" xr:uid="{BE8BB781-C563-4C2C-A1B4-9F3C1BC1387C}">
    <filterColumn colId="15">
      <filters>
        <filter val="25"/>
      </filters>
    </filterColumn>
    <sortState xmlns:xlrd2="http://schemas.microsoft.com/office/spreadsheetml/2017/richdata2" ref="A4:T32">
      <sortCondition ref="G3:G25"/>
    </sortState>
  </autoFilter>
  <mergeCells count="6">
    <mergeCell ref="A2:G2"/>
    <mergeCell ref="AD1:AF1"/>
    <mergeCell ref="AD7:AF7"/>
    <mergeCell ref="V2:AB2"/>
    <mergeCell ref="H2:L2"/>
    <mergeCell ref="M2:T2"/>
  </mergeCells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40D28A-E1BF-482F-BEBD-33F85DFB0D41}">
  <sheetPr codeName="Sheet4"/>
  <dimension ref="A1:AI323"/>
  <sheetViews>
    <sheetView topLeftCell="A40" zoomScale="40" zoomScaleNormal="40" workbookViewId="0">
      <selection activeCell="E15" sqref="E15"/>
    </sheetView>
  </sheetViews>
  <sheetFormatPr defaultColWidth="35.7109375" defaultRowHeight="30.75" x14ac:dyDescent="0.4"/>
  <cols>
    <col min="1" max="1" width="40.42578125" style="160" customWidth="1"/>
    <col min="2" max="2" width="35.7109375" style="160"/>
    <col min="3" max="5" width="35.7109375" style="160" customWidth="1"/>
    <col min="6" max="6" width="35.7109375" style="161"/>
    <col min="7" max="10" width="35.7109375" style="160" customWidth="1"/>
    <col min="11" max="11" width="35.7109375" style="161" customWidth="1"/>
    <col min="12" max="12" width="35.7109375" style="160" hidden="1" customWidth="1"/>
    <col min="13" max="13" width="42.5703125" style="160" hidden="1" customWidth="1"/>
    <col min="14" max="14" width="35.7109375" style="160" hidden="1" customWidth="1"/>
    <col min="15" max="15" width="46.28515625" style="160" hidden="1" customWidth="1"/>
    <col min="16" max="16" width="42.28515625" style="160" hidden="1" customWidth="1"/>
    <col min="17" max="18" width="35.7109375" style="160" hidden="1" customWidth="1"/>
    <col min="19" max="19" width="36.42578125" style="161" hidden="1" customWidth="1"/>
    <col min="20" max="20" width="35.7109375" style="160" hidden="1" customWidth="1"/>
    <col min="21" max="21" width="35.7109375" style="160" customWidth="1"/>
    <col min="22" max="22" width="35.7109375" style="161"/>
    <col min="23" max="23" width="43.5703125" style="160" customWidth="1"/>
    <col min="24" max="24" width="35.7109375" style="157" customWidth="1"/>
    <col min="25" max="25" width="36.85546875" style="160" customWidth="1"/>
    <col min="26" max="26" width="35.7109375" style="157"/>
    <col min="27" max="30" width="35.7109375" style="160"/>
    <col min="31" max="32" width="35.7109375" style="157"/>
    <col min="33" max="16384" width="35.7109375" style="160"/>
  </cols>
  <sheetData>
    <row r="1" spans="1:35" s="1" customFormat="1" ht="31.5" hidden="1" thickBot="1" x14ac:dyDescent="0.25">
      <c r="F1" s="2"/>
      <c r="K1" s="2"/>
      <c r="S1" s="2"/>
      <c r="V1" s="49"/>
      <c r="W1" s="50"/>
      <c r="X1" s="50"/>
      <c r="Y1" s="50"/>
      <c r="Z1" s="50"/>
      <c r="AA1" s="50"/>
      <c r="AB1" s="50"/>
      <c r="AC1" s="159"/>
      <c r="AD1" s="288"/>
      <c r="AE1" s="288"/>
      <c r="AF1" s="288"/>
      <c r="AG1" s="159"/>
    </row>
    <row r="2" spans="1:35" s="1" customFormat="1" ht="31.5" thickBot="1" x14ac:dyDescent="0.25">
      <c r="A2" s="285" t="s">
        <v>0</v>
      </c>
      <c r="B2" s="286"/>
      <c r="C2" s="286"/>
      <c r="D2" s="286"/>
      <c r="E2" s="286"/>
      <c r="F2" s="286"/>
      <c r="G2" s="287"/>
      <c r="H2" s="295" t="s">
        <v>4</v>
      </c>
      <c r="I2" s="296"/>
      <c r="J2" s="296"/>
      <c r="K2" s="296"/>
      <c r="L2" s="297"/>
      <c r="M2" s="298" t="s">
        <v>14</v>
      </c>
      <c r="N2" s="299"/>
      <c r="O2" s="299"/>
      <c r="P2" s="299"/>
      <c r="Q2" s="299"/>
      <c r="R2" s="299"/>
      <c r="S2" s="299"/>
      <c r="T2" s="300"/>
      <c r="V2" s="290" t="s">
        <v>73</v>
      </c>
      <c r="W2" s="291"/>
      <c r="X2" s="292"/>
      <c r="Y2" s="292"/>
      <c r="Z2" s="293"/>
      <c r="AA2" s="293"/>
      <c r="AB2" s="294"/>
      <c r="AC2" s="160"/>
      <c r="AD2" s="161"/>
      <c r="AE2" s="161"/>
      <c r="AF2" s="161"/>
      <c r="AG2" s="160"/>
      <c r="AH2" s="50"/>
      <c r="AI2" s="50"/>
    </row>
    <row r="3" spans="1:35" s="1" customFormat="1" ht="80.099999999999994" customHeight="1" x14ac:dyDescent="0.2">
      <c r="A3" s="238" t="s">
        <v>86</v>
      </c>
      <c r="B3" s="239" t="s">
        <v>136</v>
      </c>
      <c r="C3" s="239" t="s">
        <v>87</v>
      </c>
      <c r="D3" s="239" t="s">
        <v>88</v>
      </c>
      <c r="E3" s="239" t="s">
        <v>89</v>
      </c>
      <c r="F3" s="239" t="s">
        <v>90</v>
      </c>
      <c r="G3" s="240" t="s">
        <v>3</v>
      </c>
      <c r="H3" s="241" t="s">
        <v>9</v>
      </c>
      <c r="I3" s="242" t="s">
        <v>10</v>
      </c>
      <c r="J3" s="242" t="s">
        <v>1</v>
      </c>
      <c r="K3" s="242" t="s">
        <v>2</v>
      </c>
      <c r="L3" s="243" t="s">
        <v>139</v>
      </c>
      <c r="M3" s="244" t="s">
        <v>140</v>
      </c>
      <c r="N3" s="245" t="s">
        <v>141</v>
      </c>
      <c r="O3" s="246" t="s">
        <v>11</v>
      </c>
      <c r="P3" s="246" t="s">
        <v>12</v>
      </c>
      <c r="Q3" s="245" t="s">
        <v>142</v>
      </c>
      <c r="R3" s="246" t="s">
        <v>100</v>
      </c>
      <c r="S3" s="246" t="s">
        <v>95</v>
      </c>
      <c r="T3" s="247" t="s">
        <v>13</v>
      </c>
      <c r="V3" s="40" t="s">
        <v>60</v>
      </c>
      <c r="W3" s="143" t="s">
        <v>91</v>
      </c>
      <c r="X3" s="52" t="s">
        <v>92</v>
      </c>
      <c r="Y3" s="53" t="s">
        <v>93</v>
      </c>
      <c r="Z3" s="150" t="s">
        <v>94</v>
      </c>
      <c r="AA3" s="151" t="s">
        <v>117</v>
      </c>
      <c r="AB3" s="152" t="s">
        <v>118</v>
      </c>
      <c r="AC3" s="160"/>
      <c r="AD3" s="160"/>
      <c r="AE3" s="160"/>
      <c r="AF3" s="160"/>
      <c r="AG3" s="160"/>
      <c r="AH3" s="50"/>
      <c r="AI3" s="50"/>
    </row>
    <row r="4" spans="1:35" s="1" customFormat="1" x14ac:dyDescent="0.2">
      <c r="A4" s="11" t="s">
        <v>28</v>
      </c>
      <c r="B4" s="12" t="s">
        <v>24</v>
      </c>
      <c r="C4" s="12" t="s">
        <v>45</v>
      </c>
      <c r="D4" s="12" t="s">
        <v>46</v>
      </c>
      <c r="E4" s="12">
        <v>6276804</v>
      </c>
      <c r="F4" s="13">
        <v>8100</v>
      </c>
      <c r="G4" s="14">
        <v>45482</v>
      </c>
      <c r="H4" s="15" t="s">
        <v>31</v>
      </c>
      <c r="I4" s="16" t="s">
        <v>27</v>
      </c>
      <c r="J4" s="16">
        <v>6283782</v>
      </c>
      <c r="K4" s="17">
        <v>8125</v>
      </c>
      <c r="L4" s="18">
        <v>45486</v>
      </c>
      <c r="M4" s="19" t="s">
        <v>17</v>
      </c>
      <c r="N4" s="20" t="s">
        <v>36</v>
      </c>
      <c r="O4" s="20"/>
      <c r="P4" s="20">
        <v>26</v>
      </c>
      <c r="Q4" s="21">
        <v>45486</v>
      </c>
      <c r="R4" s="20">
        <v>310</v>
      </c>
      <c r="S4" s="22">
        <v>8130</v>
      </c>
      <c r="T4" s="23">
        <v>180</v>
      </c>
      <c r="V4" s="37">
        <f t="shared" ref="V4:V67" si="0">IF(RIGHT(C4, 1)="1",
    IF(O4&lt;&gt;"", 500*O4 + T4 + IF(R4&lt;=110, R4, 0), IF(P4&lt;&gt;"", 305*P4 + T4 + IF(R4&lt;=110, R4, 0), "")),
    IF(O4&lt;&gt;"", 500*O4 + T4, IF(P4&lt;&gt;"", 305*P4 + T4, ""))
)</f>
        <v>8110</v>
      </c>
      <c r="W4" s="24">
        <f t="shared" ref="W4:W67" si="1">IF(OR(ISBLANK(V4), ISBLANK(S4), NOT(ISNUMBER(V4)), NOT(ISNUMBER(S4))), "", V4-S4)</f>
        <v>-20</v>
      </c>
      <c r="X4" s="45">
        <f t="shared" ref="X4:X67" si="2">IF(OR(ISBLANK(V4), ISBLANK(K4), NOT(ISNUMBER(V4)), NOT(ISNUMBER(K4))), "", V4-K4)</f>
        <v>-15</v>
      </c>
      <c r="Y4" s="25">
        <f t="shared" ref="Y4:Y67" si="3">IF(OR(ISBLANK(V4), ISBLANK(F4), NOT(ISNUMBER(V4)), NOT(ISNUMBER(F4))), "", V4-F4)</f>
        <v>10</v>
      </c>
      <c r="Z4" s="38">
        <f t="shared" ref="Z4:Z67" si="4">IF(OR(ISBLANK(F4), ISBLANK(K4)), "",K4-F4)</f>
        <v>25</v>
      </c>
      <c r="AA4" s="39">
        <f t="shared" ref="AA4:AA67" si="5">IF(OR(ISBLANK(K4), ISBLANK(S4)), "",S4-K4)</f>
        <v>5</v>
      </c>
      <c r="AB4" s="58">
        <f t="shared" ref="AB4:AB67" si="6">IF(OR(ISBLANK(F4), ISBLANK(S4)), "",S4-F4)</f>
        <v>30</v>
      </c>
      <c r="AC4" s="209"/>
      <c r="AD4" s="209"/>
      <c r="AE4" s="209"/>
      <c r="AF4" s="209"/>
      <c r="AG4" s="209"/>
      <c r="AH4" s="50"/>
      <c r="AI4" s="50"/>
    </row>
    <row r="5" spans="1:35" s="1" customFormat="1" x14ac:dyDescent="0.2">
      <c r="A5" s="11" t="s">
        <v>5</v>
      </c>
      <c r="B5" s="12" t="s">
        <v>19</v>
      </c>
      <c r="C5" s="12" t="s">
        <v>50</v>
      </c>
      <c r="D5" s="12" t="s">
        <v>15</v>
      </c>
      <c r="E5" s="12">
        <v>6279823</v>
      </c>
      <c r="F5" s="13">
        <v>7780</v>
      </c>
      <c r="G5" s="14">
        <v>45483</v>
      </c>
      <c r="H5" s="15" t="s">
        <v>7</v>
      </c>
      <c r="I5" s="16" t="s">
        <v>27</v>
      </c>
      <c r="J5" s="16">
        <v>6284498</v>
      </c>
      <c r="K5" s="17">
        <v>7760</v>
      </c>
      <c r="L5" s="18">
        <v>45489</v>
      </c>
      <c r="M5" s="19" t="s">
        <v>17</v>
      </c>
      <c r="N5" s="20" t="s">
        <v>25</v>
      </c>
      <c r="O5" s="20"/>
      <c r="P5" s="20">
        <v>25</v>
      </c>
      <c r="Q5" s="21">
        <v>45489</v>
      </c>
      <c r="R5" s="20">
        <v>310</v>
      </c>
      <c r="S5" s="22">
        <v>7765</v>
      </c>
      <c r="T5" s="23">
        <v>150</v>
      </c>
      <c r="V5" s="37">
        <f t="shared" si="0"/>
        <v>7775</v>
      </c>
      <c r="W5" s="46">
        <f t="shared" si="1"/>
        <v>10</v>
      </c>
      <c r="X5" s="26">
        <f t="shared" si="2"/>
        <v>15</v>
      </c>
      <c r="Y5" s="25">
        <f t="shared" si="3"/>
        <v>-5</v>
      </c>
      <c r="Z5" s="38">
        <f t="shared" si="4"/>
        <v>-20</v>
      </c>
      <c r="AA5" s="39">
        <f t="shared" si="5"/>
        <v>5</v>
      </c>
      <c r="AB5" s="58">
        <f t="shared" si="6"/>
        <v>-15</v>
      </c>
      <c r="AC5" s="209"/>
      <c r="AD5" s="209"/>
      <c r="AE5" s="209"/>
      <c r="AF5" s="209"/>
      <c r="AG5" s="209"/>
      <c r="AH5" s="50"/>
      <c r="AI5" s="50"/>
    </row>
    <row r="6" spans="1:35" s="1" customFormat="1" x14ac:dyDescent="0.2">
      <c r="A6" s="11" t="s">
        <v>5</v>
      </c>
      <c r="B6" s="12" t="s">
        <v>20</v>
      </c>
      <c r="C6" s="12" t="s">
        <v>49</v>
      </c>
      <c r="D6" s="12" t="s">
        <v>15</v>
      </c>
      <c r="E6" s="12">
        <v>6279840</v>
      </c>
      <c r="F6" s="13">
        <v>7780</v>
      </c>
      <c r="G6" s="14">
        <v>45483</v>
      </c>
      <c r="H6" s="15" t="s">
        <v>7</v>
      </c>
      <c r="I6" s="16" t="s">
        <v>27</v>
      </c>
      <c r="J6" s="16">
        <v>6284524</v>
      </c>
      <c r="K6" s="17">
        <v>7740</v>
      </c>
      <c r="L6" s="18">
        <v>45489</v>
      </c>
      <c r="M6" s="19" t="s">
        <v>39</v>
      </c>
      <c r="N6" s="20" t="s">
        <v>36</v>
      </c>
      <c r="O6" s="20">
        <v>15</v>
      </c>
      <c r="P6" s="20"/>
      <c r="Q6" s="21">
        <v>45489</v>
      </c>
      <c r="R6" s="20">
        <v>500</v>
      </c>
      <c r="S6" s="22">
        <v>7750</v>
      </c>
      <c r="T6" s="23">
        <v>226</v>
      </c>
      <c r="V6" s="37">
        <f t="shared" si="0"/>
        <v>7726</v>
      </c>
      <c r="W6" s="46">
        <f t="shared" si="1"/>
        <v>-24</v>
      </c>
      <c r="X6" s="27">
        <f t="shared" si="2"/>
        <v>-14</v>
      </c>
      <c r="Y6" s="199">
        <f t="shared" si="3"/>
        <v>-54</v>
      </c>
      <c r="Z6" s="38">
        <f t="shared" si="4"/>
        <v>-40</v>
      </c>
      <c r="AA6" s="39">
        <f t="shared" si="5"/>
        <v>10</v>
      </c>
      <c r="AB6" s="58">
        <f t="shared" si="6"/>
        <v>-30</v>
      </c>
      <c r="AC6" s="209"/>
      <c r="AD6" s="209"/>
      <c r="AE6" s="209"/>
      <c r="AF6" s="209"/>
      <c r="AG6" s="209"/>
      <c r="AH6" s="50"/>
      <c r="AI6" s="50"/>
    </row>
    <row r="7" spans="1:35" s="1" customFormat="1" x14ac:dyDescent="0.2">
      <c r="A7" s="11" t="s">
        <v>5</v>
      </c>
      <c r="B7" s="12" t="s">
        <v>19</v>
      </c>
      <c r="C7" s="12" t="s">
        <v>26</v>
      </c>
      <c r="D7" s="12" t="s">
        <v>15</v>
      </c>
      <c r="E7" s="12">
        <v>6283025</v>
      </c>
      <c r="F7" s="13">
        <v>7780</v>
      </c>
      <c r="G7" s="14">
        <v>45485</v>
      </c>
      <c r="H7" s="15" t="s">
        <v>7</v>
      </c>
      <c r="I7" s="16" t="s">
        <v>16</v>
      </c>
      <c r="J7" s="16">
        <v>6284038</v>
      </c>
      <c r="K7" s="17">
        <v>7750</v>
      </c>
      <c r="L7" s="18">
        <v>45486</v>
      </c>
      <c r="M7" s="19"/>
      <c r="N7" s="20"/>
      <c r="O7" s="20"/>
      <c r="P7" s="20">
        <v>25</v>
      </c>
      <c r="Q7" s="21">
        <v>45486</v>
      </c>
      <c r="R7" s="20">
        <v>55</v>
      </c>
      <c r="S7" s="22">
        <v>7765</v>
      </c>
      <c r="T7" s="23">
        <v>85</v>
      </c>
      <c r="V7" s="37">
        <f t="shared" si="0"/>
        <v>7765</v>
      </c>
      <c r="W7" s="28">
        <f t="shared" si="1"/>
        <v>0</v>
      </c>
      <c r="X7" s="26">
        <f t="shared" si="2"/>
        <v>15</v>
      </c>
      <c r="Y7" s="200">
        <f t="shared" si="3"/>
        <v>-15</v>
      </c>
      <c r="Z7" s="38">
        <f t="shared" si="4"/>
        <v>-30</v>
      </c>
      <c r="AA7" s="39">
        <f t="shared" si="5"/>
        <v>15</v>
      </c>
      <c r="AB7" s="58">
        <f t="shared" si="6"/>
        <v>-15</v>
      </c>
      <c r="AC7" s="209"/>
      <c r="AD7" s="209"/>
      <c r="AE7" s="209"/>
      <c r="AF7" s="209"/>
      <c r="AG7" s="209"/>
      <c r="AH7" s="50"/>
      <c r="AI7" s="50"/>
    </row>
    <row r="8" spans="1:35" s="1" customFormat="1" x14ac:dyDescent="0.2">
      <c r="A8" s="11" t="s">
        <v>5</v>
      </c>
      <c r="B8" s="12" t="s">
        <v>24</v>
      </c>
      <c r="C8" s="12" t="s">
        <v>59</v>
      </c>
      <c r="D8" s="12" t="s">
        <v>6</v>
      </c>
      <c r="E8" s="12">
        <v>6282999</v>
      </c>
      <c r="F8" s="13">
        <v>7780</v>
      </c>
      <c r="G8" s="14">
        <v>45485</v>
      </c>
      <c r="H8" s="15" t="s">
        <v>7</v>
      </c>
      <c r="I8" s="16" t="s">
        <v>16</v>
      </c>
      <c r="J8" s="16">
        <v>6284077</v>
      </c>
      <c r="K8" s="17">
        <v>7770</v>
      </c>
      <c r="L8" s="18">
        <v>45486</v>
      </c>
      <c r="M8" s="19" t="s">
        <v>17</v>
      </c>
      <c r="N8" s="20" t="s">
        <v>25</v>
      </c>
      <c r="O8" s="20"/>
      <c r="P8" s="20">
        <v>25</v>
      </c>
      <c r="Q8" s="21">
        <v>45489</v>
      </c>
      <c r="R8" s="20">
        <v>55</v>
      </c>
      <c r="S8" s="22">
        <v>7815</v>
      </c>
      <c r="T8" s="23">
        <v>140</v>
      </c>
      <c r="V8" s="37">
        <f t="shared" si="0"/>
        <v>7820</v>
      </c>
      <c r="W8" s="28">
        <f t="shared" si="1"/>
        <v>5</v>
      </c>
      <c r="X8" s="26">
        <f t="shared" si="2"/>
        <v>50</v>
      </c>
      <c r="Y8" s="200">
        <f t="shared" si="3"/>
        <v>40</v>
      </c>
      <c r="Z8" s="38">
        <f t="shared" si="4"/>
        <v>-10</v>
      </c>
      <c r="AA8" s="39">
        <f t="shared" si="5"/>
        <v>45</v>
      </c>
      <c r="AB8" s="58">
        <f t="shared" si="6"/>
        <v>35</v>
      </c>
      <c r="AC8" s="50"/>
      <c r="AD8" s="50"/>
      <c r="AE8" s="50"/>
      <c r="AF8" s="50"/>
      <c r="AG8" s="50"/>
      <c r="AH8" s="50"/>
      <c r="AI8" s="50"/>
    </row>
    <row r="9" spans="1:35" s="1" customFormat="1" x14ac:dyDescent="0.2">
      <c r="A9" s="11" t="s">
        <v>28</v>
      </c>
      <c r="B9" s="12" t="s">
        <v>19</v>
      </c>
      <c r="C9" s="12" t="s">
        <v>29</v>
      </c>
      <c r="D9" s="12" t="s">
        <v>30</v>
      </c>
      <c r="E9" s="12">
        <v>6282752</v>
      </c>
      <c r="F9" s="13">
        <v>8135</v>
      </c>
      <c r="G9" s="14">
        <v>45485</v>
      </c>
      <c r="H9" s="15" t="s">
        <v>31</v>
      </c>
      <c r="I9" s="16" t="s">
        <v>32</v>
      </c>
      <c r="J9" s="16">
        <v>6233059</v>
      </c>
      <c r="K9" s="17">
        <v>8170</v>
      </c>
      <c r="L9" s="18">
        <v>45485</v>
      </c>
      <c r="M9" s="19" t="s">
        <v>17</v>
      </c>
      <c r="N9" s="20" t="s">
        <v>18</v>
      </c>
      <c r="O9" s="20"/>
      <c r="P9" s="20">
        <v>26</v>
      </c>
      <c r="Q9" s="21">
        <v>45485</v>
      </c>
      <c r="R9" s="20">
        <v>110</v>
      </c>
      <c r="S9" s="22">
        <v>8150</v>
      </c>
      <c r="T9" s="23">
        <v>120</v>
      </c>
      <c r="V9" s="37">
        <f t="shared" si="0"/>
        <v>8160</v>
      </c>
      <c r="W9" s="28">
        <f t="shared" si="1"/>
        <v>10</v>
      </c>
      <c r="X9" s="45">
        <f t="shared" si="2"/>
        <v>-10</v>
      </c>
      <c r="Y9" s="199">
        <f t="shared" si="3"/>
        <v>25</v>
      </c>
      <c r="Z9" s="38">
        <f t="shared" si="4"/>
        <v>35</v>
      </c>
      <c r="AA9" s="39">
        <f t="shared" si="5"/>
        <v>-20</v>
      </c>
      <c r="AB9" s="58">
        <f t="shared" si="6"/>
        <v>15</v>
      </c>
      <c r="AC9" s="50"/>
      <c r="AD9" s="50"/>
      <c r="AE9" s="50"/>
      <c r="AF9" s="50"/>
      <c r="AG9" s="50"/>
      <c r="AH9" s="50"/>
      <c r="AI9" s="50"/>
    </row>
    <row r="10" spans="1:35" s="1" customFormat="1" x14ac:dyDescent="0.2">
      <c r="A10" s="11" t="s">
        <v>5</v>
      </c>
      <c r="B10" s="12" t="s">
        <v>20</v>
      </c>
      <c r="C10" s="12" t="s">
        <v>33</v>
      </c>
      <c r="D10" s="12" t="s">
        <v>62</v>
      </c>
      <c r="E10" s="12">
        <v>6282738</v>
      </c>
      <c r="F10" s="13">
        <v>7867</v>
      </c>
      <c r="G10" s="14">
        <v>45485</v>
      </c>
      <c r="H10" s="15" t="s">
        <v>7</v>
      </c>
      <c r="I10" s="16" t="s">
        <v>16</v>
      </c>
      <c r="J10" s="16">
        <v>6233061</v>
      </c>
      <c r="K10" s="17">
        <v>7750</v>
      </c>
      <c r="L10" s="18">
        <v>45485</v>
      </c>
      <c r="M10" s="19"/>
      <c r="N10" s="20"/>
      <c r="O10" s="20">
        <v>15</v>
      </c>
      <c r="P10" s="20"/>
      <c r="Q10" s="21">
        <v>45485</v>
      </c>
      <c r="R10" s="20">
        <v>110</v>
      </c>
      <c r="S10" s="22">
        <v>7718</v>
      </c>
      <c r="T10" s="23">
        <v>108</v>
      </c>
      <c r="V10" s="37">
        <f t="shared" si="0"/>
        <v>7718</v>
      </c>
      <c r="W10" s="28">
        <f t="shared" si="1"/>
        <v>0</v>
      </c>
      <c r="X10" s="45">
        <f t="shared" si="2"/>
        <v>-32</v>
      </c>
      <c r="Y10" s="199">
        <f t="shared" si="3"/>
        <v>-149</v>
      </c>
      <c r="Z10" s="38">
        <f t="shared" si="4"/>
        <v>-117</v>
      </c>
      <c r="AA10" s="39">
        <f t="shared" si="5"/>
        <v>-32</v>
      </c>
      <c r="AB10" s="58">
        <f t="shared" si="6"/>
        <v>-149</v>
      </c>
      <c r="AC10" s="50"/>
      <c r="AD10" s="50"/>
      <c r="AE10" s="50"/>
      <c r="AF10" s="50"/>
      <c r="AG10" s="50"/>
      <c r="AH10" s="50"/>
      <c r="AI10" s="50"/>
    </row>
    <row r="11" spans="1:35" s="1" customFormat="1" x14ac:dyDescent="0.2">
      <c r="A11" s="11" t="s">
        <v>5</v>
      </c>
      <c r="B11" s="12" t="s">
        <v>24</v>
      </c>
      <c r="C11" s="12" t="s">
        <v>34</v>
      </c>
      <c r="D11" s="12" t="s">
        <v>62</v>
      </c>
      <c r="E11" s="12">
        <v>6282743</v>
      </c>
      <c r="F11" s="13">
        <v>7780</v>
      </c>
      <c r="G11" s="14">
        <v>45485</v>
      </c>
      <c r="H11" s="15" t="s">
        <v>7</v>
      </c>
      <c r="I11" s="16" t="s">
        <v>8</v>
      </c>
      <c r="J11" s="16">
        <v>6283463</v>
      </c>
      <c r="K11" s="17">
        <v>7780</v>
      </c>
      <c r="L11" s="18">
        <v>45486</v>
      </c>
      <c r="M11" s="19" t="s">
        <v>35</v>
      </c>
      <c r="N11" s="20" t="s">
        <v>36</v>
      </c>
      <c r="O11" s="20"/>
      <c r="P11" s="20">
        <v>25</v>
      </c>
      <c r="Q11" s="21">
        <v>45486</v>
      </c>
      <c r="R11" s="20">
        <v>55</v>
      </c>
      <c r="S11" s="22">
        <v>7825</v>
      </c>
      <c r="T11" s="23">
        <v>75</v>
      </c>
      <c r="V11" s="37">
        <f t="shared" si="0"/>
        <v>7755</v>
      </c>
      <c r="W11" s="24">
        <f t="shared" si="1"/>
        <v>-70</v>
      </c>
      <c r="X11" s="27">
        <f t="shared" si="2"/>
        <v>-25</v>
      </c>
      <c r="Y11" s="200">
        <f t="shared" si="3"/>
        <v>-25</v>
      </c>
      <c r="Z11" s="38">
        <f t="shared" si="4"/>
        <v>0</v>
      </c>
      <c r="AA11" s="39">
        <f t="shared" si="5"/>
        <v>45</v>
      </c>
      <c r="AB11" s="58">
        <f t="shared" si="6"/>
        <v>45</v>
      </c>
      <c r="AC11" s="50"/>
      <c r="AD11" s="50"/>
      <c r="AE11" s="50"/>
      <c r="AF11" s="50"/>
      <c r="AG11" s="50"/>
      <c r="AH11" s="50"/>
      <c r="AI11" s="50"/>
    </row>
    <row r="12" spans="1:35" s="1" customFormat="1" hidden="1" x14ac:dyDescent="0.2">
      <c r="A12" s="11" t="s">
        <v>5</v>
      </c>
      <c r="B12" s="12" t="s">
        <v>21</v>
      </c>
      <c r="C12" s="12" t="s">
        <v>37</v>
      </c>
      <c r="D12" s="12" t="s">
        <v>30</v>
      </c>
      <c r="E12" s="12">
        <v>6282759</v>
      </c>
      <c r="F12" s="13">
        <v>7780</v>
      </c>
      <c r="G12" s="14">
        <v>45485</v>
      </c>
      <c r="H12" s="15" t="s">
        <v>7</v>
      </c>
      <c r="I12" s="16" t="s">
        <v>16</v>
      </c>
      <c r="J12" s="16">
        <v>6283982</v>
      </c>
      <c r="K12" s="17">
        <v>7650</v>
      </c>
      <c r="L12" s="18">
        <v>45486</v>
      </c>
      <c r="M12" s="19"/>
      <c r="N12" s="20"/>
      <c r="O12" s="20"/>
      <c r="P12" s="20">
        <v>24</v>
      </c>
      <c r="Q12" s="21">
        <v>45486</v>
      </c>
      <c r="R12" s="20">
        <v>55</v>
      </c>
      <c r="S12" s="22">
        <v>7650</v>
      </c>
      <c r="T12" s="23">
        <v>275</v>
      </c>
      <c r="V12" s="37">
        <f t="shared" si="0"/>
        <v>7650</v>
      </c>
      <c r="W12" s="28">
        <f t="shared" si="1"/>
        <v>0</v>
      </c>
      <c r="X12" s="45">
        <f t="shared" si="2"/>
        <v>0</v>
      </c>
      <c r="Y12" s="199">
        <f t="shared" si="3"/>
        <v>-130</v>
      </c>
      <c r="Z12" s="38">
        <f t="shared" si="4"/>
        <v>-130</v>
      </c>
      <c r="AA12" s="39">
        <f t="shared" si="5"/>
        <v>0</v>
      </c>
      <c r="AB12" s="58">
        <f t="shared" si="6"/>
        <v>-130</v>
      </c>
      <c r="AC12" s="50"/>
      <c r="AD12" s="50"/>
      <c r="AE12" s="50"/>
      <c r="AF12" s="50"/>
      <c r="AG12" s="50"/>
      <c r="AH12" s="50"/>
      <c r="AI12" s="50"/>
    </row>
    <row r="13" spans="1:35" s="1" customFormat="1" x14ac:dyDescent="0.2">
      <c r="A13" s="11" t="s">
        <v>288</v>
      </c>
      <c r="B13" s="12" t="s">
        <v>20</v>
      </c>
      <c r="C13" s="12" t="s">
        <v>47</v>
      </c>
      <c r="D13" s="12" t="s">
        <v>6</v>
      </c>
      <c r="E13" s="12">
        <v>6283272</v>
      </c>
      <c r="F13" s="13">
        <v>7770</v>
      </c>
      <c r="G13" s="14">
        <v>45485</v>
      </c>
      <c r="H13" s="15" t="s">
        <v>48</v>
      </c>
      <c r="I13" s="16" t="s">
        <v>40</v>
      </c>
      <c r="J13" s="16">
        <v>6283272</v>
      </c>
      <c r="K13" s="17">
        <v>7625</v>
      </c>
      <c r="L13" s="18">
        <v>45486</v>
      </c>
      <c r="M13" s="19" t="s">
        <v>39</v>
      </c>
      <c r="N13" s="20" t="s">
        <v>41</v>
      </c>
      <c r="O13" s="20">
        <v>15</v>
      </c>
      <c r="P13" s="20"/>
      <c r="Q13" s="21">
        <v>45486</v>
      </c>
      <c r="R13" s="20">
        <v>501</v>
      </c>
      <c r="S13" s="22">
        <v>7630</v>
      </c>
      <c r="T13" s="23">
        <v>125</v>
      </c>
      <c r="V13" s="37">
        <f t="shared" si="0"/>
        <v>7625</v>
      </c>
      <c r="W13" s="46">
        <f t="shared" si="1"/>
        <v>-5</v>
      </c>
      <c r="X13" s="27">
        <f t="shared" si="2"/>
        <v>0</v>
      </c>
      <c r="Y13" s="199">
        <f t="shared" si="3"/>
        <v>-145</v>
      </c>
      <c r="Z13" s="38">
        <f t="shared" si="4"/>
        <v>-145</v>
      </c>
      <c r="AA13" s="39">
        <f t="shared" si="5"/>
        <v>5</v>
      </c>
      <c r="AB13" s="58">
        <f t="shared" si="6"/>
        <v>-140</v>
      </c>
      <c r="AC13" s="50"/>
      <c r="AD13" s="50"/>
      <c r="AE13" s="50"/>
      <c r="AF13" s="50"/>
      <c r="AG13" s="50"/>
      <c r="AH13" s="50"/>
      <c r="AI13" s="50"/>
    </row>
    <row r="14" spans="1:35" s="1" customFormat="1" x14ac:dyDescent="0.2">
      <c r="A14" s="11" t="s">
        <v>28</v>
      </c>
      <c r="B14" s="12" t="s">
        <v>19</v>
      </c>
      <c r="C14" s="12" t="s">
        <v>42</v>
      </c>
      <c r="D14" s="12" t="s">
        <v>30</v>
      </c>
      <c r="E14" s="12">
        <v>6282683</v>
      </c>
      <c r="F14" s="13">
        <v>8120</v>
      </c>
      <c r="G14" s="14">
        <v>45485</v>
      </c>
      <c r="H14" s="15" t="s">
        <v>31</v>
      </c>
      <c r="I14" s="16" t="s">
        <v>43</v>
      </c>
      <c r="J14" s="16">
        <v>6283550</v>
      </c>
      <c r="K14" s="17">
        <v>8170</v>
      </c>
      <c r="L14" s="18">
        <v>45486</v>
      </c>
      <c r="M14" s="19" t="s">
        <v>44</v>
      </c>
      <c r="N14" s="20" t="s">
        <v>25</v>
      </c>
      <c r="O14" s="20"/>
      <c r="P14" s="20">
        <v>26</v>
      </c>
      <c r="Q14" s="21">
        <v>45486</v>
      </c>
      <c r="R14" s="20">
        <v>310</v>
      </c>
      <c r="S14" s="22">
        <v>8155</v>
      </c>
      <c r="T14" s="23">
        <v>220</v>
      </c>
      <c r="V14" s="37">
        <f t="shared" si="0"/>
        <v>8150</v>
      </c>
      <c r="W14" s="28">
        <f t="shared" si="1"/>
        <v>-5</v>
      </c>
      <c r="X14" s="45">
        <f t="shared" si="2"/>
        <v>-20</v>
      </c>
      <c r="Y14" s="199">
        <f t="shared" si="3"/>
        <v>30</v>
      </c>
      <c r="Z14" s="38">
        <f t="shared" si="4"/>
        <v>50</v>
      </c>
      <c r="AA14" s="39">
        <f t="shared" si="5"/>
        <v>-15</v>
      </c>
      <c r="AB14" s="58">
        <f t="shared" si="6"/>
        <v>35</v>
      </c>
      <c r="AC14" s="50"/>
      <c r="AD14" s="50"/>
      <c r="AE14" s="50"/>
      <c r="AF14" s="50"/>
      <c r="AG14" s="50"/>
      <c r="AH14" s="50"/>
      <c r="AI14" s="50"/>
    </row>
    <row r="15" spans="1:35" s="1" customFormat="1" x14ac:dyDescent="0.2">
      <c r="A15" s="11" t="s">
        <v>28</v>
      </c>
      <c r="B15" s="12" t="s">
        <v>24</v>
      </c>
      <c r="C15" s="12" t="s">
        <v>56</v>
      </c>
      <c r="D15" s="12" t="s">
        <v>6</v>
      </c>
      <c r="E15" s="12">
        <v>6283162</v>
      </c>
      <c r="F15" s="13">
        <v>8135</v>
      </c>
      <c r="G15" s="14">
        <v>45485</v>
      </c>
      <c r="H15" s="15" t="s">
        <v>31</v>
      </c>
      <c r="I15" s="16" t="s">
        <v>43</v>
      </c>
      <c r="J15" s="16">
        <v>6283354</v>
      </c>
      <c r="K15" s="17">
        <v>8190</v>
      </c>
      <c r="L15" s="18">
        <v>45486</v>
      </c>
      <c r="M15" s="19" t="s">
        <v>44</v>
      </c>
      <c r="N15" s="20" t="s">
        <v>51</v>
      </c>
      <c r="O15" s="20"/>
      <c r="P15" s="20">
        <v>26</v>
      </c>
      <c r="Q15" s="21">
        <v>45486</v>
      </c>
      <c r="R15" s="20">
        <v>110</v>
      </c>
      <c r="S15" s="22">
        <v>8165</v>
      </c>
      <c r="T15" s="23">
        <v>125</v>
      </c>
      <c r="V15" s="37">
        <f t="shared" si="0"/>
        <v>8165</v>
      </c>
      <c r="W15" s="28">
        <f t="shared" si="1"/>
        <v>0</v>
      </c>
      <c r="X15" s="45">
        <f t="shared" si="2"/>
        <v>-25</v>
      </c>
      <c r="Y15" s="199">
        <f t="shared" si="3"/>
        <v>30</v>
      </c>
      <c r="Z15" s="38">
        <f t="shared" si="4"/>
        <v>55</v>
      </c>
      <c r="AA15" s="39">
        <f t="shared" si="5"/>
        <v>-25</v>
      </c>
      <c r="AB15" s="58">
        <f t="shared" si="6"/>
        <v>30</v>
      </c>
      <c r="AC15" s="50"/>
      <c r="AD15" s="50"/>
      <c r="AE15" s="50"/>
      <c r="AF15" s="50"/>
      <c r="AG15" s="50"/>
      <c r="AH15" s="50"/>
      <c r="AI15" s="50"/>
    </row>
    <row r="16" spans="1:35" s="1" customFormat="1" hidden="1" x14ac:dyDescent="0.2">
      <c r="A16" s="11" t="s">
        <v>28</v>
      </c>
      <c r="B16" s="12" t="s">
        <v>21</v>
      </c>
      <c r="C16" s="12" t="s">
        <v>52</v>
      </c>
      <c r="D16" s="12" t="s">
        <v>30</v>
      </c>
      <c r="E16" s="12">
        <v>6282895</v>
      </c>
      <c r="F16" s="13">
        <v>8100</v>
      </c>
      <c r="G16" s="14">
        <v>45485</v>
      </c>
      <c r="H16" s="15" t="s">
        <v>31</v>
      </c>
      <c r="I16" s="16" t="s">
        <v>27</v>
      </c>
      <c r="J16" s="16">
        <v>6283863</v>
      </c>
      <c r="K16" s="17">
        <v>8150</v>
      </c>
      <c r="L16" s="18">
        <v>45486</v>
      </c>
      <c r="M16" s="19" t="s">
        <v>44</v>
      </c>
      <c r="N16" s="20" t="s">
        <v>18</v>
      </c>
      <c r="O16" s="20"/>
      <c r="P16" s="20">
        <v>26</v>
      </c>
      <c r="Q16" s="21">
        <v>45486</v>
      </c>
      <c r="R16" s="20">
        <v>310</v>
      </c>
      <c r="S16" s="22">
        <v>8120</v>
      </c>
      <c r="T16" s="23">
        <v>120</v>
      </c>
      <c r="V16" s="37">
        <f t="shared" si="0"/>
        <v>8050</v>
      </c>
      <c r="W16" s="46">
        <f t="shared" si="1"/>
        <v>-70</v>
      </c>
      <c r="X16" s="26">
        <f t="shared" si="2"/>
        <v>-100</v>
      </c>
      <c r="Y16" s="25">
        <f t="shared" si="3"/>
        <v>-50</v>
      </c>
      <c r="Z16" s="38">
        <f t="shared" si="4"/>
        <v>50</v>
      </c>
      <c r="AA16" s="39">
        <f t="shared" si="5"/>
        <v>-30</v>
      </c>
      <c r="AB16" s="58">
        <f t="shared" si="6"/>
        <v>20</v>
      </c>
      <c r="AC16" s="50"/>
      <c r="AD16" s="50"/>
      <c r="AE16" s="50"/>
      <c r="AF16" s="50"/>
      <c r="AG16" s="50"/>
      <c r="AH16" s="50"/>
      <c r="AI16" s="50"/>
    </row>
    <row r="17" spans="1:35" s="1" customFormat="1" hidden="1" x14ac:dyDescent="0.2">
      <c r="A17" s="11" t="s">
        <v>5</v>
      </c>
      <c r="B17" s="12" t="s">
        <v>21</v>
      </c>
      <c r="C17" s="12" t="s">
        <v>53</v>
      </c>
      <c r="D17" s="12" t="s">
        <v>15</v>
      </c>
      <c r="E17" s="12">
        <v>6283163</v>
      </c>
      <c r="F17" s="13">
        <v>7780</v>
      </c>
      <c r="G17" s="14">
        <v>45485</v>
      </c>
      <c r="H17" s="15" t="s">
        <v>7</v>
      </c>
      <c r="I17" s="16" t="s">
        <v>16</v>
      </c>
      <c r="J17" s="16">
        <v>6284658</v>
      </c>
      <c r="K17" s="17">
        <v>7710</v>
      </c>
      <c r="L17" s="18">
        <v>45489</v>
      </c>
      <c r="M17" s="19" t="s">
        <v>17</v>
      </c>
      <c r="N17" s="20" t="s">
        <v>18</v>
      </c>
      <c r="O17" s="20"/>
      <c r="P17" s="20">
        <v>25</v>
      </c>
      <c r="Q17" s="21">
        <v>45489</v>
      </c>
      <c r="R17" s="20">
        <v>55</v>
      </c>
      <c r="S17" s="22">
        <v>7689</v>
      </c>
      <c r="T17" s="23">
        <v>9</v>
      </c>
      <c r="V17" s="37">
        <f t="shared" si="0"/>
        <v>7689</v>
      </c>
      <c r="W17" s="28">
        <f t="shared" si="1"/>
        <v>0</v>
      </c>
      <c r="X17" s="45">
        <f t="shared" si="2"/>
        <v>-21</v>
      </c>
      <c r="Y17" s="199">
        <f t="shared" si="3"/>
        <v>-91</v>
      </c>
      <c r="Z17" s="38">
        <f t="shared" si="4"/>
        <v>-70</v>
      </c>
      <c r="AA17" s="39">
        <f t="shared" si="5"/>
        <v>-21</v>
      </c>
      <c r="AB17" s="58">
        <f t="shared" si="6"/>
        <v>-91</v>
      </c>
      <c r="AC17" s="50"/>
      <c r="AD17" s="50"/>
      <c r="AE17" s="50"/>
      <c r="AF17" s="50"/>
      <c r="AG17" s="50"/>
      <c r="AH17" s="50"/>
      <c r="AI17" s="50"/>
    </row>
    <row r="18" spans="1:35" s="1" customFormat="1" hidden="1" x14ac:dyDescent="0.2">
      <c r="A18" s="11" t="s">
        <v>5</v>
      </c>
      <c r="B18" s="12" t="s">
        <v>21</v>
      </c>
      <c r="C18" s="12" t="s">
        <v>61</v>
      </c>
      <c r="D18" s="12" t="s">
        <v>62</v>
      </c>
      <c r="E18" s="12">
        <v>6285496</v>
      </c>
      <c r="F18" s="13">
        <v>7780</v>
      </c>
      <c r="G18" s="14">
        <v>45490</v>
      </c>
      <c r="H18" s="15" t="s">
        <v>31</v>
      </c>
      <c r="I18" s="16" t="s">
        <v>63</v>
      </c>
      <c r="J18" s="16">
        <v>6285597</v>
      </c>
      <c r="K18" s="17">
        <v>7747</v>
      </c>
      <c r="L18" s="18">
        <v>45490</v>
      </c>
      <c r="M18" s="19" t="s">
        <v>35</v>
      </c>
      <c r="N18" s="20"/>
      <c r="O18" s="20"/>
      <c r="P18" s="20">
        <v>25</v>
      </c>
      <c r="Q18" s="21">
        <v>45490</v>
      </c>
      <c r="R18" s="20">
        <v>55</v>
      </c>
      <c r="S18" s="22">
        <v>7780</v>
      </c>
      <c r="T18" s="23">
        <v>40</v>
      </c>
      <c r="V18" s="37">
        <f t="shared" si="0"/>
        <v>7720</v>
      </c>
      <c r="W18" s="24">
        <f t="shared" si="1"/>
        <v>-60</v>
      </c>
      <c r="X18" s="27">
        <f t="shared" si="2"/>
        <v>-27</v>
      </c>
      <c r="Y18" s="200">
        <f t="shared" si="3"/>
        <v>-60</v>
      </c>
      <c r="Z18" s="38">
        <f t="shared" si="4"/>
        <v>-33</v>
      </c>
      <c r="AA18" s="39">
        <f t="shared" si="5"/>
        <v>33</v>
      </c>
      <c r="AB18" s="58">
        <f t="shared" si="6"/>
        <v>0</v>
      </c>
      <c r="AC18" s="50"/>
      <c r="AD18" s="50"/>
      <c r="AE18" s="50"/>
      <c r="AF18" s="50"/>
      <c r="AG18" s="50"/>
      <c r="AH18" s="50"/>
      <c r="AI18" s="50"/>
    </row>
    <row r="19" spans="1:35" s="1" customFormat="1" x14ac:dyDescent="0.2">
      <c r="A19" s="11" t="s">
        <v>5</v>
      </c>
      <c r="B19" s="12" t="s">
        <v>19</v>
      </c>
      <c r="C19" s="12" t="s">
        <v>64</v>
      </c>
      <c r="D19" s="12" t="s">
        <v>65</v>
      </c>
      <c r="E19" s="12">
        <v>6285557</v>
      </c>
      <c r="F19" s="13">
        <v>7650</v>
      </c>
      <c r="G19" s="14">
        <v>45490</v>
      </c>
      <c r="H19" s="15" t="s">
        <v>7</v>
      </c>
      <c r="I19" s="16" t="s">
        <v>66</v>
      </c>
      <c r="J19" s="16">
        <v>6286292</v>
      </c>
      <c r="K19" s="17">
        <v>7630</v>
      </c>
      <c r="L19" s="18">
        <v>45490</v>
      </c>
      <c r="M19" s="19" t="s">
        <v>44</v>
      </c>
      <c r="N19" s="20"/>
      <c r="O19" s="20"/>
      <c r="P19" s="20">
        <v>25</v>
      </c>
      <c r="Q19" s="21">
        <v>45490</v>
      </c>
      <c r="R19" s="20">
        <v>310</v>
      </c>
      <c r="S19" s="22">
        <v>7630</v>
      </c>
      <c r="T19" s="23">
        <v>15</v>
      </c>
      <c r="V19" s="37">
        <f t="shared" si="0"/>
        <v>7640</v>
      </c>
      <c r="W19" s="24">
        <f t="shared" si="1"/>
        <v>10</v>
      </c>
      <c r="X19" s="45">
        <f t="shared" si="2"/>
        <v>10</v>
      </c>
      <c r="Y19" s="200">
        <f t="shared" si="3"/>
        <v>-10</v>
      </c>
      <c r="Z19" s="38">
        <f t="shared" si="4"/>
        <v>-20</v>
      </c>
      <c r="AA19" s="39">
        <f t="shared" si="5"/>
        <v>0</v>
      </c>
      <c r="AB19" s="58">
        <f t="shared" si="6"/>
        <v>-20</v>
      </c>
      <c r="AC19" s="50"/>
      <c r="AD19" s="50"/>
      <c r="AE19" s="50"/>
      <c r="AF19" s="50"/>
      <c r="AG19" s="50"/>
      <c r="AH19" s="50"/>
      <c r="AI19" s="50"/>
    </row>
    <row r="20" spans="1:35" s="1" customFormat="1" hidden="1" x14ac:dyDescent="0.2">
      <c r="A20" s="11" t="s">
        <v>5</v>
      </c>
      <c r="B20" s="12" t="s">
        <v>21</v>
      </c>
      <c r="C20" s="12" t="s">
        <v>72</v>
      </c>
      <c r="D20" s="12" t="s">
        <v>67</v>
      </c>
      <c r="E20" s="12">
        <v>6286568</v>
      </c>
      <c r="F20" s="13">
        <v>7780</v>
      </c>
      <c r="G20" s="14">
        <v>45490</v>
      </c>
      <c r="H20" s="15" t="s">
        <v>7</v>
      </c>
      <c r="I20" s="16" t="s">
        <v>27</v>
      </c>
      <c r="J20" s="16">
        <v>6286728</v>
      </c>
      <c r="K20" s="17">
        <v>7730</v>
      </c>
      <c r="L20" s="18">
        <v>45491</v>
      </c>
      <c r="M20" s="19" t="s">
        <v>17</v>
      </c>
      <c r="N20" s="20"/>
      <c r="O20" s="20"/>
      <c r="P20" s="20">
        <v>25</v>
      </c>
      <c r="Q20" s="21">
        <v>45491</v>
      </c>
      <c r="R20" s="20">
        <v>55</v>
      </c>
      <c r="S20" s="22">
        <v>7820</v>
      </c>
      <c r="T20" s="23">
        <v>24</v>
      </c>
      <c r="V20" s="37">
        <f t="shared" si="0"/>
        <v>7704</v>
      </c>
      <c r="W20" s="24">
        <f t="shared" si="1"/>
        <v>-116</v>
      </c>
      <c r="X20" s="27">
        <f t="shared" si="2"/>
        <v>-26</v>
      </c>
      <c r="Y20" s="200">
        <f t="shared" si="3"/>
        <v>-76</v>
      </c>
      <c r="Z20" s="38">
        <f t="shared" si="4"/>
        <v>-50</v>
      </c>
      <c r="AA20" s="39">
        <f t="shared" si="5"/>
        <v>90</v>
      </c>
      <c r="AB20" s="58">
        <f t="shared" si="6"/>
        <v>40</v>
      </c>
      <c r="AC20" s="50"/>
      <c r="AD20" s="50"/>
      <c r="AE20" s="50"/>
      <c r="AF20" s="50"/>
      <c r="AG20" s="50"/>
      <c r="AH20" s="50"/>
      <c r="AI20" s="50"/>
    </row>
    <row r="21" spans="1:35" s="1" customFormat="1" x14ac:dyDescent="0.2">
      <c r="A21" s="11" t="s">
        <v>5</v>
      </c>
      <c r="B21" s="12" t="s">
        <v>19</v>
      </c>
      <c r="C21" s="12" t="s">
        <v>69</v>
      </c>
      <c r="D21" s="12" t="s">
        <v>65</v>
      </c>
      <c r="E21" s="12">
        <v>6285497</v>
      </c>
      <c r="F21" s="13">
        <v>7780</v>
      </c>
      <c r="G21" s="14">
        <v>45490</v>
      </c>
      <c r="H21" s="15" t="s">
        <v>31</v>
      </c>
      <c r="I21" s="16" t="s">
        <v>63</v>
      </c>
      <c r="J21" s="16">
        <v>6285679</v>
      </c>
      <c r="K21" s="17">
        <v>7795</v>
      </c>
      <c r="L21" s="18">
        <v>45490</v>
      </c>
      <c r="M21" s="19" t="s">
        <v>17</v>
      </c>
      <c r="N21" s="20"/>
      <c r="O21" s="20"/>
      <c r="P21" s="20">
        <v>25</v>
      </c>
      <c r="Q21" s="21">
        <v>45490</v>
      </c>
      <c r="R21" s="20">
        <v>55</v>
      </c>
      <c r="S21" s="22">
        <v>7790</v>
      </c>
      <c r="T21" s="23">
        <v>35</v>
      </c>
      <c r="V21" s="37">
        <f t="shared" si="0"/>
        <v>7715</v>
      </c>
      <c r="W21" s="46">
        <f t="shared" si="1"/>
        <v>-75</v>
      </c>
      <c r="X21" s="26">
        <f t="shared" si="2"/>
        <v>-80</v>
      </c>
      <c r="Y21" s="25">
        <f t="shared" si="3"/>
        <v>-65</v>
      </c>
      <c r="Z21" s="38">
        <f t="shared" si="4"/>
        <v>15</v>
      </c>
      <c r="AA21" s="39">
        <f t="shared" si="5"/>
        <v>-5</v>
      </c>
      <c r="AB21" s="58">
        <f t="shared" si="6"/>
        <v>10</v>
      </c>
    </row>
    <row r="22" spans="1:35" s="1" customFormat="1" x14ac:dyDescent="0.2">
      <c r="A22" s="11" t="s">
        <v>5</v>
      </c>
      <c r="B22" s="12" t="s">
        <v>19</v>
      </c>
      <c r="C22" s="12" t="s">
        <v>71</v>
      </c>
      <c r="D22" s="12" t="s">
        <v>67</v>
      </c>
      <c r="E22" s="12">
        <v>6286356</v>
      </c>
      <c r="F22" s="13">
        <v>7780</v>
      </c>
      <c r="G22" s="14">
        <v>45490</v>
      </c>
      <c r="H22" s="15" t="s">
        <v>7</v>
      </c>
      <c r="I22" s="16" t="s">
        <v>27</v>
      </c>
      <c r="J22" s="16">
        <v>6286813</v>
      </c>
      <c r="K22" s="17">
        <v>7770</v>
      </c>
      <c r="L22" s="18">
        <v>45491</v>
      </c>
      <c r="M22" s="19" t="s">
        <v>35</v>
      </c>
      <c r="N22" s="20"/>
      <c r="O22" s="20"/>
      <c r="P22" s="20">
        <v>25</v>
      </c>
      <c r="Q22" s="21">
        <v>45491</v>
      </c>
      <c r="R22" s="20">
        <v>55</v>
      </c>
      <c r="S22" s="22">
        <v>7762</v>
      </c>
      <c r="T22" s="23">
        <v>82</v>
      </c>
      <c r="V22" s="37">
        <f t="shared" si="0"/>
        <v>7762</v>
      </c>
      <c r="W22" s="28">
        <f t="shared" si="1"/>
        <v>0</v>
      </c>
      <c r="X22" s="45">
        <f t="shared" si="2"/>
        <v>-8</v>
      </c>
      <c r="Y22" s="199">
        <f t="shared" si="3"/>
        <v>-18</v>
      </c>
      <c r="Z22" s="38">
        <f t="shared" si="4"/>
        <v>-10</v>
      </c>
      <c r="AA22" s="39">
        <f t="shared" si="5"/>
        <v>-8</v>
      </c>
      <c r="AB22" s="58">
        <f t="shared" si="6"/>
        <v>-18</v>
      </c>
    </row>
    <row r="23" spans="1:35" s="1" customFormat="1" hidden="1" x14ac:dyDescent="0.2">
      <c r="A23" s="11" t="s">
        <v>5</v>
      </c>
      <c r="B23" s="12" t="s">
        <v>21</v>
      </c>
      <c r="C23" s="12" t="s">
        <v>68</v>
      </c>
      <c r="D23" s="12" t="s">
        <v>62</v>
      </c>
      <c r="E23" s="12">
        <v>6286740</v>
      </c>
      <c r="F23" s="13">
        <v>7780</v>
      </c>
      <c r="G23" s="14">
        <v>45491</v>
      </c>
      <c r="H23" s="15" t="s">
        <v>7</v>
      </c>
      <c r="I23" s="16" t="s">
        <v>27</v>
      </c>
      <c r="J23" s="16">
        <v>6286860</v>
      </c>
      <c r="K23" s="17">
        <v>7730</v>
      </c>
      <c r="L23" s="18">
        <v>45491</v>
      </c>
      <c r="M23" s="19" t="s">
        <v>17</v>
      </c>
      <c r="N23" s="20"/>
      <c r="O23" s="20"/>
      <c r="P23" s="20">
        <v>25</v>
      </c>
      <c r="Q23" s="21">
        <v>45491</v>
      </c>
      <c r="R23" s="20">
        <v>55</v>
      </c>
      <c r="S23" s="22">
        <v>7747</v>
      </c>
      <c r="T23" s="23">
        <v>67</v>
      </c>
      <c r="V23" s="37">
        <f t="shared" si="0"/>
        <v>7692</v>
      </c>
      <c r="W23" s="46">
        <f t="shared" si="1"/>
        <v>-55</v>
      </c>
      <c r="X23" s="27">
        <f t="shared" si="2"/>
        <v>-38</v>
      </c>
      <c r="Y23" s="199">
        <f t="shared" si="3"/>
        <v>-88</v>
      </c>
      <c r="Z23" s="38">
        <f t="shared" si="4"/>
        <v>-50</v>
      </c>
      <c r="AA23" s="39">
        <f t="shared" si="5"/>
        <v>17</v>
      </c>
      <c r="AB23" s="58">
        <f t="shared" si="6"/>
        <v>-33</v>
      </c>
    </row>
    <row r="24" spans="1:35" s="1" customFormat="1" x14ac:dyDescent="0.2">
      <c r="A24" s="11" t="s">
        <v>5</v>
      </c>
      <c r="B24" s="12" t="s">
        <v>19</v>
      </c>
      <c r="C24" s="12" t="s">
        <v>70</v>
      </c>
      <c r="D24" s="12" t="s">
        <v>62</v>
      </c>
      <c r="E24" s="12">
        <v>6286687</v>
      </c>
      <c r="F24" s="13">
        <v>7780</v>
      </c>
      <c r="G24" s="14">
        <v>45491</v>
      </c>
      <c r="H24" s="15" t="s">
        <v>7</v>
      </c>
      <c r="I24" s="16" t="s">
        <v>16</v>
      </c>
      <c r="J24" s="16">
        <v>6286938</v>
      </c>
      <c r="K24" s="17">
        <v>7770</v>
      </c>
      <c r="L24" s="18">
        <v>45491</v>
      </c>
      <c r="M24" s="19"/>
      <c r="N24" s="20"/>
      <c r="O24" s="20"/>
      <c r="P24" s="20">
        <v>25</v>
      </c>
      <c r="Q24" s="21">
        <v>45491</v>
      </c>
      <c r="R24" s="20">
        <v>55</v>
      </c>
      <c r="S24" s="22">
        <v>7770</v>
      </c>
      <c r="T24" s="23">
        <v>30</v>
      </c>
      <c r="V24" s="37">
        <f t="shared" si="0"/>
        <v>7710</v>
      </c>
      <c r="W24" s="28">
        <f t="shared" si="1"/>
        <v>-60</v>
      </c>
      <c r="X24" s="45">
        <f t="shared" si="2"/>
        <v>-60</v>
      </c>
      <c r="Y24" s="199">
        <f t="shared" si="3"/>
        <v>-70</v>
      </c>
      <c r="Z24" s="38">
        <f t="shared" si="4"/>
        <v>-10</v>
      </c>
      <c r="AA24" s="39">
        <f t="shared" si="5"/>
        <v>0</v>
      </c>
      <c r="AB24" s="58">
        <f t="shared" si="6"/>
        <v>-10</v>
      </c>
    </row>
    <row r="25" spans="1:35" s="1" customFormat="1" x14ac:dyDescent="0.2">
      <c r="A25" s="11" t="s">
        <v>5</v>
      </c>
      <c r="B25" s="12" t="s">
        <v>20</v>
      </c>
      <c r="C25" s="12" t="s">
        <v>80</v>
      </c>
      <c r="D25" s="12" t="s">
        <v>6</v>
      </c>
      <c r="E25" s="12">
        <v>6287026</v>
      </c>
      <c r="F25" s="13">
        <v>7630</v>
      </c>
      <c r="G25" s="14">
        <v>45491</v>
      </c>
      <c r="H25" s="15" t="s">
        <v>7</v>
      </c>
      <c r="I25" s="16" t="s">
        <v>27</v>
      </c>
      <c r="J25" s="16">
        <v>6287669</v>
      </c>
      <c r="K25" s="17">
        <v>7536</v>
      </c>
      <c r="L25" s="18">
        <v>45492</v>
      </c>
      <c r="M25" s="19"/>
      <c r="N25" s="20" t="s">
        <v>41</v>
      </c>
      <c r="O25" s="20">
        <v>15</v>
      </c>
      <c r="P25" s="20"/>
      <c r="Q25" s="21">
        <v>45492</v>
      </c>
      <c r="R25" s="20">
        <v>501</v>
      </c>
      <c r="S25" s="22">
        <v>7538</v>
      </c>
      <c r="T25" s="23">
        <v>36</v>
      </c>
      <c r="V25" s="37">
        <f t="shared" si="0"/>
        <v>7536</v>
      </c>
      <c r="W25" s="46">
        <f t="shared" si="1"/>
        <v>-2</v>
      </c>
      <c r="X25" s="27">
        <f t="shared" si="2"/>
        <v>0</v>
      </c>
      <c r="Y25" s="199">
        <f t="shared" si="3"/>
        <v>-94</v>
      </c>
      <c r="Z25" s="38">
        <f t="shared" si="4"/>
        <v>-94</v>
      </c>
      <c r="AA25" s="39">
        <f t="shared" si="5"/>
        <v>2</v>
      </c>
      <c r="AB25" s="58">
        <f t="shared" si="6"/>
        <v>-92</v>
      </c>
    </row>
    <row r="26" spans="1:35" s="1" customFormat="1" x14ac:dyDescent="0.2">
      <c r="A26" s="11" t="s">
        <v>5</v>
      </c>
      <c r="B26" s="12" t="s">
        <v>24</v>
      </c>
      <c r="C26" s="12" t="s">
        <v>81</v>
      </c>
      <c r="D26" s="12" t="s">
        <v>67</v>
      </c>
      <c r="E26" s="12">
        <v>6286357</v>
      </c>
      <c r="F26" s="13">
        <v>7780</v>
      </c>
      <c r="G26" s="14">
        <v>45490</v>
      </c>
      <c r="H26" s="15" t="s">
        <v>7</v>
      </c>
      <c r="I26" s="16" t="s">
        <v>16</v>
      </c>
      <c r="J26" s="16">
        <v>6287023</v>
      </c>
      <c r="K26" s="17">
        <v>7810</v>
      </c>
      <c r="L26" s="18">
        <v>45491</v>
      </c>
      <c r="M26" s="19" t="s">
        <v>35</v>
      </c>
      <c r="N26" s="20" t="s">
        <v>101</v>
      </c>
      <c r="O26" s="20"/>
      <c r="P26" s="20">
        <v>25</v>
      </c>
      <c r="Q26" s="21">
        <v>45491</v>
      </c>
      <c r="R26" s="20">
        <v>55</v>
      </c>
      <c r="S26" s="22">
        <v>7814</v>
      </c>
      <c r="T26" s="23">
        <v>134</v>
      </c>
      <c r="V26" s="37">
        <f t="shared" si="0"/>
        <v>7814</v>
      </c>
      <c r="W26" s="28">
        <f t="shared" si="1"/>
        <v>0</v>
      </c>
      <c r="X26" s="45">
        <f t="shared" si="2"/>
        <v>4</v>
      </c>
      <c r="Y26" s="199">
        <f t="shared" si="3"/>
        <v>34</v>
      </c>
      <c r="Z26" s="38">
        <f t="shared" si="4"/>
        <v>30</v>
      </c>
      <c r="AA26" s="39">
        <f t="shared" si="5"/>
        <v>4</v>
      </c>
      <c r="AB26" s="58">
        <f t="shared" si="6"/>
        <v>34</v>
      </c>
    </row>
    <row r="27" spans="1:35" s="1" customFormat="1" x14ac:dyDescent="0.2">
      <c r="A27" s="11" t="s">
        <v>5</v>
      </c>
      <c r="B27" s="12" t="s">
        <v>19</v>
      </c>
      <c r="C27" s="12" t="s">
        <v>75</v>
      </c>
      <c r="D27" s="12" t="s">
        <v>62</v>
      </c>
      <c r="E27" s="12">
        <v>6286885</v>
      </c>
      <c r="F27" s="13">
        <v>7550</v>
      </c>
      <c r="G27" s="14">
        <v>45491</v>
      </c>
      <c r="H27" s="15" t="s">
        <v>7</v>
      </c>
      <c r="I27" s="16" t="s">
        <v>66</v>
      </c>
      <c r="J27" s="16">
        <v>6287397</v>
      </c>
      <c r="K27" s="17">
        <v>7530</v>
      </c>
      <c r="L27" s="18">
        <v>45491</v>
      </c>
      <c r="M27" s="19"/>
      <c r="N27" s="20" t="s">
        <v>51</v>
      </c>
      <c r="O27" s="20"/>
      <c r="P27" s="20">
        <v>24</v>
      </c>
      <c r="Q27" s="21">
        <v>45491</v>
      </c>
      <c r="R27" s="20">
        <v>310</v>
      </c>
      <c r="S27" s="22">
        <v>7615</v>
      </c>
      <c r="T27" s="23">
        <v>265</v>
      </c>
      <c r="V27" s="37">
        <f t="shared" si="0"/>
        <v>7585</v>
      </c>
      <c r="W27" s="28">
        <f t="shared" si="1"/>
        <v>-30</v>
      </c>
      <c r="X27" s="26">
        <f t="shared" si="2"/>
        <v>55</v>
      </c>
      <c r="Y27" s="200">
        <f t="shared" si="3"/>
        <v>35</v>
      </c>
      <c r="Z27" s="38">
        <f t="shared" si="4"/>
        <v>-20</v>
      </c>
      <c r="AA27" s="39">
        <f t="shared" si="5"/>
        <v>85</v>
      </c>
      <c r="AB27" s="58">
        <f t="shared" si="6"/>
        <v>65</v>
      </c>
    </row>
    <row r="28" spans="1:35" s="1" customFormat="1" x14ac:dyDescent="0.2">
      <c r="A28" s="11" t="s">
        <v>5</v>
      </c>
      <c r="B28" s="12" t="s">
        <v>19</v>
      </c>
      <c r="C28" s="12" t="s">
        <v>83</v>
      </c>
      <c r="D28" s="12" t="s">
        <v>6</v>
      </c>
      <c r="E28" s="12">
        <v>6287117</v>
      </c>
      <c r="F28" s="13">
        <v>7580</v>
      </c>
      <c r="G28" s="14">
        <v>45491</v>
      </c>
      <c r="H28" s="15" t="s">
        <v>7</v>
      </c>
      <c r="I28" s="16" t="s">
        <v>66</v>
      </c>
      <c r="J28" s="16">
        <v>6287430</v>
      </c>
      <c r="K28" s="17">
        <v>7625</v>
      </c>
      <c r="L28" s="18">
        <v>45491</v>
      </c>
      <c r="M28" s="19" t="s">
        <v>44</v>
      </c>
      <c r="N28" s="20" t="s">
        <v>74</v>
      </c>
      <c r="O28" s="20"/>
      <c r="P28" s="20">
        <v>25</v>
      </c>
      <c r="Q28" s="21">
        <v>45491</v>
      </c>
      <c r="R28" s="20">
        <v>310</v>
      </c>
      <c r="S28" s="22">
        <v>7630</v>
      </c>
      <c r="T28" s="23">
        <v>4</v>
      </c>
      <c r="V28" s="37">
        <f t="shared" si="0"/>
        <v>7629</v>
      </c>
      <c r="W28" s="28">
        <f t="shared" si="1"/>
        <v>-1</v>
      </c>
      <c r="X28" s="45">
        <f t="shared" si="2"/>
        <v>4</v>
      </c>
      <c r="Y28" s="199">
        <f t="shared" si="3"/>
        <v>49</v>
      </c>
      <c r="Z28" s="38">
        <f t="shared" si="4"/>
        <v>45</v>
      </c>
      <c r="AA28" s="39">
        <f t="shared" si="5"/>
        <v>5</v>
      </c>
      <c r="AB28" s="58">
        <f t="shared" si="6"/>
        <v>50</v>
      </c>
    </row>
    <row r="29" spans="1:35" s="1" customFormat="1" hidden="1" x14ac:dyDescent="0.2">
      <c r="A29" s="11" t="s">
        <v>5</v>
      </c>
      <c r="B29" s="12" t="s">
        <v>21</v>
      </c>
      <c r="C29" s="12" t="s">
        <v>84</v>
      </c>
      <c r="D29" s="12" t="s">
        <v>6</v>
      </c>
      <c r="E29" s="12">
        <v>6287259</v>
      </c>
      <c r="F29" s="13">
        <v>7780</v>
      </c>
      <c r="G29" s="14">
        <v>45491</v>
      </c>
      <c r="H29" s="15" t="s">
        <v>7</v>
      </c>
      <c r="I29" s="16" t="s">
        <v>40</v>
      </c>
      <c r="J29" s="16">
        <v>6287756</v>
      </c>
      <c r="K29" s="17">
        <v>7732</v>
      </c>
      <c r="L29" s="18">
        <v>45492</v>
      </c>
      <c r="M29" s="19" t="s">
        <v>35</v>
      </c>
      <c r="N29" s="20" t="s">
        <v>36</v>
      </c>
      <c r="O29" s="20"/>
      <c r="P29" s="20">
        <v>25</v>
      </c>
      <c r="Q29" s="21">
        <v>45492</v>
      </c>
      <c r="R29" s="20">
        <v>60</v>
      </c>
      <c r="S29" s="22">
        <v>7707</v>
      </c>
      <c r="T29" s="23">
        <v>24</v>
      </c>
      <c r="V29" s="37">
        <f t="shared" si="0"/>
        <v>7709</v>
      </c>
      <c r="W29" s="28">
        <f t="shared" si="1"/>
        <v>2</v>
      </c>
      <c r="X29" s="45">
        <f t="shared" si="2"/>
        <v>-23</v>
      </c>
      <c r="Y29" s="199">
        <f t="shared" si="3"/>
        <v>-71</v>
      </c>
      <c r="Z29" s="38">
        <f t="shared" si="4"/>
        <v>-48</v>
      </c>
      <c r="AA29" s="39">
        <f t="shared" si="5"/>
        <v>-25</v>
      </c>
      <c r="AB29" s="58">
        <f t="shared" si="6"/>
        <v>-73</v>
      </c>
    </row>
    <row r="30" spans="1:35" s="1" customFormat="1" hidden="1" x14ac:dyDescent="0.2">
      <c r="A30" s="11" t="s">
        <v>5</v>
      </c>
      <c r="B30" s="12" t="s">
        <v>21</v>
      </c>
      <c r="C30" s="12" t="s">
        <v>77</v>
      </c>
      <c r="D30" s="12" t="s">
        <v>62</v>
      </c>
      <c r="E30" s="12">
        <v>6286795</v>
      </c>
      <c r="F30" s="13">
        <v>7780</v>
      </c>
      <c r="G30" s="14">
        <v>45491</v>
      </c>
      <c r="H30" s="15" t="s">
        <v>7</v>
      </c>
      <c r="I30" s="16" t="s">
        <v>16</v>
      </c>
      <c r="J30" s="16">
        <v>6287160</v>
      </c>
      <c r="K30" s="17">
        <v>7730</v>
      </c>
      <c r="L30" s="18">
        <v>45491</v>
      </c>
      <c r="M30" s="19" t="s">
        <v>17</v>
      </c>
      <c r="N30" s="20" t="s">
        <v>51</v>
      </c>
      <c r="O30" s="20"/>
      <c r="P30" s="20">
        <v>25</v>
      </c>
      <c r="Q30" s="21">
        <v>45491</v>
      </c>
      <c r="R30" s="20">
        <v>110</v>
      </c>
      <c r="S30" s="22">
        <v>7750</v>
      </c>
      <c r="T30" s="23">
        <v>50</v>
      </c>
      <c r="V30" s="37">
        <f t="shared" si="0"/>
        <v>7785</v>
      </c>
      <c r="W30" s="46">
        <f t="shared" si="1"/>
        <v>35</v>
      </c>
      <c r="X30" s="26">
        <f t="shared" si="2"/>
        <v>55</v>
      </c>
      <c r="Y30" s="25">
        <f t="shared" si="3"/>
        <v>5</v>
      </c>
      <c r="Z30" s="38">
        <f t="shared" si="4"/>
        <v>-50</v>
      </c>
      <c r="AA30" s="39">
        <f t="shared" si="5"/>
        <v>20</v>
      </c>
      <c r="AB30" s="58">
        <f t="shared" si="6"/>
        <v>-30</v>
      </c>
    </row>
    <row r="31" spans="1:35" s="1" customFormat="1" x14ac:dyDescent="0.2">
      <c r="A31" s="11" t="s">
        <v>5</v>
      </c>
      <c r="B31" s="12" t="s">
        <v>19</v>
      </c>
      <c r="C31" s="12" t="s">
        <v>78</v>
      </c>
      <c r="D31" s="12" t="s">
        <v>62</v>
      </c>
      <c r="E31" s="12">
        <v>6286796</v>
      </c>
      <c r="F31" s="13">
        <v>7780</v>
      </c>
      <c r="G31" s="14">
        <v>45491</v>
      </c>
      <c r="H31" s="15" t="s">
        <v>7</v>
      </c>
      <c r="I31" s="16" t="s">
        <v>16</v>
      </c>
      <c r="J31" s="16">
        <v>6287266</v>
      </c>
      <c r="K31" s="17">
        <v>7770</v>
      </c>
      <c r="L31" s="18">
        <v>45491</v>
      </c>
      <c r="M31" s="19" t="s">
        <v>35</v>
      </c>
      <c r="N31" s="20" t="s">
        <v>79</v>
      </c>
      <c r="O31" s="20"/>
      <c r="P31" s="20">
        <v>25</v>
      </c>
      <c r="Q31" s="21">
        <v>45491</v>
      </c>
      <c r="R31" s="20">
        <v>55</v>
      </c>
      <c r="S31" s="22">
        <v>7770</v>
      </c>
      <c r="T31" s="23">
        <v>89</v>
      </c>
      <c r="V31" s="37">
        <f t="shared" si="0"/>
        <v>7769</v>
      </c>
      <c r="W31" s="28">
        <f t="shared" si="1"/>
        <v>-1</v>
      </c>
      <c r="X31" s="45">
        <f t="shared" si="2"/>
        <v>-1</v>
      </c>
      <c r="Y31" s="199">
        <f t="shared" si="3"/>
        <v>-11</v>
      </c>
      <c r="Z31" s="38">
        <f t="shared" si="4"/>
        <v>-10</v>
      </c>
      <c r="AA31" s="39">
        <f t="shared" si="5"/>
        <v>0</v>
      </c>
      <c r="AB31" s="58">
        <f t="shared" si="6"/>
        <v>-10</v>
      </c>
    </row>
    <row r="32" spans="1:35" s="1" customFormat="1" x14ac:dyDescent="0.2">
      <c r="A32" s="11" t="s">
        <v>5</v>
      </c>
      <c r="B32" s="12" t="s">
        <v>19</v>
      </c>
      <c r="C32" s="12" t="s">
        <v>85</v>
      </c>
      <c r="D32" s="12" t="s">
        <v>6</v>
      </c>
      <c r="E32" s="12">
        <v>6287021</v>
      </c>
      <c r="F32" s="13">
        <v>7780</v>
      </c>
      <c r="G32" s="14">
        <v>45491</v>
      </c>
      <c r="H32" s="15" t="s">
        <v>7</v>
      </c>
      <c r="I32" s="16" t="s">
        <v>66</v>
      </c>
      <c r="J32" s="16">
        <v>6287457</v>
      </c>
      <c r="K32" s="17">
        <v>7750</v>
      </c>
      <c r="L32" s="18">
        <v>45491</v>
      </c>
      <c r="M32" s="19" t="s">
        <v>35</v>
      </c>
      <c r="N32" s="20" t="s">
        <v>79</v>
      </c>
      <c r="O32" s="20"/>
      <c r="P32" s="20">
        <v>25</v>
      </c>
      <c r="Q32" s="21">
        <v>45491</v>
      </c>
      <c r="R32" s="20">
        <v>55</v>
      </c>
      <c r="S32" s="22">
        <v>7768</v>
      </c>
      <c r="T32" s="23">
        <v>88</v>
      </c>
      <c r="V32" s="37">
        <f t="shared" si="0"/>
        <v>7768</v>
      </c>
      <c r="W32" s="28">
        <f t="shared" si="1"/>
        <v>0</v>
      </c>
      <c r="X32" s="26">
        <f t="shared" si="2"/>
        <v>18</v>
      </c>
      <c r="Y32" s="200">
        <f t="shared" si="3"/>
        <v>-12</v>
      </c>
      <c r="Z32" s="38">
        <f t="shared" si="4"/>
        <v>-30</v>
      </c>
      <c r="AA32" s="39">
        <f t="shared" si="5"/>
        <v>18</v>
      </c>
      <c r="AB32" s="58">
        <f t="shared" si="6"/>
        <v>-12</v>
      </c>
    </row>
    <row r="33" spans="1:28" s="1" customFormat="1" hidden="1" x14ac:dyDescent="0.2">
      <c r="A33" s="11" t="s">
        <v>5</v>
      </c>
      <c r="B33" s="12" t="s">
        <v>21</v>
      </c>
      <c r="C33" s="12" t="s">
        <v>103</v>
      </c>
      <c r="D33" s="12" t="s">
        <v>62</v>
      </c>
      <c r="E33" s="12">
        <v>6288754</v>
      </c>
      <c r="F33" s="13">
        <v>7780</v>
      </c>
      <c r="G33" s="14">
        <v>45493</v>
      </c>
      <c r="H33" s="15" t="s">
        <v>7</v>
      </c>
      <c r="I33" s="16" t="s">
        <v>16</v>
      </c>
      <c r="J33" s="16">
        <v>6288972</v>
      </c>
      <c r="K33" s="17">
        <v>7720</v>
      </c>
      <c r="L33" s="18">
        <v>45493</v>
      </c>
      <c r="M33" s="19" t="s">
        <v>17</v>
      </c>
      <c r="N33" s="20" t="s">
        <v>18</v>
      </c>
      <c r="O33" s="20"/>
      <c r="P33" s="20">
        <v>25</v>
      </c>
      <c r="Q33" s="21">
        <v>45493</v>
      </c>
      <c r="R33" s="20">
        <v>55</v>
      </c>
      <c r="S33" s="22">
        <v>7746</v>
      </c>
      <c r="T33" s="23">
        <v>26</v>
      </c>
      <c r="V33" s="37">
        <f t="shared" si="0"/>
        <v>7706</v>
      </c>
      <c r="W33" s="46">
        <f t="shared" si="1"/>
        <v>-40</v>
      </c>
      <c r="X33" s="27">
        <f t="shared" si="2"/>
        <v>-14</v>
      </c>
      <c r="Y33" s="199">
        <f t="shared" si="3"/>
        <v>-74</v>
      </c>
      <c r="Z33" s="38">
        <f t="shared" si="4"/>
        <v>-60</v>
      </c>
      <c r="AA33" s="39">
        <f t="shared" si="5"/>
        <v>26</v>
      </c>
      <c r="AB33" s="58">
        <f t="shared" si="6"/>
        <v>-34</v>
      </c>
    </row>
    <row r="34" spans="1:28" s="1" customFormat="1" hidden="1" x14ac:dyDescent="0.2">
      <c r="A34" s="11" t="s">
        <v>5</v>
      </c>
      <c r="B34" s="12" t="s">
        <v>21</v>
      </c>
      <c r="C34" s="12" t="s">
        <v>104</v>
      </c>
      <c r="D34" s="12" t="s">
        <v>6</v>
      </c>
      <c r="E34" s="12">
        <v>6288378</v>
      </c>
      <c r="F34" s="13">
        <v>7700</v>
      </c>
      <c r="G34" s="14">
        <v>45492</v>
      </c>
      <c r="H34" s="15" t="s">
        <v>7</v>
      </c>
      <c r="I34" s="16" t="s">
        <v>66</v>
      </c>
      <c r="J34" s="16">
        <v>6289369</v>
      </c>
      <c r="K34" s="17">
        <v>7690</v>
      </c>
      <c r="L34" s="18">
        <v>45493</v>
      </c>
      <c r="M34" s="19" t="s">
        <v>17</v>
      </c>
      <c r="N34" s="20" t="s">
        <v>51</v>
      </c>
      <c r="O34" s="20"/>
      <c r="P34" s="20">
        <v>25</v>
      </c>
      <c r="Q34" s="21">
        <v>45494</v>
      </c>
      <c r="R34" s="20">
        <v>310</v>
      </c>
      <c r="S34" s="22">
        <v>7687</v>
      </c>
      <c r="T34" s="23">
        <v>57</v>
      </c>
      <c r="V34" s="37">
        <f t="shared" si="0"/>
        <v>7682</v>
      </c>
      <c r="W34" s="28">
        <f t="shared" si="1"/>
        <v>-5</v>
      </c>
      <c r="X34" s="45">
        <f t="shared" si="2"/>
        <v>-8</v>
      </c>
      <c r="Y34" s="199">
        <f t="shared" si="3"/>
        <v>-18</v>
      </c>
      <c r="Z34" s="38">
        <f t="shared" si="4"/>
        <v>-10</v>
      </c>
      <c r="AA34" s="39">
        <f t="shared" si="5"/>
        <v>-3</v>
      </c>
      <c r="AB34" s="58">
        <f t="shared" si="6"/>
        <v>-13</v>
      </c>
    </row>
    <row r="35" spans="1:28" s="1" customFormat="1" x14ac:dyDescent="0.2">
      <c r="A35" s="11" t="s">
        <v>5</v>
      </c>
      <c r="B35" s="12" t="s">
        <v>19</v>
      </c>
      <c r="C35" s="12" t="s">
        <v>105</v>
      </c>
      <c r="D35" s="12" t="s">
        <v>62</v>
      </c>
      <c r="E35" s="12">
        <v>6288851</v>
      </c>
      <c r="F35" s="13">
        <v>7780</v>
      </c>
      <c r="G35" s="14">
        <v>45493</v>
      </c>
      <c r="H35" s="15" t="s">
        <v>31</v>
      </c>
      <c r="I35" s="16" t="s">
        <v>32</v>
      </c>
      <c r="J35" s="16">
        <v>6289087</v>
      </c>
      <c r="K35" s="17">
        <v>7790</v>
      </c>
      <c r="L35" s="18">
        <v>45493</v>
      </c>
      <c r="M35" s="19" t="s">
        <v>17</v>
      </c>
      <c r="N35" s="20" t="s">
        <v>18</v>
      </c>
      <c r="O35" s="20"/>
      <c r="P35" s="20">
        <v>25</v>
      </c>
      <c r="Q35" s="21">
        <v>45493</v>
      </c>
      <c r="R35" s="20">
        <v>55</v>
      </c>
      <c r="S35" s="22">
        <v>7805</v>
      </c>
      <c r="T35" s="23">
        <v>25</v>
      </c>
      <c r="V35" s="37">
        <f t="shared" si="0"/>
        <v>7705</v>
      </c>
      <c r="W35" s="24">
        <f t="shared" si="1"/>
        <v>-100</v>
      </c>
      <c r="X35" s="45">
        <f t="shared" si="2"/>
        <v>-85</v>
      </c>
      <c r="Y35" s="25">
        <f t="shared" si="3"/>
        <v>-75</v>
      </c>
      <c r="Z35" s="38">
        <f t="shared" si="4"/>
        <v>10</v>
      </c>
      <c r="AA35" s="39">
        <f t="shared" si="5"/>
        <v>15</v>
      </c>
      <c r="AB35" s="58">
        <f t="shared" si="6"/>
        <v>25</v>
      </c>
    </row>
    <row r="36" spans="1:28" s="1" customFormat="1" x14ac:dyDescent="0.2">
      <c r="A36" s="11" t="s">
        <v>5</v>
      </c>
      <c r="B36" s="12" t="s">
        <v>19</v>
      </c>
      <c r="C36" s="12" t="s">
        <v>107</v>
      </c>
      <c r="D36" s="12" t="s">
        <v>6</v>
      </c>
      <c r="E36" s="12">
        <v>6288793</v>
      </c>
      <c r="F36" s="13">
        <v>7750</v>
      </c>
      <c r="G36" s="14">
        <v>45493</v>
      </c>
      <c r="H36" s="15" t="s">
        <v>31</v>
      </c>
      <c r="I36" s="16" t="s">
        <v>32</v>
      </c>
      <c r="J36" s="16">
        <v>6289631</v>
      </c>
      <c r="K36" s="17">
        <v>7790</v>
      </c>
      <c r="L36" s="18">
        <v>45495</v>
      </c>
      <c r="M36" s="19" t="s">
        <v>17</v>
      </c>
      <c r="N36" s="20" t="s">
        <v>18</v>
      </c>
      <c r="O36" s="20"/>
      <c r="P36" s="20">
        <v>25</v>
      </c>
      <c r="Q36" s="21">
        <v>45495</v>
      </c>
      <c r="R36" s="20">
        <v>310</v>
      </c>
      <c r="S36" s="22">
        <v>7785</v>
      </c>
      <c r="T36" s="23">
        <v>155</v>
      </c>
      <c r="V36" s="37">
        <f t="shared" si="0"/>
        <v>7780</v>
      </c>
      <c r="W36" s="28">
        <f t="shared" si="1"/>
        <v>-5</v>
      </c>
      <c r="X36" s="45">
        <f t="shared" si="2"/>
        <v>-10</v>
      </c>
      <c r="Y36" s="199">
        <f t="shared" si="3"/>
        <v>30</v>
      </c>
      <c r="Z36" s="38">
        <f t="shared" si="4"/>
        <v>40</v>
      </c>
      <c r="AA36" s="39">
        <f t="shared" si="5"/>
        <v>-5</v>
      </c>
      <c r="AB36" s="58">
        <f t="shared" si="6"/>
        <v>35</v>
      </c>
    </row>
    <row r="37" spans="1:28" s="1" customFormat="1" x14ac:dyDescent="0.2">
      <c r="A37" s="11" t="s">
        <v>5</v>
      </c>
      <c r="B37" s="12" t="s">
        <v>24</v>
      </c>
      <c r="C37" s="12" t="s">
        <v>108</v>
      </c>
      <c r="D37" s="12" t="s">
        <v>62</v>
      </c>
      <c r="E37" s="12">
        <v>6287806</v>
      </c>
      <c r="F37" s="13">
        <v>7720</v>
      </c>
      <c r="G37" s="14">
        <v>45492</v>
      </c>
      <c r="H37" s="15" t="s">
        <v>31</v>
      </c>
      <c r="I37" s="16" t="s">
        <v>66</v>
      </c>
      <c r="J37" s="16">
        <v>6289318</v>
      </c>
      <c r="K37" s="17">
        <v>7680</v>
      </c>
      <c r="L37" s="18">
        <v>45493</v>
      </c>
      <c r="M37" s="19" t="s">
        <v>17</v>
      </c>
      <c r="N37" s="20" t="s">
        <v>51</v>
      </c>
      <c r="O37" s="20"/>
      <c r="P37" s="20">
        <v>25</v>
      </c>
      <c r="Q37" s="21">
        <v>45493</v>
      </c>
      <c r="R37" s="20">
        <v>310</v>
      </c>
      <c r="S37" s="22">
        <v>7768</v>
      </c>
      <c r="T37" s="23">
        <v>110</v>
      </c>
      <c r="V37" s="37">
        <f t="shared" si="0"/>
        <v>7735</v>
      </c>
      <c r="W37" s="46">
        <f t="shared" si="1"/>
        <v>-33</v>
      </c>
      <c r="X37" s="26">
        <f t="shared" si="2"/>
        <v>55</v>
      </c>
      <c r="Y37" s="25">
        <f t="shared" si="3"/>
        <v>15</v>
      </c>
      <c r="Z37" s="38">
        <f t="shared" si="4"/>
        <v>-40</v>
      </c>
      <c r="AA37" s="39">
        <f t="shared" si="5"/>
        <v>88</v>
      </c>
      <c r="AB37" s="58">
        <f t="shared" si="6"/>
        <v>48</v>
      </c>
    </row>
    <row r="38" spans="1:28" s="1" customFormat="1" x14ac:dyDescent="0.2">
      <c r="A38" s="11" t="s">
        <v>5</v>
      </c>
      <c r="B38" s="12" t="s">
        <v>24</v>
      </c>
      <c r="C38" s="12" t="s">
        <v>109</v>
      </c>
      <c r="D38" s="12" t="s">
        <v>62</v>
      </c>
      <c r="E38" s="12">
        <v>6287703</v>
      </c>
      <c r="F38" s="13">
        <v>7560</v>
      </c>
      <c r="G38" s="14">
        <v>45492</v>
      </c>
      <c r="H38" s="15" t="s">
        <v>31</v>
      </c>
      <c r="I38" s="16" t="s">
        <v>32</v>
      </c>
      <c r="J38" s="16">
        <v>6289046</v>
      </c>
      <c r="K38" s="17">
        <v>7610</v>
      </c>
      <c r="L38" s="18">
        <v>45493</v>
      </c>
      <c r="M38" s="19" t="s">
        <v>35</v>
      </c>
      <c r="N38" s="20" t="s">
        <v>101</v>
      </c>
      <c r="O38" s="20"/>
      <c r="P38" s="20">
        <v>24</v>
      </c>
      <c r="Q38" s="21">
        <v>45493</v>
      </c>
      <c r="R38" s="20">
        <v>310</v>
      </c>
      <c r="S38" s="22">
        <v>7505</v>
      </c>
      <c r="T38" s="23">
        <v>175</v>
      </c>
      <c r="V38" s="37">
        <f t="shared" si="0"/>
        <v>7495</v>
      </c>
      <c r="W38" s="28">
        <f t="shared" si="1"/>
        <v>-10</v>
      </c>
      <c r="X38" s="26">
        <f t="shared" si="2"/>
        <v>-115</v>
      </c>
      <c r="Y38" s="200">
        <f t="shared" si="3"/>
        <v>-65</v>
      </c>
      <c r="Z38" s="38">
        <f t="shared" si="4"/>
        <v>50</v>
      </c>
      <c r="AA38" s="39">
        <f t="shared" si="5"/>
        <v>-105</v>
      </c>
      <c r="AB38" s="58">
        <f t="shared" si="6"/>
        <v>-55</v>
      </c>
    </row>
    <row r="39" spans="1:28" s="1" customFormat="1" x14ac:dyDescent="0.2">
      <c r="A39" s="11" t="s">
        <v>5</v>
      </c>
      <c r="B39" s="12" t="s">
        <v>19</v>
      </c>
      <c r="C39" s="12" t="s">
        <v>110</v>
      </c>
      <c r="D39" s="12" t="s">
        <v>62</v>
      </c>
      <c r="E39" s="12">
        <v>6288755</v>
      </c>
      <c r="F39" s="13">
        <v>7780</v>
      </c>
      <c r="G39" s="14">
        <v>45493</v>
      </c>
      <c r="H39" s="15" t="s">
        <v>7</v>
      </c>
      <c r="I39" s="16" t="s">
        <v>27</v>
      </c>
      <c r="J39" s="16">
        <v>6288911</v>
      </c>
      <c r="K39" s="17">
        <v>7775</v>
      </c>
      <c r="L39" s="18">
        <v>45493</v>
      </c>
      <c r="M39" s="19" t="s">
        <v>35</v>
      </c>
      <c r="N39" s="20" t="s">
        <v>101</v>
      </c>
      <c r="O39" s="20"/>
      <c r="P39" s="20">
        <v>25</v>
      </c>
      <c r="Q39" s="21">
        <v>45493</v>
      </c>
      <c r="R39" s="20">
        <v>55</v>
      </c>
      <c r="S39" s="22">
        <v>7749</v>
      </c>
      <c r="T39" s="23">
        <v>72</v>
      </c>
      <c r="V39" s="37">
        <f t="shared" si="0"/>
        <v>7752</v>
      </c>
      <c r="W39" s="28">
        <f t="shared" si="1"/>
        <v>3</v>
      </c>
      <c r="X39" s="45">
        <f t="shared" si="2"/>
        <v>-23</v>
      </c>
      <c r="Y39" s="199">
        <f t="shared" si="3"/>
        <v>-28</v>
      </c>
      <c r="Z39" s="38">
        <f t="shared" si="4"/>
        <v>-5</v>
      </c>
      <c r="AA39" s="39">
        <f t="shared" si="5"/>
        <v>-26</v>
      </c>
      <c r="AB39" s="58">
        <f t="shared" si="6"/>
        <v>-31</v>
      </c>
    </row>
    <row r="40" spans="1:28" s="1" customFormat="1" x14ac:dyDescent="0.2">
      <c r="A40" s="11" t="s">
        <v>5</v>
      </c>
      <c r="B40" s="12" t="s">
        <v>24</v>
      </c>
      <c r="C40" s="12" t="s">
        <v>112</v>
      </c>
      <c r="D40" s="12" t="s">
        <v>62</v>
      </c>
      <c r="E40" s="12">
        <v>6287757</v>
      </c>
      <c r="F40" s="13">
        <v>7780</v>
      </c>
      <c r="G40" s="14">
        <v>45492</v>
      </c>
      <c r="H40" s="15" t="s">
        <v>7</v>
      </c>
      <c r="I40" s="16" t="s">
        <v>16</v>
      </c>
      <c r="J40" s="16">
        <v>6288024</v>
      </c>
      <c r="K40" s="17">
        <v>7790</v>
      </c>
      <c r="L40" s="18">
        <v>45492</v>
      </c>
      <c r="M40" s="19"/>
      <c r="N40" s="20" t="s">
        <v>101</v>
      </c>
      <c r="O40" s="20"/>
      <c r="P40" s="20">
        <v>25</v>
      </c>
      <c r="Q40" s="21">
        <v>45492</v>
      </c>
      <c r="R40" s="20">
        <v>55</v>
      </c>
      <c r="S40" s="22">
        <v>7734</v>
      </c>
      <c r="T40" s="23">
        <v>50</v>
      </c>
      <c r="V40" s="37">
        <f t="shared" si="0"/>
        <v>7730</v>
      </c>
      <c r="W40" s="28">
        <f t="shared" si="1"/>
        <v>-4</v>
      </c>
      <c r="X40" s="26">
        <f t="shared" si="2"/>
        <v>-60</v>
      </c>
      <c r="Y40" s="200">
        <f t="shared" si="3"/>
        <v>-50</v>
      </c>
      <c r="Z40" s="38">
        <f t="shared" si="4"/>
        <v>10</v>
      </c>
      <c r="AA40" s="39">
        <f t="shared" si="5"/>
        <v>-56</v>
      </c>
      <c r="AB40" s="58">
        <f t="shared" si="6"/>
        <v>-46</v>
      </c>
    </row>
    <row r="41" spans="1:28" s="1" customFormat="1" x14ac:dyDescent="0.2">
      <c r="A41" s="11" t="s">
        <v>5</v>
      </c>
      <c r="B41" s="12" t="s">
        <v>19</v>
      </c>
      <c r="C41" s="12" t="s">
        <v>113</v>
      </c>
      <c r="D41" s="12" t="s">
        <v>62</v>
      </c>
      <c r="E41" s="12">
        <v>6286741</v>
      </c>
      <c r="F41" s="13">
        <v>7590</v>
      </c>
      <c r="G41" s="14">
        <v>45492</v>
      </c>
      <c r="H41" s="15" t="s">
        <v>7</v>
      </c>
      <c r="I41" s="16" t="s">
        <v>66</v>
      </c>
      <c r="J41" s="16">
        <v>6288478</v>
      </c>
      <c r="K41" s="17">
        <v>7590</v>
      </c>
      <c r="L41" s="18">
        <v>45492</v>
      </c>
      <c r="M41" s="19" t="s">
        <v>35</v>
      </c>
      <c r="N41" s="20" t="s">
        <v>79</v>
      </c>
      <c r="O41" s="20"/>
      <c r="P41" s="20">
        <v>24</v>
      </c>
      <c r="Q41" s="21">
        <v>45492</v>
      </c>
      <c r="R41" s="20">
        <v>310</v>
      </c>
      <c r="S41" s="22">
        <v>7585</v>
      </c>
      <c r="T41" s="23">
        <v>259</v>
      </c>
      <c r="V41" s="37">
        <f t="shared" si="0"/>
        <v>7579</v>
      </c>
      <c r="W41" s="28">
        <f t="shared" si="1"/>
        <v>-6</v>
      </c>
      <c r="X41" s="26">
        <f t="shared" si="2"/>
        <v>-11</v>
      </c>
      <c r="Y41" s="200">
        <f t="shared" si="3"/>
        <v>-11</v>
      </c>
      <c r="Z41" s="38">
        <f t="shared" si="4"/>
        <v>0</v>
      </c>
      <c r="AA41" s="39">
        <f t="shared" si="5"/>
        <v>-5</v>
      </c>
      <c r="AB41" s="58">
        <f t="shared" si="6"/>
        <v>-5</v>
      </c>
    </row>
    <row r="42" spans="1:28" s="1" customFormat="1" hidden="1" x14ac:dyDescent="0.2">
      <c r="A42" s="11" t="s">
        <v>5</v>
      </c>
      <c r="B42" s="12" t="s">
        <v>21</v>
      </c>
      <c r="C42" s="12" t="s">
        <v>114</v>
      </c>
      <c r="D42" s="12" t="s">
        <v>62</v>
      </c>
      <c r="E42" s="12">
        <v>6288932</v>
      </c>
      <c r="F42" s="13">
        <v>7780</v>
      </c>
      <c r="G42" s="14">
        <v>45493</v>
      </c>
      <c r="H42" s="15" t="s">
        <v>7</v>
      </c>
      <c r="I42" s="16" t="s">
        <v>8</v>
      </c>
      <c r="J42" s="16">
        <v>6289766</v>
      </c>
      <c r="K42" s="17">
        <v>7770</v>
      </c>
      <c r="L42" s="18">
        <v>45495</v>
      </c>
      <c r="M42" s="19" t="s">
        <v>44</v>
      </c>
      <c r="N42" s="20" t="s">
        <v>115</v>
      </c>
      <c r="O42" s="20"/>
      <c r="P42" s="20">
        <v>25</v>
      </c>
      <c r="Q42" s="21">
        <v>45495</v>
      </c>
      <c r="R42" s="20">
        <v>310</v>
      </c>
      <c r="S42" s="22">
        <v>7780</v>
      </c>
      <c r="T42" s="23">
        <v>140</v>
      </c>
      <c r="V42" s="37">
        <f t="shared" si="0"/>
        <v>7765</v>
      </c>
      <c r="W42" s="24">
        <f t="shared" si="1"/>
        <v>-15</v>
      </c>
      <c r="X42" s="27">
        <f t="shared" si="2"/>
        <v>-5</v>
      </c>
      <c r="Y42" s="200">
        <f t="shared" si="3"/>
        <v>-15</v>
      </c>
      <c r="Z42" s="38">
        <f t="shared" si="4"/>
        <v>-10</v>
      </c>
      <c r="AA42" s="39">
        <f t="shared" si="5"/>
        <v>10</v>
      </c>
      <c r="AB42" s="58">
        <f t="shared" si="6"/>
        <v>0</v>
      </c>
    </row>
    <row r="43" spans="1:28" s="1" customFormat="1" x14ac:dyDescent="0.2">
      <c r="A43" s="11" t="s">
        <v>5</v>
      </c>
      <c r="B43" s="12" t="s">
        <v>20</v>
      </c>
      <c r="C43" s="12" t="s">
        <v>116</v>
      </c>
      <c r="D43" s="12" t="s">
        <v>6</v>
      </c>
      <c r="E43" s="12">
        <v>6283063</v>
      </c>
      <c r="F43" s="13">
        <v>7770</v>
      </c>
      <c r="G43" s="14">
        <v>45485</v>
      </c>
      <c r="H43" s="15" t="s">
        <v>7</v>
      </c>
      <c r="I43" s="16" t="s">
        <v>16</v>
      </c>
      <c r="J43" s="16">
        <v>6289671</v>
      </c>
      <c r="K43" s="17">
        <v>7670</v>
      </c>
      <c r="L43" s="18">
        <v>45495</v>
      </c>
      <c r="M43" s="19" t="s">
        <v>44</v>
      </c>
      <c r="N43" s="20" t="s">
        <v>115</v>
      </c>
      <c r="O43" s="20"/>
      <c r="P43" s="20">
        <v>25</v>
      </c>
      <c r="Q43" s="21">
        <v>45495</v>
      </c>
      <c r="R43" s="20">
        <v>310</v>
      </c>
      <c r="S43" s="22">
        <v>7637</v>
      </c>
      <c r="T43" s="23">
        <v>5</v>
      </c>
      <c r="V43" s="37">
        <f t="shared" si="0"/>
        <v>7630</v>
      </c>
      <c r="W43" s="28">
        <f t="shared" si="1"/>
        <v>-7</v>
      </c>
      <c r="X43" s="45">
        <f t="shared" si="2"/>
        <v>-40</v>
      </c>
      <c r="Y43" s="199">
        <f t="shared" si="3"/>
        <v>-140</v>
      </c>
      <c r="Z43" s="38">
        <f t="shared" si="4"/>
        <v>-100</v>
      </c>
      <c r="AA43" s="39">
        <f t="shared" si="5"/>
        <v>-33</v>
      </c>
      <c r="AB43" s="58">
        <f t="shared" si="6"/>
        <v>-133</v>
      </c>
    </row>
    <row r="44" spans="1:28" s="1" customFormat="1" x14ac:dyDescent="0.2">
      <c r="A44" s="11" t="s">
        <v>5</v>
      </c>
      <c r="B44" s="12" t="s">
        <v>24</v>
      </c>
      <c r="C44" s="12" t="s">
        <v>119</v>
      </c>
      <c r="D44" s="12" t="s">
        <v>6</v>
      </c>
      <c r="E44" s="12">
        <v>6288853</v>
      </c>
      <c r="F44" s="13">
        <v>7780</v>
      </c>
      <c r="G44" s="14">
        <v>45493</v>
      </c>
      <c r="H44" s="15" t="s">
        <v>31</v>
      </c>
      <c r="I44" s="16" t="s">
        <v>32</v>
      </c>
      <c r="J44" s="16">
        <v>6289151</v>
      </c>
      <c r="K44" s="17">
        <v>7810</v>
      </c>
      <c r="L44" s="18">
        <v>45493</v>
      </c>
      <c r="M44" s="19" t="s">
        <v>44</v>
      </c>
      <c r="N44" s="20" t="s">
        <v>79</v>
      </c>
      <c r="O44" s="20"/>
      <c r="P44" s="20">
        <v>25</v>
      </c>
      <c r="Q44" s="21">
        <v>45493</v>
      </c>
      <c r="R44" s="20">
        <v>55</v>
      </c>
      <c r="S44" s="22">
        <v>7768</v>
      </c>
      <c r="T44" s="23">
        <v>100</v>
      </c>
      <c r="V44" s="37">
        <f t="shared" si="0"/>
        <v>7780</v>
      </c>
      <c r="W44" s="46">
        <f t="shared" si="1"/>
        <v>12</v>
      </c>
      <c r="X44" s="26">
        <f t="shared" si="2"/>
        <v>-30</v>
      </c>
      <c r="Y44" s="25">
        <f t="shared" si="3"/>
        <v>0</v>
      </c>
      <c r="Z44" s="38">
        <f t="shared" si="4"/>
        <v>30</v>
      </c>
      <c r="AA44" s="39">
        <f t="shared" si="5"/>
        <v>-42</v>
      </c>
      <c r="AB44" s="58">
        <f t="shared" si="6"/>
        <v>-12</v>
      </c>
    </row>
    <row r="45" spans="1:28" s="1" customFormat="1" x14ac:dyDescent="0.2">
      <c r="A45" s="11" t="s">
        <v>5</v>
      </c>
      <c r="B45" s="12" t="s">
        <v>24</v>
      </c>
      <c r="C45" s="12" t="s">
        <v>120</v>
      </c>
      <c r="D45" s="12" t="s">
        <v>6</v>
      </c>
      <c r="E45" s="12">
        <v>6288952</v>
      </c>
      <c r="F45" s="13">
        <v>7610</v>
      </c>
      <c r="G45" s="14">
        <v>45493</v>
      </c>
      <c r="H45" s="15" t="s">
        <v>7</v>
      </c>
      <c r="I45" s="16" t="s">
        <v>121</v>
      </c>
      <c r="J45" s="16">
        <v>6289886</v>
      </c>
      <c r="K45" s="17">
        <v>7625</v>
      </c>
      <c r="L45" s="18">
        <v>45495</v>
      </c>
      <c r="M45" s="19" t="s">
        <v>122</v>
      </c>
      <c r="N45" s="20" t="s">
        <v>115</v>
      </c>
      <c r="O45" s="20"/>
      <c r="P45" s="20">
        <v>24</v>
      </c>
      <c r="Q45" s="21">
        <v>45495</v>
      </c>
      <c r="R45" s="20">
        <v>310</v>
      </c>
      <c r="S45" s="22">
        <v>7620</v>
      </c>
      <c r="T45" s="23">
        <v>278</v>
      </c>
      <c r="V45" s="37">
        <f t="shared" si="0"/>
        <v>7598</v>
      </c>
      <c r="W45" s="46">
        <f t="shared" si="1"/>
        <v>-22</v>
      </c>
      <c r="X45" s="26">
        <f t="shared" si="2"/>
        <v>-27</v>
      </c>
      <c r="Y45" s="25">
        <f t="shared" si="3"/>
        <v>-12</v>
      </c>
      <c r="Z45" s="38">
        <f t="shared" si="4"/>
        <v>15</v>
      </c>
      <c r="AA45" s="39">
        <f t="shared" si="5"/>
        <v>-5</v>
      </c>
      <c r="AB45" s="58">
        <f t="shared" si="6"/>
        <v>10</v>
      </c>
    </row>
    <row r="46" spans="1:28" s="1" customFormat="1" hidden="1" x14ac:dyDescent="0.2">
      <c r="A46" s="11" t="s">
        <v>5</v>
      </c>
      <c r="B46" s="12" t="s">
        <v>21</v>
      </c>
      <c r="C46" s="12" t="s">
        <v>196</v>
      </c>
      <c r="D46" s="12" t="s">
        <v>6</v>
      </c>
      <c r="E46" s="12">
        <v>6289583</v>
      </c>
      <c r="F46" s="13">
        <v>7780</v>
      </c>
      <c r="G46" s="14">
        <v>45492</v>
      </c>
      <c r="H46" s="15" t="s">
        <v>7</v>
      </c>
      <c r="I46" s="16" t="s">
        <v>66</v>
      </c>
      <c r="J46" s="16">
        <v>6288652</v>
      </c>
      <c r="K46" s="17">
        <v>7750</v>
      </c>
      <c r="L46" s="18">
        <v>45492</v>
      </c>
      <c r="M46" s="19"/>
      <c r="N46" s="20" t="s">
        <v>25</v>
      </c>
      <c r="O46" s="20"/>
      <c r="P46" s="20">
        <v>25</v>
      </c>
      <c r="Q46" s="21">
        <v>45493</v>
      </c>
      <c r="R46" s="20">
        <v>55</v>
      </c>
      <c r="S46" s="22">
        <v>7708</v>
      </c>
      <c r="T46" s="23">
        <v>27</v>
      </c>
      <c r="V46" s="37">
        <f t="shared" si="0"/>
        <v>7707</v>
      </c>
      <c r="W46" s="28">
        <f t="shared" si="1"/>
        <v>-1</v>
      </c>
      <c r="X46" s="45">
        <f t="shared" si="2"/>
        <v>-43</v>
      </c>
      <c r="Y46" s="199">
        <f t="shared" si="3"/>
        <v>-73</v>
      </c>
      <c r="Z46" s="38">
        <f t="shared" si="4"/>
        <v>-30</v>
      </c>
      <c r="AA46" s="39">
        <f t="shared" si="5"/>
        <v>-42</v>
      </c>
      <c r="AB46" s="58">
        <f t="shared" si="6"/>
        <v>-72</v>
      </c>
    </row>
    <row r="47" spans="1:28" s="1" customFormat="1" x14ac:dyDescent="0.2">
      <c r="A47" s="11" t="s">
        <v>5</v>
      </c>
      <c r="B47" s="12" t="s">
        <v>19</v>
      </c>
      <c r="C47" s="12" t="s">
        <v>123</v>
      </c>
      <c r="D47" s="12" t="s">
        <v>62</v>
      </c>
      <c r="E47" s="12">
        <v>6288799</v>
      </c>
      <c r="F47" s="13">
        <v>7720</v>
      </c>
      <c r="G47" s="14">
        <v>45493</v>
      </c>
      <c r="H47" s="15" t="s">
        <v>31</v>
      </c>
      <c r="I47" s="16" t="s">
        <v>32</v>
      </c>
      <c r="J47" s="16">
        <v>6289674</v>
      </c>
      <c r="K47" s="17">
        <v>7740</v>
      </c>
      <c r="L47" s="18">
        <v>45495</v>
      </c>
      <c r="M47" s="19" t="s">
        <v>17</v>
      </c>
      <c r="N47" s="20" t="s">
        <v>79</v>
      </c>
      <c r="O47" s="20"/>
      <c r="P47" s="20">
        <v>25</v>
      </c>
      <c r="Q47" s="21">
        <v>45495</v>
      </c>
      <c r="R47" s="20">
        <v>310</v>
      </c>
      <c r="S47" s="22">
        <v>7752</v>
      </c>
      <c r="T47" s="23">
        <v>122</v>
      </c>
      <c r="V47" s="37">
        <f t="shared" si="0"/>
        <v>7747</v>
      </c>
      <c r="W47" s="28">
        <f t="shared" si="1"/>
        <v>-5</v>
      </c>
      <c r="X47" s="45">
        <f t="shared" si="2"/>
        <v>7</v>
      </c>
      <c r="Y47" s="199">
        <f t="shared" si="3"/>
        <v>27</v>
      </c>
      <c r="Z47" s="38">
        <f t="shared" si="4"/>
        <v>20</v>
      </c>
      <c r="AA47" s="39">
        <f t="shared" si="5"/>
        <v>12</v>
      </c>
      <c r="AB47" s="58">
        <f t="shared" si="6"/>
        <v>32</v>
      </c>
    </row>
    <row r="48" spans="1:28" s="1" customFormat="1" x14ac:dyDescent="0.2">
      <c r="A48" s="11" t="s">
        <v>5</v>
      </c>
      <c r="B48" s="12" t="s">
        <v>19</v>
      </c>
      <c r="C48" s="12" t="s">
        <v>124</v>
      </c>
      <c r="D48" s="12" t="s">
        <v>62</v>
      </c>
      <c r="E48" s="12">
        <v>6288936</v>
      </c>
      <c r="F48" s="13">
        <v>7630</v>
      </c>
      <c r="G48" s="14">
        <v>45493</v>
      </c>
      <c r="H48" s="15" t="s">
        <v>7</v>
      </c>
      <c r="I48" s="16" t="s">
        <v>121</v>
      </c>
      <c r="J48" s="16">
        <v>6289724</v>
      </c>
      <c r="K48" s="17">
        <v>7630</v>
      </c>
      <c r="L48" s="18">
        <v>45495</v>
      </c>
      <c r="M48" s="19" t="s">
        <v>17</v>
      </c>
      <c r="N48" s="20" t="s">
        <v>79</v>
      </c>
      <c r="O48" s="20"/>
      <c r="P48" s="20">
        <v>25</v>
      </c>
      <c r="Q48" s="21">
        <v>45495</v>
      </c>
      <c r="R48" s="20">
        <v>310</v>
      </c>
      <c r="S48" s="22">
        <v>7653</v>
      </c>
      <c r="T48" s="23">
        <v>23</v>
      </c>
      <c r="V48" s="37">
        <f t="shared" si="0"/>
        <v>7648</v>
      </c>
      <c r="W48" s="28">
        <f t="shared" si="1"/>
        <v>-5</v>
      </c>
      <c r="X48" s="26">
        <f t="shared" si="2"/>
        <v>18</v>
      </c>
      <c r="Y48" s="200">
        <f t="shared" si="3"/>
        <v>18</v>
      </c>
      <c r="Z48" s="38">
        <f t="shared" si="4"/>
        <v>0</v>
      </c>
      <c r="AA48" s="39">
        <f t="shared" si="5"/>
        <v>23</v>
      </c>
      <c r="AB48" s="58">
        <f t="shared" si="6"/>
        <v>23</v>
      </c>
    </row>
    <row r="49" spans="1:28" s="1" customFormat="1" x14ac:dyDescent="0.2">
      <c r="A49" s="11" t="s">
        <v>5</v>
      </c>
      <c r="B49" s="12" t="s">
        <v>20</v>
      </c>
      <c r="C49" s="12" t="s">
        <v>125</v>
      </c>
      <c r="D49" s="12" t="s">
        <v>6</v>
      </c>
      <c r="E49" s="12">
        <v>6287342</v>
      </c>
      <c r="F49" s="13">
        <v>7900</v>
      </c>
      <c r="G49" s="14">
        <v>45491</v>
      </c>
      <c r="H49" s="15" t="s">
        <v>7</v>
      </c>
      <c r="I49" s="16" t="s">
        <v>27</v>
      </c>
      <c r="J49" s="16">
        <v>6288809</v>
      </c>
      <c r="K49" s="17">
        <v>7799</v>
      </c>
      <c r="L49" s="18">
        <v>45493</v>
      </c>
      <c r="M49" s="19" t="s">
        <v>35</v>
      </c>
      <c r="N49" s="20" t="s">
        <v>36</v>
      </c>
      <c r="O49" s="20"/>
      <c r="P49" s="20">
        <v>25</v>
      </c>
      <c r="Q49" s="21">
        <v>45493</v>
      </c>
      <c r="R49" s="20">
        <v>55</v>
      </c>
      <c r="S49" s="22">
        <v>7778</v>
      </c>
      <c r="T49" s="23">
        <v>90</v>
      </c>
      <c r="V49" s="37">
        <f t="shared" si="0"/>
        <v>7770</v>
      </c>
      <c r="W49" s="28">
        <f t="shared" si="1"/>
        <v>-8</v>
      </c>
      <c r="X49" s="45">
        <f t="shared" si="2"/>
        <v>-29</v>
      </c>
      <c r="Y49" s="199">
        <f t="shared" si="3"/>
        <v>-130</v>
      </c>
      <c r="Z49" s="38">
        <f t="shared" si="4"/>
        <v>-101</v>
      </c>
      <c r="AA49" s="39">
        <f t="shared" si="5"/>
        <v>-21</v>
      </c>
      <c r="AB49" s="58">
        <f t="shared" si="6"/>
        <v>-122</v>
      </c>
    </row>
    <row r="50" spans="1:28" s="1" customFormat="1" x14ac:dyDescent="0.2">
      <c r="A50" s="11" t="s">
        <v>5</v>
      </c>
      <c r="B50" s="12" t="s">
        <v>24</v>
      </c>
      <c r="C50" s="12" t="s">
        <v>134</v>
      </c>
      <c r="D50" s="12" t="s">
        <v>67</v>
      </c>
      <c r="E50" s="12">
        <v>6289694</v>
      </c>
      <c r="F50" s="13">
        <v>7690</v>
      </c>
      <c r="G50" s="14">
        <v>45495</v>
      </c>
      <c r="H50" s="15" t="s">
        <v>7</v>
      </c>
      <c r="I50" s="16" t="s">
        <v>16</v>
      </c>
      <c r="J50" s="16">
        <v>6290832</v>
      </c>
      <c r="K50" s="17">
        <v>7710</v>
      </c>
      <c r="L50" s="18">
        <v>45496</v>
      </c>
      <c r="M50" s="19" t="s">
        <v>44</v>
      </c>
      <c r="N50" s="20" t="s">
        <v>74</v>
      </c>
      <c r="O50" s="20"/>
      <c r="P50" s="20">
        <v>25</v>
      </c>
      <c r="Q50" s="21">
        <v>45496</v>
      </c>
      <c r="R50" s="20">
        <v>310</v>
      </c>
      <c r="S50" s="22">
        <v>7630</v>
      </c>
      <c r="T50" s="23">
        <v>100</v>
      </c>
      <c r="V50" s="37">
        <f t="shared" si="0"/>
        <v>7725</v>
      </c>
      <c r="W50" s="24">
        <f t="shared" si="1"/>
        <v>95</v>
      </c>
      <c r="X50" s="27">
        <f t="shared" si="2"/>
        <v>15</v>
      </c>
      <c r="Y50" s="200">
        <f t="shared" si="3"/>
        <v>35</v>
      </c>
      <c r="Z50" s="38">
        <f t="shared" si="4"/>
        <v>20</v>
      </c>
      <c r="AA50" s="39">
        <f t="shared" si="5"/>
        <v>-80</v>
      </c>
      <c r="AB50" s="58">
        <f t="shared" si="6"/>
        <v>-60</v>
      </c>
    </row>
    <row r="51" spans="1:28" s="1" customFormat="1" hidden="1" x14ac:dyDescent="0.2">
      <c r="A51" s="11" t="s">
        <v>5</v>
      </c>
      <c r="B51" s="12" t="s">
        <v>21</v>
      </c>
      <c r="C51" s="12" t="s">
        <v>126</v>
      </c>
      <c r="D51" s="12" t="s">
        <v>127</v>
      </c>
      <c r="E51" s="12">
        <v>6289013</v>
      </c>
      <c r="F51" s="13">
        <v>7780</v>
      </c>
      <c r="G51" s="14">
        <v>45493</v>
      </c>
      <c r="H51" s="15" t="s">
        <v>7</v>
      </c>
      <c r="I51" s="16" t="s">
        <v>121</v>
      </c>
      <c r="J51" s="16">
        <v>6290124</v>
      </c>
      <c r="K51" s="17">
        <v>7720</v>
      </c>
      <c r="L51" s="18">
        <v>45495</v>
      </c>
      <c r="M51" s="19" t="s">
        <v>44</v>
      </c>
      <c r="N51" s="20" t="s">
        <v>25</v>
      </c>
      <c r="O51" s="20"/>
      <c r="P51" s="20">
        <v>25</v>
      </c>
      <c r="Q51" s="21">
        <v>45495</v>
      </c>
      <c r="R51" s="20">
        <v>55</v>
      </c>
      <c r="S51" s="22">
        <v>7722</v>
      </c>
      <c r="T51" s="23">
        <v>42</v>
      </c>
      <c r="V51" s="37">
        <f t="shared" si="0"/>
        <v>7722</v>
      </c>
      <c r="W51" s="28">
        <f t="shared" si="1"/>
        <v>0</v>
      </c>
      <c r="X51" s="45">
        <f t="shared" si="2"/>
        <v>2</v>
      </c>
      <c r="Y51" s="199">
        <f t="shared" si="3"/>
        <v>-58</v>
      </c>
      <c r="Z51" s="38">
        <f t="shared" si="4"/>
        <v>-60</v>
      </c>
      <c r="AA51" s="39">
        <f t="shared" si="5"/>
        <v>2</v>
      </c>
      <c r="AB51" s="58">
        <f t="shared" si="6"/>
        <v>-58</v>
      </c>
    </row>
    <row r="52" spans="1:28" s="1" customFormat="1" x14ac:dyDescent="0.2">
      <c r="A52" s="11" t="s">
        <v>5</v>
      </c>
      <c r="B52" s="12" t="s">
        <v>19</v>
      </c>
      <c r="C52" s="12" t="s">
        <v>128</v>
      </c>
      <c r="D52" s="12" t="s">
        <v>62</v>
      </c>
      <c r="E52" s="12">
        <v>6290367</v>
      </c>
      <c r="F52" s="13">
        <v>7780</v>
      </c>
      <c r="G52" s="14">
        <v>45495</v>
      </c>
      <c r="H52" s="15" t="s">
        <v>7</v>
      </c>
      <c r="I52" s="16" t="s">
        <v>16</v>
      </c>
      <c r="J52" s="16">
        <v>6290752</v>
      </c>
      <c r="K52" s="17">
        <v>7770</v>
      </c>
      <c r="L52" s="18">
        <v>45496</v>
      </c>
      <c r="M52" s="19" t="s">
        <v>44</v>
      </c>
      <c r="N52" s="20" t="s">
        <v>74</v>
      </c>
      <c r="O52" s="20"/>
      <c r="P52" s="20">
        <v>25</v>
      </c>
      <c r="Q52" s="21">
        <v>45496</v>
      </c>
      <c r="R52" s="20">
        <v>55</v>
      </c>
      <c r="S52" s="22">
        <v>7690</v>
      </c>
      <c r="T52" s="23">
        <v>130</v>
      </c>
      <c r="V52" s="37">
        <f t="shared" si="0"/>
        <v>7810</v>
      </c>
      <c r="W52" s="24">
        <f t="shared" si="1"/>
        <v>120</v>
      </c>
      <c r="X52" s="45">
        <f t="shared" si="2"/>
        <v>40</v>
      </c>
      <c r="Y52" s="25">
        <f t="shared" si="3"/>
        <v>30</v>
      </c>
      <c r="Z52" s="38">
        <f t="shared" si="4"/>
        <v>-10</v>
      </c>
      <c r="AA52" s="39">
        <f t="shared" si="5"/>
        <v>-80</v>
      </c>
      <c r="AB52" s="58">
        <f t="shared" si="6"/>
        <v>-90</v>
      </c>
    </row>
    <row r="53" spans="1:28" s="1" customFormat="1" x14ac:dyDescent="0.2">
      <c r="A53" s="11" t="s">
        <v>5</v>
      </c>
      <c r="B53" s="12" t="s">
        <v>24</v>
      </c>
      <c r="C53" s="12" t="s">
        <v>129</v>
      </c>
      <c r="D53" s="12" t="s">
        <v>46</v>
      </c>
      <c r="E53" s="12">
        <v>6289871</v>
      </c>
      <c r="F53" s="13">
        <v>7780</v>
      </c>
      <c r="G53" s="14">
        <v>45495</v>
      </c>
      <c r="H53" s="15" t="s">
        <v>7</v>
      </c>
      <c r="I53" s="16" t="s">
        <v>27</v>
      </c>
      <c r="J53" s="16">
        <v>6290541</v>
      </c>
      <c r="K53" s="17">
        <v>7790</v>
      </c>
      <c r="L53" s="18">
        <v>45495</v>
      </c>
      <c r="M53" s="19" t="s">
        <v>44</v>
      </c>
      <c r="N53" s="20" t="s">
        <v>25</v>
      </c>
      <c r="O53" s="20"/>
      <c r="P53" s="20">
        <v>25</v>
      </c>
      <c r="Q53" s="21">
        <v>45495</v>
      </c>
      <c r="R53" s="20">
        <v>55</v>
      </c>
      <c r="S53" s="22">
        <v>7795</v>
      </c>
      <c r="T53" s="23">
        <v>115</v>
      </c>
      <c r="V53" s="37">
        <f t="shared" si="0"/>
        <v>7795</v>
      </c>
      <c r="W53" s="28">
        <f t="shared" si="1"/>
        <v>0</v>
      </c>
      <c r="X53" s="45">
        <f t="shared" si="2"/>
        <v>5</v>
      </c>
      <c r="Y53" s="199">
        <f t="shared" si="3"/>
        <v>15</v>
      </c>
      <c r="Z53" s="38">
        <f t="shared" si="4"/>
        <v>10</v>
      </c>
      <c r="AA53" s="39">
        <f t="shared" si="5"/>
        <v>5</v>
      </c>
      <c r="AB53" s="58">
        <f t="shared" si="6"/>
        <v>15</v>
      </c>
    </row>
    <row r="54" spans="1:28" s="1" customFormat="1" x14ac:dyDescent="0.2">
      <c r="A54" s="11" t="s">
        <v>5</v>
      </c>
      <c r="B54" s="12" t="s">
        <v>19</v>
      </c>
      <c r="C54" s="12" t="s">
        <v>130</v>
      </c>
      <c r="D54" s="12" t="s">
        <v>46</v>
      </c>
      <c r="E54" s="12">
        <v>6289881</v>
      </c>
      <c r="F54" s="13">
        <v>7780</v>
      </c>
      <c r="G54" s="14">
        <v>45495</v>
      </c>
      <c r="H54" s="15" t="s">
        <v>7</v>
      </c>
      <c r="I54" s="16" t="s">
        <v>27</v>
      </c>
      <c r="J54" s="16">
        <v>6290692</v>
      </c>
      <c r="K54" s="17">
        <v>7772</v>
      </c>
      <c r="L54" s="18">
        <v>45495</v>
      </c>
      <c r="M54" s="19" t="s">
        <v>17</v>
      </c>
      <c r="N54" s="20" t="s">
        <v>18</v>
      </c>
      <c r="O54" s="20"/>
      <c r="P54" s="20">
        <v>25</v>
      </c>
      <c r="Q54" s="21">
        <v>45496</v>
      </c>
      <c r="R54" s="20">
        <v>55</v>
      </c>
      <c r="S54" s="22">
        <v>7795</v>
      </c>
      <c r="T54" s="23">
        <v>115</v>
      </c>
      <c r="V54" s="37">
        <f t="shared" si="0"/>
        <v>7795</v>
      </c>
      <c r="W54" s="28">
        <f t="shared" si="1"/>
        <v>0</v>
      </c>
      <c r="X54" s="26">
        <f t="shared" si="2"/>
        <v>23</v>
      </c>
      <c r="Y54" s="200">
        <f t="shared" si="3"/>
        <v>15</v>
      </c>
      <c r="Z54" s="38">
        <f t="shared" si="4"/>
        <v>-8</v>
      </c>
      <c r="AA54" s="39">
        <f t="shared" si="5"/>
        <v>23</v>
      </c>
      <c r="AB54" s="58">
        <f t="shared" si="6"/>
        <v>15</v>
      </c>
    </row>
    <row r="55" spans="1:28" s="1" customFormat="1" x14ac:dyDescent="0.2">
      <c r="A55" s="11" t="s">
        <v>5</v>
      </c>
      <c r="B55" s="12" t="s">
        <v>24</v>
      </c>
      <c r="C55" s="12" t="s">
        <v>131</v>
      </c>
      <c r="D55" s="12" t="s">
        <v>67</v>
      </c>
      <c r="E55" s="12">
        <v>6290783</v>
      </c>
      <c r="F55" s="13">
        <v>7780</v>
      </c>
      <c r="G55" s="14">
        <v>45496</v>
      </c>
      <c r="H55" s="15" t="s">
        <v>7</v>
      </c>
      <c r="I55" s="16" t="s">
        <v>16</v>
      </c>
      <c r="J55" s="16">
        <v>6290876</v>
      </c>
      <c r="K55" s="17">
        <v>7740</v>
      </c>
      <c r="L55" s="18">
        <v>45496</v>
      </c>
      <c r="M55" s="19" t="s">
        <v>17</v>
      </c>
      <c r="N55" s="20" t="s">
        <v>18</v>
      </c>
      <c r="O55" s="20"/>
      <c r="P55" s="20">
        <v>25</v>
      </c>
      <c r="Q55" s="21">
        <v>45496</v>
      </c>
      <c r="R55" s="20">
        <v>55</v>
      </c>
      <c r="S55" s="22">
        <v>7777</v>
      </c>
      <c r="T55" s="23">
        <v>70</v>
      </c>
      <c r="V55" s="37">
        <f t="shared" si="0"/>
        <v>7750</v>
      </c>
      <c r="W55" s="46">
        <f t="shared" si="1"/>
        <v>-27</v>
      </c>
      <c r="X55" s="27">
        <f t="shared" si="2"/>
        <v>10</v>
      </c>
      <c r="Y55" s="199">
        <f t="shared" si="3"/>
        <v>-30</v>
      </c>
      <c r="Z55" s="38">
        <f t="shared" si="4"/>
        <v>-40</v>
      </c>
      <c r="AA55" s="39">
        <f t="shared" si="5"/>
        <v>37</v>
      </c>
      <c r="AB55" s="58">
        <f t="shared" si="6"/>
        <v>-3</v>
      </c>
    </row>
    <row r="56" spans="1:28" s="1" customFormat="1" x14ac:dyDescent="0.2">
      <c r="A56" s="11" t="s">
        <v>5</v>
      </c>
      <c r="B56" s="12" t="s">
        <v>19</v>
      </c>
      <c r="C56" s="12" t="s">
        <v>132</v>
      </c>
      <c r="D56" s="12" t="s">
        <v>46</v>
      </c>
      <c r="E56" s="12">
        <v>6290051</v>
      </c>
      <c r="F56" s="13">
        <v>7780</v>
      </c>
      <c r="G56" s="14">
        <v>45495</v>
      </c>
      <c r="H56" s="15" t="s">
        <v>7</v>
      </c>
      <c r="I56" s="16" t="s">
        <v>27</v>
      </c>
      <c r="J56" s="16">
        <v>6290587</v>
      </c>
      <c r="K56" s="17">
        <v>7770</v>
      </c>
      <c r="L56" s="18">
        <v>45495</v>
      </c>
      <c r="M56" s="19" t="s">
        <v>17</v>
      </c>
      <c r="N56" s="20" t="s">
        <v>36</v>
      </c>
      <c r="O56" s="20"/>
      <c r="P56" s="20">
        <v>25</v>
      </c>
      <c r="Q56" s="21">
        <v>45495</v>
      </c>
      <c r="R56" s="20">
        <v>55</v>
      </c>
      <c r="S56" s="22">
        <v>7790</v>
      </c>
      <c r="T56" s="23">
        <v>95</v>
      </c>
      <c r="V56" s="37">
        <f t="shared" si="0"/>
        <v>7775</v>
      </c>
      <c r="W56" s="24">
        <f t="shared" si="1"/>
        <v>-15</v>
      </c>
      <c r="X56" s="27">
        <f t="shared" si="2"/>
        <v>5</v>
      </c>
      <c r="Y56" s="200">
        <f t="shared" si="3"/>
        <v>-5</v>
      </c>
      <c r="Z56" s="38">
        <f t="shared" si="4"/>
        <v>-10</v>
      </c>
      <c r="AA56" s="39">
        <f t="shared" si="5"/>
        <v>20</v>
      </c>
      <c r="AB56" s="58">
        <f t="shared" si="6"/>
        <v>10</v>
      </c>
    </row>
    <row r="57" spans="1:28" s="1" customFormat="1" x14ac:dyDescent="0.2">
      <c r="A57" s="11" t="s">
        <v>5</v>
      </c>
      <c r="B57" s="12" t="s">
        <v>19</v>
      </c>
      <c r="C57" s="12" t="s">
        <v>133</v>
      </c>
      <c r="D57" s="12" t="s">
        <v>67</v>
      </c>
      <c r="E57" s="12">
        <v>6290785</v>
      </c>
      <c r="F57" s="13">
        <v>7780</v>
      </c>
      <c r="G57" s="14">
        <v>45496</v>
      </c>
      <c r="H57" s="15" t="s">
        <v>7</v>
      </c>
      <c r="I57" s="16" t="s">
        <v>16</v>
      </c>
      <c r="J57" s="16">
        <v>6290973</v>
      </c>
      <c r="K57" s="17">
        <v>7800</v>
      </c>
      <c r="L57" s="18">
        <v>45496</v>
      </c>
      <c r="M57" s="19" t="s">
        <v>17</v>
      </c>
      <c r="N57" s="20" t="s">
        <v>79</v>
      </c>
      <c r="O57" s="20"/>
      <c r="P57" s="20">
        <v>25</v>
      </c>
      <c r="Q57" s="21">
        <v>45496</v>
      </c>
      <c r="R57" s="20">
        <v>55</v>
      </c>
      <c r="S57" s="22">
        <v>7826</v>
      </c>
      <c r="T57" s="23">
        <v>70</v>
      </c>
      <c r="V57" s="37">
        <f t="shared" si="0"/>
        <v>7750</v>
      </c>
      <c r="W57" s="24">
        <f t="shared" si="1"/>
        <v>-76</v>
      </c>
      <c r="X57" s="45">
        <f t="shared" si="2"/>
        <v>-50</v>
      </c>
      <c r="Y57" s="25">
        <f t="shared" si="3"/>
        <v>-30</v>
      </c>
      <c r="Z57" s="38">
        <f t="shared" si="4"/>
        <v>20</v>
      </c>
      <c r="AA57" s="39">
        <f t="shared" si="5"/>
        <v>26</v>
      </c>
      <c r="AB57" s="58">
        <f t="shared" si="6"/>
        <v>46</v>
      </c>
    </row>
    <row r="58" spans="1:28" s="1" customFormat="1" x14ac:dyDescent="0.2">
      <c r="A58" s="11" t="s">
        <v>5</v>
      </c>
      <c r="B58" s="12" t="s">
        <v>24</v>
      </c>
      <c r="C58" s="12" t="s">
        <v>156</v>
      </c>
      <c r="D58" s="12" t="s">
        <v>46</v>
      </c>
      <c r="E58" s="12">
        <v>6291469</v>
      </c>
      <c r="F58" s="13">
        <v>7600</v>
      </c>
      <c r="G58" s="14">
        <v>45495</v>
      </c>
      <c r="H58" s="15" t="s">
        <v>7</v>
      </c>
      <c r="I58" s="16" t="s">
        <v>16</v>
      </c>
      <c r="J58" s="16">
        <v>6291898</v>
      </c>
      <c r="K58" s="17">
        <v>7610</v>
      </c>
      <c r="L58" s="18">
        <v>45497</v>
      </c>
      <c r="M58" s="19" t="s">
        <v>35</v>
      </c>
      <c r="N58" s="20" t="s">
        <v>74</v>
      </c>
      <c r="O58" s="20">
        <v>15</v>
      </c>
      <c r="P58" s="20"/>
      <c r="Q58" s="21">
        <v>45497</v>
      </c>
      <c r="R58" s="20">
        <v>500</v>
      </c>
      <c r="S58" s="22">
        <v>7500</v>
      </c>
      <c r="T58" s="23">
        <v>100</v>
      </c>
      <c r="V58" s="37">
        <f t="shared" si="0"/>
        <v>7600</v>
      </c>
      <c r="W58" s="24">
        <f t="shared" si="1"/>
        <v>100</v>
      </c>
      <c r="X58" s="45">
        <f t="shared" si="2"/>
        <v>-10</v>
      </c>
      <c r="Y58" s="25">
        <f t="shared" si="3"/>
        <v>0</v>
      </c>
      <c r="Z58" s="38">
        <f t="shared" si="4"/>
        <v>10</v>
      </c>
      <c r="AA58" s="39">
        <f t="shared" si="5"/>
        <v>-110</v>
      </c>
      <c r="AB58" s="58">
        <f t="shared" si="6"/>
        <v>-100</v>
      </c>
    </row>
    <row r="59" spans="1:28" s="1" customFormat="1" x14ac:dyDescent="0.2">
      <c r="A59" s="11" t="s">
        <v>5</v>
      </c>
      <c r="B59" s="12" t="s">
        <v>24</v>
      </c>
      <c r="C59" s="12" t="s">
        <v>158</v>
      </c>
      <c r="D59" s="12" t="s">
        <v>46</v>
      </c>
      <c r="E59" s="12">
        <v>6291129</v>
      </c>
      <c r="F59" s="13">
        <v>7780</v>
      </c>
      <c r="G59" s="14">
        <v>45496</v>
      </c>
      <c r="H59" s="15" t="s">
        <v>7</v>
      </c>
      <c r="I59" s="16" t="s">
        <v>27</v>
      </c>
      <c r="J59" s="16">
        <v>6291705</v>
      </c>
      <c r="K59" s="17">
        <v>7765</v>
      </c>
      <c r="L59" s="18">
        <v>45496</v>
      </c>
      <c r="M59" s="19" t="s">
        <v>35</v>
      </c>
      <c r="N59" s="20" t="s">
        <v>36</v>
      </c>
      <c r="O59" s="20">
        <v>15</v>
      </c>
      <c r="P59" s="20"/>
      <c r="Q59" s="21">
        <v>45496</v>
      </c>
      <c r="R59" s="20">
        <v>55</v>
      </c>
      <c r="S59" s="22">
        <v>7747</v>
      </c>
      <c r="T59" s="23">
        <v>185</v>
      </c>
      <c r="V59" s="37">
        <f t="shared" si="0"/>
        <v>7740</v>
      </c>
      <c r="W59" s="28">
        <f t="shared" si="1"/>
        <v>-7</v>
      </c>
      <c r="X59" s="45">
        <f t="shared" si="2"/>
        <v>-25</v>
      </c>
      <c r="Y59" s="199">
        <f t="shared" si="3"/>
        <v>-40</v>
      </c>
      <c r="Z59" s="38">
        <f t="shared" si="4"/>
        <v>-15</v>
      </c>
      <c r="AA59" s="39">
        <f t="shared" si="5"/>
        <v>-18</v>
      </c>
      <c r="AB59" s="58">
        <f t="shared" si="6"/>
        <v>-33</v>
      </c>
    </row>
    <row r="60" spans="1:28" s="1" customFormat="1" x14ac:dyDescent="0.4">
      <c r="A60" s="11" t="s">
        <v>5</v>
      </c>
      <c r="B60" s="12" t="s">
        <v>24</v>
      </c>
      <c r="C60" s="12" t="s">
        <v>159</v>
      </c>
      <c r="D60" s="12" t="s">
        <v>46</v>
      </c>
      <c r="E60" s="12">
        <v>6291380</v>
      </c>
      <c r="F60" s="13">
        <v>7780</v>
      </c>
      <c r="G60" s="14">
        <v>45496</v>
      </c>
      <c r="H60" s="15" t="s">
        <v>7</v>
      </c>
      <c r="I60" s="16" t="s">
        <v>27</v>
      </c>
      <c r="J60" s="142">
        <v>6291658</v>
      </c>
      <c r="K60" s="17">
        <v>7785</v>
      </c>
      <c r="L60" s="18">
        <v>45496</v>
      </c>
      <c r="M60" s="19" t="s">
        <v>44</v>
      </c>
      <c r="N60" s="20" t="s">
        <v>25</v>
      </c>
      <c r="O60" s="20">
        <v>15</v>
      </c>
      <c r="P60" s="20"/>
      <c r="Q60" s="21">
        <v>45496</v>
      </c>
      <c r="R60" s="20">
        <v>55</v>
      </c>
      <c r="S60" s="22">
        <v>7795</v>
      </c>
      <c r="T60" s="23">
        <v>240</v>
      </c>
      <c r="V60" s="37">
        <f t="shared" si="0"/>
        <v>7795</v>
      </c>
      <c r="W60" s="28">
        <f t="shared" si="1"/>
        <v>0</v>
      </c>
      <c r="X60" s="45">
        <f t="shared" si="2"/>
        <v>10</v>
      </c>
      <c r="Y60" s="199">
        <f t="shared" si="3"/>
        <v>15</v>
      </c>
      <c r="Z60" s="38">
        <f t="shared" si="4"/>
        <v>5</v>
      </c>
      <c r="AA60" s="39">
        <f t="shared" si="5"/>
        <v>10</v>
      </c>
      <c r="AB60" s="58">
        <f t="shared" si="6"/>
        <v>15</v>
      </c>
    </row>
    <row r="61" spans="1:28" s="1" customFormat="1" x14ac:dyDescent="0.2">
      <c r="A61" s="11" t="s">
        <v>5</v>
      </c>
      <c r="B61" s="12" t="s">
        <v>19</v>
      </c>
      <c r="C61" s="12" t="s">
        <v>195</v>
      </c>
      <c r="D61" s="12" t="s">
        <v>62</v>
      </c>
      <c r="E61" s="12">
        <v>6286449</v>
      </c>
      <c r="F61" s="13">
        <v>7780</v>
      </c>
      <c r="G61" s="14">
        <v>45491</v>
      </c>
      <c r="H61" s="15" t="s">
        <v>31</v>
      </c>
      <c r="I61" s="16" t="s">
        <v>16</v>
      </c>
      <c r="J61" s="16">
        <v>6292032</v>
      </c>
      <c r="K61" s="17">
        <v>7760</v>
      </c>
      <c r="L61" s="18">
        <v>45497</v>
      </c>
      <c r="M61" s="19" t="s">
        <v>35</v>
      </c>
      <c r="N61" s="20" t="s">
        <v>79</v>
      </c>
      <c r="O61" s="20">
        <v>15</v>
      </c>
      <c r="P61" s="20"/>
      <c r="Q61" s="21">
        <v>45497</v>
      </c>
      <c r="R61" s="20">
        <v>500</v>
      </c>
      <c r="S61" s="22">
        <v>7707</v>
      </c>
      <c r="T61" s="23">
        <v>237</v>
      </c>
      <c r="V61" s="37">
        <f t="shared" si="0"/>
        <v>7737</v>
      </c>
      <c r="W61" s="46">
        <f t="shared" si="1"/>
        <v>30</v>
      </c>
      <c r="X61" s="27">
        <f t="shared" si="2"/>
        <v>-23</v>
      </c>
      <c r="Y61" s="199">
        <f t="shared" si="3"/>
        <v>-43</v>
      </c>
      <c r="Z61" s="38">
        <f t="shared" si="4"/>
        <v>-20</v>
      </c>
      <c r="AA61" s="39">
        <f t="shared" si="5"/>
        <v>-53</v>
      </c>
      <c r="AB61" s="58">
        <f t="shared" si="6"/>
        <v>-73</v>
      </c>
    </row>
    <row r="62" spans="1:28" s="1" customFormat="1" x14ac:dyDescent="0.2">
      <c r="A62" s="11" t="s">
        <v>5</v>
      </c>
      <c r="B62" s="12" t="s">
        <v>24</v>
      </c>
      <c r="C62" s="12" t="s">
        <v>161</v>
      </c>
      <c r="D62" s="12" t="s">
        <v>127</v>
      </c>
      <c r="E62" s="12">
        <v>6291927</v>
      </c>
      <c r="F62" s="13">
        <v>7780</v>
      </c>
      <c r="G62" s="14">
        <v>45497</v>
      </c>
      <c r="H62" s="15" t="s">
        <v>31</v>
      </c>
      <c r="I62" s="16" t="s">
        <v>121</v>
      </c>
      <c r="J62" s="16">
        <v>6292207</v>
      </c>
      <c r="K62" s="17">
        <v>7770</v>
      </c>
      <c r="L62" s="18">
        <v>45496</v>
      </c>
      <c r="M62" s="19" t="s">
        <v>17</v>
      </c>
      <c r="N62" s="20" t="s">
        <v>79</v>
      </c>
      <c r="O62" s="20"/>
      <c r="P62" s="20">
        <v>25</v>
      </c>
      <c r="Q62" s="21">
        <v>45497</v>
      </c>
      <c r="R62" s="20">
        <v>110</v>
      </c>
      <c r="S62" s="22">
        <v>7760</v>
      </c>
      <c r="T62" s="23">
        <v>25</v>
      </c>
      <c r="V62" s="37">
        <f t="shared" si="0"/>
        <v>7760</v>
      </c>
      <c r="W62" s="28">
        <f t="shared" si="1"/>
        <v>0</v>
      </c>
      <c r="X62" s="45">
        <f t="shared" si="2"/>
        <v>-10</v>
      </c>
      <c r="Y62" s="199">
        <f t="shared" si="3"/>
        <v>-20</v>
      </c>
      <c r="Z62" s="38">
        <f t="shared" si="4"/>
        <v>-10</v>
      </c>
      <c r="AA62" s="39">
        <f t="shared" si="5"/>
        <v>-10</v>
      </c>
      <c r="AB62" s="58">
        <f t="shared" si="6"/>
        <v>-20</v>
      </c>
    </row>
    <row r="63" spans="1:28" s="1" customFormat="1" x14ac:dyDescent="0.2">
      <c r="A63" s="11" t="s">
        <v>5</v>
      </c>
      <c r="B63" s="12" t="s">
        <v>24</v>
      </c>
      <c r="C63" s="12" t="s">
        <v>166</v>
      </c>
      <c r="D63" s="12" t="s">
        <v>46</v>
      </c>
      <c r="E63" s="12">
        <v>6291231</v>
      </c>
      <c r="F63" s="13">
        <v>7150</v>
      </c>
      <c r="G63" s="14">
        <v>45496</v>
      </c>
      <c r="H63" s="15" t="s">
        <v>163</v>
      </c>
      <c r="I63" s="16" t="s">
        <v>121</v>
      </c>
      <c r="J63" s="16">
        <v>6292099</v>
      </c>
      <c r="K63" s="17">
        <v>7150</v>
      </c>
      <c r="L63" s="18">
        <v>45497</v>
      </c>
      <c r="M63" s="19" t="s">
        <v>39</v>
      </c>
      <c r="N63" s="20" t="s">
        <v>51</v>
      </c>
      <c r="O63" s="20">
        <v>14</v>
      </c>
      <c r="P63" s="20"/>
      <c r="Q63" s="21">
        <v>45497</v>
      </c>
      <c r="R63" s="20">
        <v>500</v>
      </c>
      <c r="S63" s="22">
        <v>7155</v>
      </c>
      <c r="T63" s="23">
        <v>150</v>
      </c>
      <c r="V63" s="37">
        <f t="shared" si="0"/>
        <v>7150</v>
      </c>
      <c r="W63" s="24">
        <f t="shared" si="1"/>
        <v>-5</v>
      </c>
      <c r="X63" s="27">
        <f t="shared" si="2"/>
        <v>0</v>
      </c>
      <c r="Y63" s="200">
        <f t="shared" si="3"/>
        <v>0</v>
      </c>
      <c r="Z63" s="38">
        <f t="shared" si="4"/>
        <v>0</v>
      </c>
      <c r="AA63" s="39">
        <f t="shared" si="5"/>
        <v>5</v>
      </c>
      <c r="AB63" s="58">
        <f t="shared" si="6"/>
        <v>5</v>
      </c>
    </row>
    <row r="64" spans="1:28" s="1" customFormat="1" x14ac:dyDescent="0.2">
      <c r="A64" s="11" t="s">
        <v>5</v>
      </c>
      <c r="B64" s="12" t="s">
        <v>24</v>
      </c>
      <c r="C64" s="12" t="s">
        <v>157</v>
      </c>
      <c r="D64" s="12" t="s">
        <v>46</v>
      </c>
      <c r="E64" s="12">
        <v>6289995</v>
      </c>
      <c r="F64" s="13">
        <v>7660</v>
      </c>
      <c r="G64" s="14">
        <v>45495</v>
      </c>
      <c r="H64" s="15" t="s">
        <v>163</v>
      </c>
      <c r="I64" s="16" t="s">
        <v>8</v>
      </c>
      <c r="J64" s="16">
        <v>6291450</v>
      </c>
      <c r="K64" s="17">
        <v>7660</v>
      </c>
      <c r="L64" s="18">
        <v>45496</v>
      </c>
      <c r="M64" s="19" t="s">
        <v>39</v>
      </c>
      <c r="N64" s="20" t="s">
        <v>41</v>
      </c>
      <c r="O64" s="20">
        <v>15</v>
      </c>
      <c r="P64" s="20"/>
      <c r="Q64" s="21">
        <v>45496</v>
      </c>
      <c r="R64" s="20">
        <v>500</v>
      </c>
      <c r="S64" s="22">
        <v>7667</v>
      </c>
      <c r="T64" s="23">
        <v>165</v>
      </c>
      <c r="V64" s="37">
        <f t="shared" si="0"/>
        <v>7665</v>
      </c>
      <c r="W64" s="28">
        <f t="shared" si="1"/>
        <v>-2</v>
      </c>
      <c r="X64" s="26">
        <f t="shared" si="2"/>
        <v>5</v>
      </c>
      <c r="Y64" s="200">
        <f t="shared" si="3"/>
        <v>5</v>
      </c>
      <c r="Z64" s="38">
        <f t="shared" si="4"/>
        <v>0</v>
      </c>
      <c r="AA64" s="39">
        <f t="shared" si="5"/>
        <v>7</v>
      </c>
      <c r="AB64" s="58">
        <f t="shared" si="6"/>
        <v>7</v>
      </c>
    </row>
    <row r="65" spans="1:28" s="1" customFormat="1" x14ac:dyDescent="0.2">
      <c r="A65" s="11" t="s">
        <v>5</v>
      </c>
      <c r="B65" s="12" t="s">
        <v>24</v>
      </c>
      <c r="C65" s="12" t="s">
        <v>165</v>
      </c>
      <c r="D65" s="12" t="s">
        <v>62</v>
      </c>
      <c r="E65" s="12">
        <v>6291652</v>
      </c>
      <c r="F65" s="13">
        <v>7780</v>
      </c>
      <c r="G65" s="14">
        <v>45496</v>
      </c>
      <c r="H65" s="15" t="s">
        <v>163</v>
      </c>
      <c r="I65" s="16" t="s">
        <v>32</v>
      </c>
      <c r="J65" s="16">
        <v>6291901</v>
      </c>
      <c r="K65" s="17">
        <v>7780</v>
      </c>
      <c r="L65" s="18">
        <v>45497</v>
      </c>
      <c r="M65" s="19" t="s">
        <v>39</v>
      </c>
      <c r="N65" s="20" t="s">
        <v>18</v>
      </c>
      <c r="O65" s="20">
        <v>15</v>
      </c>
      <c r="P65" s="20"/>
      <c r="Q65" s="21">
        <v>45497</v>
      </c>
      <c r="R65" s="20">
        <v>110</v>
      </c>
      <c r="S65" s="22">
        <v>7795</v>
      </c>
      <c r="T65" s="23">
        <v>180</v>
      </c>
      <c r="V65" s="37">
        <f t="shared" si="0"/>
        <v>7790</v>
      </c>
      <c r="W65" s="28">
        <f t="shared" si="1"/>
        <v>-5</v>
      </c>
      <c r="X65" s="26">
        <f t="shared" si="2"/>
        <v>10</v>
      </c>
      <c r="Y65" s="200">
        <f t="shared" si="3"/>
        <v>10</v>
      </c>
      <c r="Z65" s="38">
        <f t="shared" si="4"/>
        <v>0</v>
      </c>
      <c r="AA65" s="39">
        <f t="shared" si="5"/>
        <v>15</v>
      </c>
      <c r="AB65" s="58">
        <f t="shared" si="6"/>
        <v>15</v>
      </c>
    </row>
    <row r="66" spans="1:28" s="1" customFormat="1" x14ac:dyDescent="0.2">
      <c r="A66" s="11" t="s">
        <v>5</v>
      </c>
      <c r="B66" s="12" t="s">
        <v>19</v>
      </c>
      <c r="C66" s="12" t="s">
        <v>167</v>
      </c>
      <c r="D66" s="12" t="s">
        <v>46</v>
      </c>
      <c r="E66" s="12">
        <v>6291369</v>
      </c>
      <c r="F66" s="13">
        <v>7780</v>
      </c>
      <c r="G66" s="14">
        <v>45496</v>
      </c>
      <c r="H66" s="15" t="s">
        <v>163</v>
      </c>
      <c r="I66" s="16" t="s">
        <v>63</v>
      </c>
      <c r="J66" s="16">
        <v>6291831</v>
      </c>
      <c r="K66" s="17">
        <v>7772</v>
      </c>
      <c r="L66" s="18">
        <v>45496</v>
      </c>
      <c r="M66" s="19" t="s">
        <v>39</v>
      </c>
      <c r="N66" s="20" t="s">
        <v>18</v>
      </c>
      <c r="O66" s="20">
        <v>15</v>
      </c>
      <c r="P66" s="20"/>
      <c r="Q66" s="21">
        <v>45497</v>
      </c>
      <c r="R66" s="20">
        <v>110</v>
      </c>
      <c r="S66" s="22">
        <v>7780</v>
      </c>
      <c r="T66" s="23">
        <v>180</v>
      </c>
      <c r="V66" s="37">
        <f t="shared" si="0"/>
        <v>7790</v>
      </c>
      <c r="W66" s="28">
        <f t="shared" si="1"/>
        <v>10</v>
      </c>
      <c r="X66" s="26">
        <f t="shared" si="2"/>
        <v>18</v>
      </c>
      <c r="Y66" s="200">
        <f t="shared" si="3"/>
        <v>10</v>
      </c>
      <c r="Z66" s="38">
        <f t="shared" si="4"/>
        <v>-8</v>
      </c>
      <c r="AA66" s="39">
        <f t="shared" si="5"/>
        <v>8</v>
      </c>
      <c r="AB66" s="58">
        <f t="shared" si="6"/>
        <v>0</v>
      </c>
    </row>
    <row r="67" spans="1:28" s="1" customFormat="1" x14ac:dyDescent="0.2">
      <c r="A67" s="11" t="s">
        <v>5</v>
      </c>
      <c r="B67" s="12" t="s">
        <v>24</v>
      </c>
      <c r="C67" s="12" t="s">
        <v>134</v>
      </c>
      <c r="D67" s="12" t="s">
        <v>67</v>
      </c>
      <c r="E67" s="12">
        <v>6290838</v>
      </c>
      <c r="F67" s="13">
        <v>7680</v>
      </c>
      <c r="G67" s="14">
        <v>45496</v>
      </c>
      <c r="H67" s="15" t="s">
        <v>7</v>
      </c>
      <c r="I67" s="16" t="s">
        <v>63</v>
      </c>
      <c r="J67" s="16">
        <v>6292805</v>
      </c>
      <c r="K67" s="17">
        <v>7700</v>
      </c>
      <c r="L67" s="18">
        <v>45497</v>
      </c>
      <c r="M67" s="19" t="s">
        <v>35</v>
      </c>
      <c r="N67" s="20" t="s">
        <v>36</v>
      </c>
      <c r="O67" s="20">
        <v>15</v>
      </c>
      <c r="P67" s="20"/>
      <c r="Q67" s="21">
        <v>45497</v>
      </c>
      <c r="R67" s="20">
        <v>500</v>
      </c>
      <c r="S67" s="22">
        <v>7687</v>
      </c>
      <c r="T67" s="23">
        <v>187</v>
      </c>
      <c r="V67" s="37">
        <f t="shared" si="0"/>
        <v>7687</v>
      </c>
      <c r="W67" s="28">
        <f t="shared" si="1"/>
        <v>0</v>
      </c>
      <c r="X67" s="26">
        <f t="shared" si="2"/>
        <v>-13</v>
      </c>
      <c r="Y67" s="200">
        <f t="shared" si="3"/>
        <v>7</v>
      </c>
      <c r="Z67" s="38">
        <f t="shared" si="4"/>
        <v>20</v>
      </c>
      <c r="AA67" s="39">
        <f t="shared" si="5"/>
        <v>-13</v>
      </c>
      <c r="AB67" s="58">
        <f t="shared" si="6"/>
        <v>7</v>
      </c>
    </row>
    <row r="68" spans="1:28" s="1" customFormat="1" hidden="1" x14ac:dyDescent="0.2">
      <c r="A68" s="11" t="s">
        <v>5</v>
      </c>
      <c r="B68" s="12" t="s">
        <v>21</v>
      </c>
      <c r="C68" s="12" t="s">
        <v>168</v>
      </c>
      <c r="D68" s="12" t="s">
        <v>62</v>
      </c>
      <c r="E68" s="12">
        <v>6288798</v>
      </c>
      <c r="F68" s="13">
        <v>7780</v>
      </c>
      <c r="G68" s="14">
        <v>45493</v>
      </c>
      <c r="H68" s="15" t="s">
        <v>163</v>
      </c>
      <c r="I68" s="16" t="s">
        <v>8</v>
      </c>
      <c r="J68" s="16">
        <v>6292190</v>
      </c>
      <c r="K68" s="17">
        <v>7738</v>
      </c>
      <c r="L68" s="18">
        <v>45497</v>
      </c>
      <c r="M68" s="19" t="s">
        <v>39</v>
      </c>
      <c r="N68" s="20" t="s">
        <v>41</v>
      </c>
      <c r="O68" s="20">
        <v>15</v>
      </c>
      <c r="P68" s="20"/>
      <c r="Q68" s="21">
        <v>45497</v>
      </c>
      <c r="R68" s="20">
        <v>505</v>
      </c>
      <c r="S68" s="22">
        <v>7735</v>
      </c>
      <c r="T68" s="23">
        <v>185</v>
      </c>
      <c r="V68" s="37">
        <f t="shared" ref="V68:V131" si="7">IF(RIGHT(C68, 1)="1",
    IF(O68&lt;&gt;"", 500*O68 + T68 + IF(R68&lt;=110, R68, 0), IF(P68&lt;&gt;"", 305*P68 + T68 + IF(R68&lt;=110, R68, 0), "")),
    IF(O68&lt;&gt;"", 500*O68 + T68, IF(P68&lt;&gt;"", 305*P68 + T68, ""))
)</f>
        <v>7685</v>
      </c>
      <c r="W68" s="28">
        <f t="shared" ref="W68:W131" si="8">IF(OR(ISBLANK(V68), ISBLANK(S68), NOT(ISNUMBER(V68)), NOT(ISNUMBER(S68))), "", V68-S68)</f>
        <v>-50</v>
      </c>
      <c r="X68" s="45">
        <f t="shared" ref="X68:X131" si="9">IF(OR(ISBLANK(V68), ISBLANK(K68), NOT(ISNUMBER(V68)), NOT(ISNUMBER(K68))), "", V68-K68)</f>
        <v>-53</v>
      </c>
      <c r="Y68" s="199">
        <f t="shared" ref="Y68:Y131" si="10">IF(OR(ISBLANK(V68), ISBLANK(F68), NOT(ISNUMBER(V68)), NOT(ISNUMBER(F68))), "", V68-F68)</f>
        <v>-95</v>
      </c>
      <c r="Z68" s="38">
        <f t="shared" ref="Z68:Z131" si="11">IF(OR(ISBLANK(F68), ISBLANK(K68)), "",K68-F68)</f>
        <v>-42</v>
      </c>
      <c r="AA68" s="39">
        <f t="shared" ref="AA68:AA131" si="12">IF(OR(ISBLANK(K68), ISBLANK(S68)), "",S68-K68)</f>
        <v>-3</v>
      </c>
      <c r="AB68" s="58">
        <f t="shared" ref="AB68:AB131" si="13">IF(OR(ISBLANK(F68), ISBLANK(S68)), "",S68-F68)</f>
        <v>-45</v>
      </c>
    </row>
    <row r="69" spans="1:28" s="1" customFormat="1" x14ac:dyDescent="0.2">
      <c r="A69" s="11" t="s">
        <v>5</v>
      </c>
      <c r="B69" s="12" t="s">
        <v>24</v>
      </c>
      <c r="C69" s="12" t="s">
        <v>170</v>
      </c>
      <c r="D69" s="12" t="s">
        <v>127</v>
      </c>
      <c r="E69" s="12">
        <v>6292019</v>
      </c>
      <c r="F69" s="13">
        <v>7780</v>
      </c>
      <c r="G69" s="14">
        <v>45497</v>
      </c>
      <c r="H69" s="15" t="s">
        <v>31</v>
      </c>
      <c r="I69" s="16" t="s">
        <v>27</v>
      </c>
      <c r="J69" s="16">
        <v>6292772</v>
      </c>
      <c r="K69" s="17">
        <v>7800</v>
      </c>
      <c r="L69" s="18">
        <v>45497</v>
      </c>
      <c r="M69" s="19" t="s">
        <v>44</v>
      </c>
      <c r="N69" s="20" t="s">
        <v>74</v>
      </c>
      <c r="O69" s="20"/>
      <c r="P69" s="20">
        <v>25</v>
      </c>
      <c r="Q69" s="21">
        <v>45497</v>
      </c>
      <c r="R69" s="20">
        <v>110</v>
      </c>
      <c r="S69" s="22">
        <v>7735</v>
      </c>
      <c r="T69" s="23">
        <v>30</v>
      </c>
      <c r="V69" s="37">
        <f t="shared" si="7"/>
        <v>7765</v>
      </c>
      <c r="W69" s="46">
        <f t="shared" si="8"/>
        <v>30</v>
      </c>
      <c r="X69" s="26">
        <f t="shared" si="9"/>
        <v>-35</v>
      </c>
      <c r="Y69" s="25">
        <f t="shared" si="10"/>
        <v>-15</v>
      </c>
      <c r="Z69" s="38">
        <f t="shared" si="11"/>
        <v>20</v>
      </c>
      <c r="AA69" s="39">
        <f t="shared" si="12"/>
        <v>-65</v>
      </c>
      <c r="AB69" s="58">
        <f t="shared" si="13"/>
        <v>-45</v>
      </c>
    </row>
    <row r="70" spans="1:28" s="1" customFormat="1" x14ac:dyDescent="0.2">
      <c r="A70" s="11" t="s">
        <v>28</v>
      </c>
      <c r="B70" s="12" t="s">
        <v>19</v>
      </c>
      <c r="C70" s="12" t="s">
        <v>171</v>
      </c>
      <c r="D70" s="12" t="s">
        <v>46</v>
      </c>
      <c r="E70" s="12">
        <v>6292292</v>
      </c>
      <c r="F70" s="13">
        <v>8130</v>
      </c>
      <c r="G70" s="14">
        <v>45497</v>
      </c>
      <c r="H70" s="15" t="s">
        <v>31</v>
      </c>
      <c r="I70" s="16" t="s">
        <v>27</v>
      </c>
      <c r="J70" s="16">
        <v>6292653</v>
      </c>
      <c r="K70" s="17">
        <v>8130</v>
      </c>
      <c r="L70" s="18">
        <v>45497</v>
      </c>
      <c r="M70" s="19" t="s">
        <v>44</v>
      </c>
      <c r="N70" s="20" t="s">
        <v>25</v>
      </c>
      <c r="O70" s="20"/>
      <c r="P70" s="20">
        <v>26</v>
      </c>
      <c r="Q70" s="21">
        <v>45497</v>
      </c>
      <c r="R70" s="20">
        <v>110</v>
      </c>
      <c r="S70" s="22">
        <v>8070</v>
      </c>
      <c r="T70" s="23">
        <v>30</v>
      </c>
      <c r="V70" s="37">
        <f t="shared" si="7"/>
        <v>8070</v>
      </c>
      <c r="W70" s="28">
        <f t="shared" si="8"/>
        <v>0</v>
      </c>
      <c r="X70" s="26">
        <f t="shared" si="9"/>
        <v>-60</v>
      </c>
      <c r="Y70" s="200">
        <f t="shared" si="10"/>
        <v>-60</v>
      </c>
      <c r="Z70" s="38">
        <f t="shared" si="11"/>
        <v>0</v>
      </c>
      <c r="AA70" s="39">
        <f t="shared" si="12"/>
        <v>-60</v>
      </c>
      <c r="AB70" s="58">
        <f t="shared" si="13"/>
        <v>-60</v>
      </c>
    </row>
    <row r="71" spans="1:28" s="1" customFormat="1" x14ac:dyDescent="0.2">
      <c r="A71" s="11" t="s">
        <v>28</v>
      </c>
      <c r="B71" s="12" t="s">
        <v>19</v>
      </c>
      <c r="C71" s="12" t="s">
        <v>172</v>
      </c>
      <c r="D71" s="12" t="s">
        <v>127</v>
      </c>
      <c r="E71" s="12">
        <v>6292017</v>
      </c>
      <c r="F71" s="13">
        <v>7780</v>
      </c>
      <c r="G71" s="14">
        <v>45497</v>
      </c>
      <c r="H71" s="15" t="s">
        <v>31</v>
      </c>
      <c r="I71" s="16" t="s">
        <v>27</v>
      </c>
      <c r="J71" s="16">
        <v>6292726</v>
      </c>
      <c r="K71" s="17">
        <v>7800</v>
      </c>
      <c r="L71" s="18">
        <v>45497</v>
      </c>
      <c r="M71" s="19" t="s">
        <v>44</v>
      </c>
      <c r="N71" s="20" t="s">
        <v>25</v>
      </c>
      <c r="O71" s="20"/>
      <c r="P71" s="20">
        <v>25</v>
      </c>
      <c r="Q71" s="21">
        <v>45497</v>
      </c>
      <c r="R71" s="20">
        <v>110</v>
      </c>
      <c r="S71" s="22">
        <v>7765</v>
      </c>
      <c r="T71" s="23">
        <v>30</v>
      </c>
      <c r="V71" s="37">
        <f t="shared" si="7"/>
        <v>7765</v>
      </c>
      <c r="W71" s="28">
        <f t="shared" si="8"/>
        <v>0</v>
      </c>
      <c r="X71" s="26">
        <f t="shared" si="9"/>
        <v>-35</v>
      </c>
      <c r="Y71" s="200">
        <f t="shared" si="10"/>
        <v>-15</v>
      </c>
      <c r="Z71" s="38">
        <f t="shared" si="11"/>
        <v>20</v>
      </c>
      <c r="AA71" s="39">
        <f t="shared" si="12"/>
        <v>-35</v>
      </c>
      <c r="AB71" s="58">
        <f t="shared" si="13"/>
        <v>-15</v>
      </c>
    </row>
    <row r="72" spans="1:28" s="1" customFormat="1" x14ac:dyDescent="0.2">
      <c r="A72" s="11" t="s">
        <v>5</v>
      </c>
      <c r="B72" s="12" t="s">
        <v>20</v>
      </c>
      <c r="C72" s="12" t="s">
        <v>173</v>
      </c>
      <c r="D72" s="12" t="s">
        <v>6</v>
      </c>
      <c r="E72" s="12">
        <v>6288855</v>
      </c>
      <c r="F72" s="13">
        <v>7880</v>
      </c>
      <c r="G72" s="14">
        <v>45493</v>
      </c>
      <c r="H72" s="15" t="s">
        <v>7</v>
      </c>
      <c r="I72" s="16" t="s">
        <v>32</v>
      </c>
      <c r="J72" s="16">
        <v>6289029</v>
      </c>
      <c r="K72" s="17">
        <v>7800</v>
      </c>
      <c r="L72" s="18">
        <v>45493</v>
      </c>
      <c r="M72" s="19" t="s">
        <v>44</v>
      </c>
      <c r="N72" s="20" t="s">
        <v>115</v>
      </c>
      <c r="O72" s="20"/>
      <c r="P72" s="20">
        <v>25</v>
      </c>
      <c r="Q72" s="21">
        <v>45497</v>
      </c>
      <c r="R72" s="20">
        <v>55</v>
      </c>
      <c r="S72" s="22">
        <v>7630</v>
      </c>
      <c r="T72" s="23">
        <v>90</v>
      </c>
      <c r="V72" s="37">
        <f t="shared" si="7"/>
        <v>7770</v>
      </c>
      <c r="W72" s="24">
        <f t="shared" si="8"/>
        <v>140</v>
      </c>
      <c r="X72" s="27">
        <f t="shared" si="9"/>
        <v>-30</v>
      </c>
      <c r="Y72" s="200">
        <f t="shared" si="10"/>
        <v>-110</v>
      </c>
      <c r="Z72" s="38">
        <f t="shared" si="11"/>
        <v>-80</v>
      </c>
      <c r="AA72" s="39">
        <f t="shared" si="12"/>
        <v>-170</v>
      </c>
      <c r="AB72" s="58">
        <f t="shared" si="13"/>
        <v>-250</v>
      </c>
    </row>
    <row r="73" spans="1:28" s="1" customFormat="1" x14ac:dyDescent="0.2">
      <c r="A73" s="11" t="s">
        <v>28</v>
      </c>
      <c r="B73" s="12" t="s">
        <v>19</v>
      </c>
      <c r="C73" s="12" t="s">
        <v>174</v>
      </c>
      <c r="D73" s="12" t="s">
        <v>127</v>
      </c>
      <c r="E73" s="12">
        <v>6292158</v>
      </c>
      <c r="F73" s="13">
        <v>8465</v>
      </c>
      <c r="G73" s="14">
        <v>45497</v>
      </c>
      <c r="H73" s="15" t="s">
        <v>31</v>
      </c>
      <c r="I73" s="16" t="s">
        <v>16</v>
      </c>
      <c r="J73" s="16">
        <v>6293062</v>
      </c>
      <c r="K73" s="17">
        <v>8500</v>
      </c>
      <c r="L73" s="18">
        <v>45498</v>
      </c>
      <c r="M73" s="19" t="s">
        <v>17</v>
      </c>
      <c r="N73" s="20" t="s">
        <v>79</v>
      </c>
      <c r="O73" s="20"/>
      <c r="P73" s="20">
        <v>27</v>
      </c>
      <c r="Q73" s="21">
        <v>45498</v>
      </c>
      <c r="R73" s="20">
        <v>310</v>
      </c>
      <c r="S73" s="22">
        <v>8508</v>
      </c>
      <c r="T73" s="23">
        <v>265</v>
      </c>
      <c r="V73" s="37">
        <f t="shared" si="7"/>
        <v>8500</v>
      </c>
      <c r="W73" s="46">
        <f t="shared" si="8"/>
        <v>-8</v>
      </c>
      <c r="X73" s="27">
        <f t="shared" si="9"/>
        <v>0</v>
      </c>
      <c r="Y73" s="199">
        <f t="shared" si="10"/>
        <v>35</v>
      </c>
      <c r="Z73" s="38">
        <f t="shared" si="11"/>
        <v>35</v>
      </c>
      <c r="AA73" s="39">
        <f t="shared" si="12"/>
        <v>8</v>
      </c>
      <c r="AB73" s="58">
        <f t="shared" si="13"/>
        <v>43</v>
      </c>
    </row>
    <row r="74" spans="1:28" s="1" customFormat="1" x14ac:dyDescent="0.2">
      <c r="A74" s="11" t="s">
        <v>5</v>
      </c>
      <c r="B74" s="12" t="s">
        <v>19</v>
      </c>
      <c r="C74" s="12" t="s">
        <v>175</v>
      </c>
      <c r="D74" s="12" t="s">
        <v>127</v>
      </c>
      <c r="E74" s="12">
        <v>6291957</v>
      </c>
      <c r="F74" s="13">
        <v>7780</v>
      </c>
      <c r="G74" s="14">
        <v>45497</v>
      </c>
      <c r="H74" s="15" t="s">
        <v>31</v>
      </c>
      <c r="I74" s="16" t="s">
        <v>63</v>
      </c>
      <c r="J74" s="16">
        <v>6292746</v>
      </c>
      <c r="K74" s="17">
        <v>7788</v>
      </c>
      <c r="L74" s="18">
        <v>45497</v>
      </c>
      <c r="M74" s="19" t="s">
        <v>35</v>
      </c>
      <c r="N74" s="20" t="s">
        <v>36</v>
      </c>
      <c r="O74" s="20">
        <v>15</v>
      </c>
      <c r="P74" s="20"/>
      <c r="Q74" s="21">
        <v>45497</v>
      </c>
      <c r="R74" s="20">
        <v>500</v>
      </c>
      <c r="S74" s="22">
        <v>7780</v>
      </c>
      <c r="T74" s="23">
        <v>180</v>
      </c>
      <c r="V74" s="37">
        <f t="shared" si="7"/>
        <v>7680</v>
      </c>
      <c r="W74" s="28">
        <f t="shared" si="8"/>
        <v>-100</v>
      </c>
      <c r="X74" s="26">
        <f t="shared" si="9"/>
        <v>-108</v>
      </c>
      <c r="Y74" s="200">
        <f t="shared" si="10"/>
        <v>-100</v>
      </c>
      <c r="Z74" s="38">
        <f t="shared" si="11"/>
        <v>8</v>
      </c>
      <c r="AA74" s="39">
        <f t="shared" si="12"/>
        <v>-8</v>
      </c>
      <c r="AB74" s="58">
        <f t="shared" si="13"/>
        <v>0</v>
      </c>
    </row>
    <row r="75" spans="1:28" s="1" customFormat="1" x14ac:dyDescent="0.2">
      <c r="A75" s="11" t="s">
        <v>5</v>
      </c>
      <c r="B75" s="12" t="s">
        <v>24</v>
      </c>
      <c r="C75" s="12" t="s">
        <v>176</v>
      </c>
      <c r="D75" s="12" t="s">
        <v>127</v>
      </c>
      <c r="E75" s="12">
        <v>6291966</v>
      </c>
      <c r="F75" s="13">
        <v>7730</v>
      </c>
      <c r="G75" s="14">
        <v>45497</v>
      </c>
      <c r="H75" s="15" t="s">
        <v>7</v>
      </c>
      <c r="I75" s="16" t="s">
        <v>63</v>
      </c>
      <c r="J75" s="16">
        <v>6292655</v>
      </c>
      <c r="K75" s="17">
        <v>7736</v>
      </c>
      <c r="L75" s="18">
        <v>45497</v>
      </c>
      <c r="M75" s="19" t="s">
        <v>35</v>
      </c>
      <c r="N75" s="20" t="s">
        <v>36</v>
      </c>
      <c r="O75" s="20">
        <v>15</v>
      </c>
      <c r="P75" s="20"/>
      <c r="Q75" s="21">
        <v>45497</v>
      </c>
      <c r="R75" s="20">
        <v>500</v>
      </c>
      <c r="S75" s="22">
        <v>7727</v>
      </c>
      <c r="T75" s="23">
        <v>117</v>
      </c>
      <c r="V75" s="37">
        <f t="shared" si="7"/>
        <v>7617</v>
      </c>
      <c r="W75" s="28">
        <f t="shared" si="8"/>
        <v>-110</v>
      </c>
      <c r="X75" s="26">
        <f t="shared" si="9"/>
        <v>-119</v>
      </c>
      <c r="Y75" s="200">
        <f t="shared" si="10"/>
        <v>-113</v>
      </c>
      <c r="Z75" s="38">
        <f t="shared" si="11"/>
        <v>6</v>
      </c>
      <c r="AA75" s="39">
        <f t="shared" si="12"/>
        <v>-9</v>
      </c>
      <c r="AB75" s="58">
        <f t="shared" si="13"/>
        <v>-3</v>
      </c>
    </row>
    <row r="76" spans="1:28" s="1" customFormat="1" x14ac:dyDescent="0.2">
      <c r="A76" s="11" t="s">
        <v>5</v>
      </c>
      <c r="B76" s="12" t="s">
        <v>19</v>
      </c>
      <c r="C76" s="12" t="s">
        <v>64</v>
      </c>
      <c r="D76" s="12" t="s">
        <v>6</v>
      </c>
      <c r="E76" s="12">
        <v>6293828</v>
      </c>
      <c r="F76" s="13">
        <v>7450</v>
      </c>
      <c r="G76" s="14">
        <v>45493</v>
      </c>
      <c r="H76" s="15" t="s">
        <v>7</v>
      </c>
      <c r="I76" s="16" t="s">
        <v>27</v>
      </c>
      <c r="J76" s="16">
        <v>6293828</v>
      </c>
      <c r="K76" s="17">
        <v>7340</v>
      </c>
      <c r="L76" s="18">
        <v>45498</v>
      </c>
      <c r="M76" s="19" t="s">
        <v>39</v>
      </c>
      <c r="N76" s="20" t="s">
        <v>18</v>
      </c>
      <c r="O76" s="20">
        <v>14</v>
      </c>
      <c r="P76" s="20"/>
      <c r="Q76" s="21">
        <v>45499</v>
      </c>
      <c r="R76" s="20">
        <v>501</v>
      </c>
      <c r="S76" s="22">
        <v>7357</v>
      </c>
      <c r="T76" s="23">
        <v>357</v>
      </c>
      <c r="V76" s="37">
        <f t="shared" si="7"/>
        <v>7357</v>
      </c>
      <c r="W76" s="28">
        <f t="shared" si="8"/>
        <v>0</v>
      </c>
      <c r="X76" s="45">
        <f t="shared" si="9"/>
        <v>17</v>
      </c>
      <c r="Y76" s="199">
        <f t="shared" si="10"/>
        <v>-93</v>
      </c>
      <c r="Z76" s="38">
        <f t="shared" si="11"/>
        <v>-110</v>
      </c>
      <c r="AA76" s="39">
        <f t="shared" si="12"/>
        <v>17</v>
      </c>
      <c r="AB76" s="58">
        <f t="shared" si="13"/>
        <v>-93</v>
      </c>
    </row>
    <row r="77" spans="1:28" s="1" customFormat="1" x14ac:dyDescent="0.2">
      <c r="A77" s="11" t="s">
        <v>28</v>
      </c>
      <c r="B77" s="12" t="s">
        <v>24</v>
      </c>
      <c r="C77" s="12" t="s">
        <v>178</v>
      </c>
      <c r="D77" s="12" t="s">
        <v>127</v>
      </c>
      <c r="E77" s="12">
        <v>6292116</v>
      </c>
      <c r="F77" s="13">
        <v>8500</v>
      </c>
      <c r="G77" s="14">
        <v>45497</v>
      </c>
      <c r="H77" s="15" t="s">
        <v>31</v>
      </c>
      <c r="I77" s="16" t="s">
        <v>121</v>
      </c>
      <c r="J77" s="16">
        <v>6293927</v>
      </c>
      <c r="K77" s="17">
        <v>8540</v>
      </c>
      <c r="L77" s="18">
        <v>45498</v>
      </c>
      <c r="M77" s="19" t="s">
        <v>17</v>
      </c>
      <c r="N77" s="20" t="s">
        <v>79</v>
      </c>
      <c r="O77" s="20"/>
      <c r="P77" s="20">
        <v>28</v>
      </c>
      <c r="Q77" s="21">
        <v>45498</v>
      </c>
      <c r="R77" s="20">
        <v>310</v>
      </c>
      <c r="S77" s="22">
        <v>8541</v>
      </c>
      <c r="T77" s="23">
        <v>1</v>
      </c>
      <c r="V77" s="37">
        <f t="shared" si="7"/>
        <v>8541</v>
      </c>
      <c r="W77" s="28">
        <f t="shared" si="8"/>
        <v>0</v>
      </c>
      <c r="X77" s="45">
        <f t="shared" si="9"/>
        <v>1</v>
      </c>
      <c r="Y77" s="199">
        <f t="shared" si="10"/>
        <v>41</v>
      </c>
      <c r="Z77" s="38">
        <f t="shared" si="11"/>
        <v>40</v>
      </c>
      <c r="AA77" s="39">
        <f t="shared" si="12"/>
        <v>1</v>
      </c>
      <c r="AB77" s="58">
        <f t="shared" si="13"/>
        <v>41</v>
      </c>
    </row>
    <row r="78" spans="1:28" s="1" customFormat="1" x14ac:dyDescent="0.2">
      <c r="A78" s="11" t="s">
        <v>5</v>
      </c>
      <c r="B78" s="12" t="s">
        <v>24</v>
      </c>
      <c r="C78" s="12" t="s">
        <v>179</v>
      </c>
      <c r="D78" s="12" t="s">
        <v>62</v>
      </c>
      <c r="E78" s="12">
        <v>6291702</v>
      </c>
      <c r="F78" s="13">
        <v>7750</v>
      </c>
      <c r="G78" s="14">
        <v>45496</v>
      </c>
      <c r="H78" s="15" t="s">
        <v>7</v>
      </c>
      <c r="I78" s="16" t="s">
        <v>8</v>
      </c>
      <c r="J78" s="16">
        <v>6293642</v>
      </c>
      <c r="K78" s="17">
        <v>7760</v>
      </c>
      <c r="L78" s="18">
        <v>45498</v>
      </c>
      <c r="M78" s="19" t="s">
        <v>39</v>
      </c>
      <c r="N78" s="20" t="s">
        <v>41</v>
      </c>
      <c r="O78" s="20">
        <v>15</v>
      </c>
      <c r="P78" s="20"/>
      <c r="Q78" s="21">
        <v>45498</v>
      </c>
      <c r="R78" s="20">
        <v>501</v>
      </c>
      <c r="S78" s="22">
        <v>7776</v>
      </c>
      <c r="T78" s="23">
        <v>270</v>
      </c>
      <c r="V78" s="37">
        <f t="shared" si="7"/>
        <v>7770</v>
      </c>
      <c r="W78" s="28">
        <f t="shared" si="8"/>
        <v>-6</v>
      </c>
      <c r="X78" s="45">
        <f t="shared" si="9"/>
        <v>10</v>
      </c>
      <c r="Y78" s="199">
        <f t="shared" si="10"/>
        <v>20</v>
      </c>
      <c r="Z78" s="38">
        <f t="shared" si="11"/>
        <v>10</v>
      </c>
      <c r="AA78" s="39">
        <f t="shared" si="12"/>
        <v>16</v>
      </c>
      <c r="AB78" s="58">
        <f t="shared" si="13"/>
        <v>26</v>
      </c>
    </row>
    <row r="79" spans="1:28" s="1" customFormat="1" x14ac:dyDescent="0.2">
      <c r="A79" s="11" t="s">
        <v>5</v>
      </c>
      <c r="B79" s="12" t="s">
        <v>19</v>
      </c>
      <c r="C79" s="12" t="s">
        <v>194</v>
      </c>
      <c r="D79" s="12" t="s">
        <v>46</v>
      </c>
      <c r="E79" s="12">
        <v>6291462</v>
      </c>
      <c r="F79" s="13">
        <v>7590</v>
      </c>
      <c r="G79" s="14">
        <v>45496</v>
      </c>
      <c r="H79" s="15" t="s">
        <v>7</v>
      </c>
      <c r="I79" s="16" t="s">
        <v>63</v>
      </c>
      <c r="J79" s="16">
        <v>6296128</v>
      </c>
      <c r="K79" s="17">
        <v>7603</v>
      </c>
      <c r="L79" s="18">
        <v>45500</v>
      </c>
      <c r="M79" s="19" t="s">
        <v>35</v>
      </c>
      <c r="N79" s="20" t="s">
        <v>36</v>
      </c>
      <c r="O79" s="20">
        <v>15</v>
      </c>
      <c r="P79" s="20"/>
      <c r="Q79" s="21">
        <v>45500</v>
      </c>
      <c r="R79" s="20">
        <v>500</v>
      </c>
      <c r="S79" s="22">
        <v>7541</v>
      </c>
      <c r="T79" s="23">
        <v>60</v>
      </c>
      <c r="V79" s="37">
        <f t="shared" si="7"/>
        <v>7560</v>
      </c>
      <c r="W79" s="28">
        <f t="shared" si="8"/>
        <v>19</v>
      </c>
      <c r="X79" s="26">
        <f t="shared" si="9"/>
        <v>-43</v>
      </c>
      <c r="Y79" s="200">
        <f t="shared" si="10"/>
        <v>-30</v>
      </c>
      <c r="Z79" s="38">
        <f t="shared" si="11"/>
        <v>13</v>
      </c>
      <c r="AA79" s="39">
        <f t="shared" si="12"/>
        <v>-62</v>
      </c>
      <c r="AB79" s="58">
        <f t="shared" si="13"/>
        <v>-49</v>
      </c>
    </row>
    <row r="80" spans="1:28" s="1" customFormat="1" x14ac:dyDescent="0.2">
      <c r="A80" s="11" t="s">
        <v>5</v>
      </c>
      <c r="B80" s="12" t="s">
        <v>19</v>
      </c>
      <c r="C80" s="12" t="s">
        <v>187</v>
      </c>
      <c r="D80" s="12" t="s">
        <v>62</v>
      </c>
      <c r="E80" s="12">
        <v>6295026</v>
      </c>
      <c r="F80" s="13">
        <v>8025</v>
      </c>
      <c r="G80" s="14">
        <v>45499</v>
      </c>
      <c r="H80" s="15" t="s">
        <v>7</v>
      </c>
      <c r="I80" s="16" t="s">
        <v>16</v>
      </c>
      <c r="J80" s="16">
        <v>6295266</v>
      </c>
      <c r="K80" s="17">
        <v>8020</v>
      </c>
      <c r="L80" s="18">
        <v>45500</v>
      </c>
      <c r="M80" s="19" t="s">
        <v>39</v>
      </c>
      <c r="N80" s="20" t="s">
        <v>18</v>
      </c>
      <c r="O80" s="20">
        <v>15</v>
      </c>
      <c r="P80" s="20"/>
      <c r="Q80" s="21">
        <v>45500</v>
      </c>
      <c r="R80" s="20">
        <v>55</v>
      </c>
      <c r="S80" s="22">
        <v>8035</v>
      </c>
      <c r="T80" s="23">
        <v>425</v>
      </c>
      <c r="V80" s="37">
        <f t="shared" si="7"/>
        <v>7980</v>
      </c>
      <c r="W80" s="24">
        <f t="shared" si="8"/>
        <v>-55</v>
      </c>
      <c r="X80" s="27">
        <f t="shared" si="9"/>
        <v>-40</v>
      </c>
      <c r="Y80" s="200">
        <f t="shared" si="10"/>
        <v>-45</v>
      </c>
      <c r="Z80" s="38">
        <f t="shared" si="11"/>
        <v>-5</v>
      </c>
      <c r="AA80" s="39">
        <f t="shared" si="12"/>
        <v>15</v>
      </c>
      <c r="AB80" s="58">
        <f t="shared" si="13"/>
        <v>10</v>
      </c>
    </row>
    <row r="81" spans="1:28" s="1" customFormat="1" x14ac:dyDescent="0.2">
      <c r="A81" s="11" t="s">
        <v>5</v>
      </c>
      <c r="B81" s="12" t="s">
        <v>24</v>
      </c>
      <c r="C81" s="12" t="s">
        <v>193</v>
      </c>
      <c r="D81" s="12" t="s">
        <v>65</v>
      </c>
      <c r="E81" s="12">
        <v>6295743</v>
      </c>
      <c r="F81" s="13">
        <v>7780</v>
      </c>
      <c r="G81" s="14">
        <v>45500</v>
      </c>
      <c r="H81" s="15" t="s">
        <v>7</v>
      </c>
      <c r="I81" s="16" t="s">
        <v>8</v>
      </c>
      <c r="J81" s="16">
        <v>6295944</v>
      </c>
      <c r="K81" s="17">
        <v>7785</v>
      </c>
      <c r="L81" s="18">
        <v>45500</v>
      </c>
      <c r="M81" s="19" t="s">
        <v>39</v>
      </c>
      <c r="N81" s="20" t="s">
        <v>25</v>
      </c>
      <c r="O81" s="20">
        <v>15</v>
      </c>
      <c r="P81" s="20"/>
      <c r="Q81" s="21">
        <v>45500</v>
      </c>
      <c r="R81" s="20">
        <v>55</v>
      </c>
      <c r="S81" s="22">
        <v>7806</v>
      </c>
      <c r="T81" s="23">
        <v>240</v>
      </c>
      <c r="V81" s="37">
        <f t="shared" si="7"/>
        <v>7795</v>
      </c>
      <c r="W81" s="46">
        <f t="shared" si="8"/>
        <v>-11</v>
      </c>
      <c r="X81" s="27">
        <f t="shared" si="9"/>
        <v>10</v>
      </c>
      <c r="Y81" s="199">
        <f t="shared" si="10"/>
        <v>15</v>
      </c>
      <c r="Z81" s="38">
        <f t="shared" si="11"/>
        <v>5</v>
      </c>
      <c r="AA81" s="39">
        <f t="shared" si="12"/>
        <v>21</v>
      </c>
      <c r="AB81" s="58">
        <f t="shared" si="13"/>
        <v>26</v>
      </c>
    </row>
    <row r="82" spans="1:28" s="1" customFormat="1" hidden="1" x14ac:dyDescent="0.2">
      <c r="A82" s="11" t="s">
        <v>5</v>
      </c>
      <c r="B82" s="12" t="s">
        <v>21</v>
      </c>
      <c r="C82" s="12" t="s">
        <v>189</v>
      </c>
      <c r="D82" s="12" t="s">
        <v>6</v>
      </c>
      <c r="E82" s="12">
        <v>6295335</v>
      </c>
      <c r="F82" s="13">
        <v>7680</v>
      </c>
      <c r="G82" s="14">
        <v>45500</v>
      </c>
      <c r="H82" s="15" t="s">
        <v>7</v>
      </c>
      <c r="I82" s="16" t="s">
        <v>8</v>
      </c>
      <c r="J82" s="16">
        <v>6295609</v>
      </c>
      <c r="K82" s="17">
        <v>7670</v>
      </c>
      <c r="L82" s="18">
        <v>45500</v>
      </c>
      <c r="M82" s="19" t="s">
        <v>35</v>
      </c>
      <c r="N82" s="20" t="s">
        <v>115</v>
      </c>
      <c r="O82" s="20">
        <v>15</v>
      </c>
      <c r="P82" s="20"/>
      <c r="Q82" s="21">
        <v>45500</v>
      </c>
      <c r="R82" s="20">
        <v>500</v>
      </c>
      <c r="S82" s="22">
        <v>7650</v>
      </c>
      <c r="T82" s="23">
        <v>160</v>
      </c>
      <c r="V82" s="37">
        <f t="shared" si="7"/>
        <v>7660</v>
      </c>
      <c r="W82" s="28">
        <f t="shared" si="8"/>
        <v>10</v>
      </c>
      <c r="X82" s="45">
        <f t="shared" si="9"/>
        <v>-10</v>
      </c>
      <c r="Y82" s="199">
        <f t="shared" si="10"/>
        <v>-20</v>
      </c>
      <c r="Z82" s="38">
        <f t="shared" si="11"/>
        <v>-10</v>
      </c>
      <c r="AA82" s="39">
        <f t="shared" si="12"/>
        <v>-20</v>
      </c>
      <c r="AB82" s="58">
        <f t="shared" si="13"/>
        <v>-30</v>
      </c>
    </row>
    <row r="83" spans="1:28" s="1" customFormat="1" hidden="1" x14ac:dyDescent="0.2">
      <c r="A83" s="11" t="s">
        <v>5</v>
      </c>
      <c r="B83" s="12" t="s">
        <v>21</v>
      </c>
      <c r="C83" s="12" t="s">
        <v>190</v>
      </c>
      <c r="D83" s="12" t="s">
        <v>6</v>
      </c>
      <c r="E83" s="12">
        <v>6295568</v>
      </c>
      <c r="F83" s="13">
        <v>7720</v>
      </c>
      <c r="G83" s="14">
        <v>45500</v>
      </c>
      <c r="H83" s="15" t="s">
        <v>7</v>
      </c>
      <c r="I83" s="16" t="s">
        <v>27</v>
      </c>
      <c r="J83" s="16">
        <v>6296018</v>
      </c>
      <c r="K83" s="17">
        <v>7600</v>
      </c>
      <c r="L83" s="18">
        <v>45500</v>
      </c>
      <c r="M83" s="19" t="s">
        <v>35</v>
      </c>
      <c r="N83" s="20" t="s">
        <v>36</v>
      </c>
      <c r="O83" s="20">
        <v>15</v>
      </c>
      <c r="P83" s="20"/>
      <c r="Q83" s="21">
        <v>45500</v>
      </c>
      <c r="R83" s="20">
        <v>500</v>
      </c>
      <c r="S83" s="22">
        <v>7683</v>
      </c>
      <c r="T83" s="23">
        <v>206</v>
      </c>
      <c r="V83" s="37">
        <f t="shared" si="7"/>
        <v>7706</v>
      </c>
      <c r="W83" s="46">
        <f t="shared" si="8"/>
        <v>23</v>
      </c>
      <c r="X83" s="26">
        <f t="shared" si="9"/>
        <v>106</v>
      </c>
      <c r="Y83" s="25">
        <f t="shared" si="10"/>
        <v>-14</v>
      </c>
      <c r="Z83" s="38">
        <f t="shared" si="11"/>
        <v>-120</v>
      </c>
      <c r="AA83" s="39">
        <f t="shared" si="12"/>
        <v>83</v>
      </c>
      <c r="AB83" s="58">
        <f t="shared" si="13"/>
        <v>-37</v>
      </c>
    </row>
    <row r="84" spans="1:28" s="1" customFormat="1" hidden="1" x14ac:dyDescent="0.2">
      <c r="A84" s="11" t="s">
        <v>5</v>
      </c>
      <c r="B84" s="12" t="s">
        <v>21</v>
      </c>
      <c r="C84" s="12" t="s">
        <v>191</v>
      </c>
      <c r="D84" s="12" t="s">
        <v>62</v>
      </c>
      <c r="E84" s="12">
        <v>6295190</v>
      </c>
      <c r="F84" s="13">
        <v>7700</v>
      </c>
      <c r="G84" s="14">
        <v>45499</v>
      </c>
      <c r="H84" s="15" t="s">
        <v>7</v>
      </c>
      <c r="I84" s="16" t="s">
        <v>16</v>
      </c>
      <c r="J84" s="16">
        <v>6295374</v>
      </c>
      <c r="K84" s="17">
        <v>7690</v>
      </c>
      <c r="L84" s="18">
        <v>45500</v>
      </c>
      <c r="M84" s="19" t="s">
        <v>39</v>
      </c>
      <c r="N84" s="20" t="s">
        <v>18</v>
      </c>
      <c r="O84" s="20">
        <v>15</v>
      </c>
      <c r="P84" s="20"/>
      <c r="Q84" s="21">
        <v>45500</v>
      </c>
      <c r="R84" s="20">
        <v>500</v>
      </c>
      <c r="S84" s="22">
        <v>7705</v>
      </c>
      <c r="T84" s="23">
        <v>198</v>
      </c>
      <c r="V84" s="37">
        <f t="shared" si="7"/>
        <v>7698</v>
      </c>
      <c r="W84" s="46">
        <f t="shared" si="8"/>
        <v>-7</v>
      </c>
      <c r="X84" s="26">
        <f t="shared" si="9"/>
        <v>8</v>
      </c>
      <c r="Y84" s="25">
        <f t="shared" si="10"/>
        <v>-2</v>
      </c>
      <c r="Z84" s="38">
        <f t="shared" si="11"/>
        <v>-10</v>
      </c>
      <c r="AA84" s="39">
        <f t="shared" si="12"/>
        <v>15</v>
      </c>
      <c r="AB84" s="58">
        <f t="shared" si="13"/>
        <v>5</v>
      </c>
    </row>
    <row r="85" spans="1:28" s="1" customFormat="1" hidden="1" x14ac:dyDescent="0.2">
      <c r="A85" s="11" t="s">
        <v>5</v>
      </c>
      <c r="B85" s="12" t="s">
        <v>21</v>
      </c>
      <c r="C85" s="12" t="s">
        <v>199</v>
      </c>
      <c r="D85" s="12" t="s">
        <v>127</v>
      </c>
      <c r="E85" s="12">
        <v>6297431</v>
      </c>
      <c r="F85" s="13">
        <v>7780</v>
      </c>
      <c r="G85" s="14">
        <v>45502</v>
      </c>
      <c r="H85" s="15" t="s">
        <v>7</v>
      </c>
      <c r="I85" s="16" t="s">
        <v>66</v>
      </c>
      <c r="J85" s="16">
        <v>6297686</v>
      </c>
      <c r="K85" s="17">
        <v>7750</v>
      </c>
      <c r="L85" s="18">
        <v>45503</v>
      </c>
      <c r="M85" s="19" t="s">
        <v>35</v>
      </c>
      <c r="N85" s="20" t="s">
        <v>79</v>
      </c>
      <c r="O85" s="20">
        <v>15</v>
      </c>
      <c r="P85" s="20"/>
      <c r="Q85" s="21">
        <v>45503</v>
      </c>
      <c r="R85" s="20">
        <v>55</v>
      </c>
      <c r="S85" s="22">
        <v>7700</v>
      </c>
      <c r="T85" s="23">
        <v>80</v>
      </c>
      <c r="V85" s="37">
        <f t="shared" si="7"/>
        <v>7635</v>
      </c>
      <c r="W85" s="28">
        <f t="shared" si="8"/>
        <v>-65</v>
      </c>
      <c r="X85" s="45">
        <f t="shared" si="9"/>
        <v>-115</v>
      </c>
      <c r="Y85" s="199">
        <f t="shared" si="10"/>
        <v>-145</v>
      </c>
      <c r="Z85" s="38">
        <f t="shared" si="11"/>
        <v>-30</v>
      </c>
      <c r="AA85" s="39">
        <f t="shared" si="12"/>
        <v>-50</v>
      </c>
      <c r="AB85" s="58">
        <f t="shared" si="13"/>
        <v>-80</v>
      </c>
    </row>
    <row r="86" spans="1:28" s="1" customFormat="1" hidden="1" x14ac:dyDescent="0.2">
      <c r="A86" s="11" t="s">
        <v>5</v>
      </c>
      <c r="B86" s="12" t="s">
        <v>21</v>
      </c>
      <c r="C86" s="12" t="s">
        <v>200</v>
      </c>
      <c r="D86" s="12" t="s">
        <v>15</v>
      </c>
      <c r="E86" s="12">
        <v>6297769</v>
      </c>
      <c r="F86" s="13">
        <v>7780</v>
      </c>
      <c r="G86" s="14">
        <v>45503</v>
      </c>
      <c r="H86" s="15" t="s">
        <v>7</v>
      </c>
      <c r="I86" s="16" t="s">
        <v>63</v>
      </c>
      <c r="J86" s="16">
        <v>6298481</v>
      </c>
      <c r="K86" s="17">
        <v>7718</v>
      </c>
      <c r="L86" s="18">
        <v>45503</v>
      </c>
      <c r="M86" s="19" t="s">
        <v>39</v>
      </c>
      <c r="N86" s="20" t="s">
        <v>25</v>
      </c>
      <c r="O86" s="20">
        <v>15</v>
      </c>
      <c r="P86" s="20"/>
      <c r="Q86" s="21">
        <v>45503</v>
      </c>
      <c r="R86" s="20">
        <v>55</v>
      </c>
      <c r="S86" s="22">
        <v>7724</v>
      </c>
      <c r="T86" s="23">
        <v>150</v>
      </c>
      <c r="V86" s="37">
        <f t="shared" si="7"/>
        <v>7705</v>
      </c>
      <c r="W86" s="46">
        <f t="shared" si="8"/>
        <v>-19</v>
      </c>
      <c r="X86" s="27">
        <f t="shared" si="9"/>
        <v>-13</v>
      </c>
      <c r="Y86" s="199">
        <f t="shared" si="10"/>
        <v>-75</v>
      </c>
      <c r="Z86" s="38">
        <f t="shared" si="11"/>
        <v>-62</v>
      </c>
      <c r="AA86" s="39">
        <f t="shared" si="12"/>
        <v>6</v>
      </c>
      <c r="AB86" s="58">
        <f t="shared" si="13"/>
        <v>-56</v>
      </c>
    </row>
    <row r="87" spans="1:28" s="1" customFormat="1" hidden="1" x14ac:dyDescent="0.2">
      <c r="A87" s="11" t="s">
        <v>5</v>
      </c>
      <c r="B87" s="12" t="s">
        <v>21</v>
      </c>
      <c r="C87" s="12" t="s">
        <v>201</v>
      </c>
      <c r="D87" s="12" t="s">
        <v>127</v>
      </c>
      <c r="E87" s="12">
        <v>6297431</v>
      </c>
      <c r="F87" s="13">
        <v>7780</v>
      </c>
      <c r="G87" s="14">
        <v>45502</v>
      </c>
      <c r="H87" s="15" t="s">
        <v>7</v>
      </c>
      <c r="I87" s="16" t="s">
        <v>66</v>
      </c>
      <c r="J87" s="16">
        <v>6297686</v>
      </c>
      <c r="K87" s="17">
        <v>7750</v>
      </c>
      <c r="L87" s="18">
        <v>45503</v>
      </c>
      <c r="M87" s="19" t="s">
        <v>35</v>
      </c>
      <c r="N87" s="20" t="s">
        <v>79</v>
      </c>
      <c r="O87" s="20">
        <v>15</v>
      </c>
      <c r="P87" s="20"/>
      <c r="Q87" s="21">
        <v>45503</v>
      </c>
      <c r="R87" s="20">
        <v>55</v>
      </c>
      <c r="S87" s="22">
        <v>7700</v>
      </c>
      <c r="T87" s="23">
        <v>154</v>
      </c>
      <c r="V87" s="37">
        <f t="shared" si="7"/>
        <v>7709</v>
      </c>
      <c r="W87" s="28">
        <f t="shared" si="8"/>
        <v>9</v>
      </c>
      <c r="X87" s="45">
        <f t="shared" si="9"/>
        <v>-41</v>
      </c>
      <c r="Y87" s="199">
        <f t="shared" si="10"/>
        <v>-71</v>
      </c>
      <c r="Z87" s="38">
        <f t="shared" si="11"/>
        <v>-30</v>
      </c>
      <c r="AA87" s="39">
        <f t="shared" si="12"/>
        <v>-50</v>
      </c>
      <c r="AB87" s="58">
        <f t="shared" si="13"/>
        <v>-80</v>
      </c>
    </row>
    <row r="88" spans="1:28" s="1" customFormat="1" hidden="1" x14ac:dyDescent="0.2">
      <c r="A88" s="11" t="s">
        <v>5</v>
      </c>
      <c r="B88" s="12" t="s">
        <v>21</v>
      </c>
      <c r="C88" s="12" t="s">
        <v>202</v>
      </c>
      <c r="D88" s="12" t="s">
        <v>62</v>
      </c>
      <c r="E88" s="12">
        <v>6298216</v>
      </c>
      <c r="F88" s="13">
        <v>7780</v>
      </c>
      <c r="G88" s="14">
        <v>45503</v>
      </c>
      <c r="H88" s="15" t="s">
        <v>7</v>
      </c>
      <c r="I88" s="16" t="s">
        <v>32</v>
      </c>
      <c r="J88" s="16">
        <v>6298991</v>
      </c>
      <c r="K88" s="17">
        <v>7720</v>
      </c>
      <c r="L88" s="18">
        <v>45503</v>
      </c>
      <c r="M88" s="19" t="s">
        <v>35</v>
      </c>
      <c r="N88" s="20" t="s">
        <v>74</v>
      </c>
      <c r="O88" s="20">
        <v>15</v>
      </c>
      <c r="P88" s="20"/>
      <c r="Q88" s="21">
        <v>45503</v>
      </c>
      <c r="R88" s="20">
        <v>55</v>
      </c>
      <c r="S88" s="22">
        <v>7655</v>
      </c>
      <c r="T88" s="23">
        <v>160</v>
      </c>
      <c r="V88" s="37">
        <f t="shared" si="7"/>
        <v>7715</v>
      </c>
      <c r="W88" s="46">
        <f t="shared" si="8"/>
        <v>60</v>
      </c>
      <c r="X88" s="27">
        <f t="shared" si="9"/>
        <v>-5</v>
      </c>
      <c r="Y88" s="199">
        <f t="shared" si="10"/>
        <v>-65</v>
      </c>
      <c r="Z88" s="38">
        <f t="shared" si="11"/>
        <v>-60</v>
      </c>
      <c r="AA88" s="39">
        <f t="shared" si="12"/>
        <v>-65</v>
      </c>
      <c r="AB88" s="58">
        <f t="shared" si="13"/>
        <v>-125</v>
      </c>
    </row>
    <row r="89" spans="1:28" s="1" customFormat="1" hidden="1" x14ac:dyDescent="0.2">
      <c r="A89" s="11" t="s">
        <v>5</v>
      </c>
      <c r="B89" s="12" t="s">
        <v>21</v>
      </c>
      <c r="C89" s="12" t="s">
        <v>210</v>
      </c>
      <c r="D89" s="12" t="s">
        <v>15</v>
      </c>
      <c r="E89" s="12">
        <v>6297845</v>
      </c>
      <c r="F89" s="13">
        <v>7780</v>
      </c>
      <c r="G89" s="14">
        <v>45503</v>
      </c>
      <c r="H89" s="15" t="s">
        <v>7</v>
      </c>
      <c r="I89" s="16" t="s">
        <v>66</v>
      </c>
      <c r="J89" s="16">
        <v>6299910</v>
      </c>
      <c r="K89" s="17">
        <v>7670</v>
      </c>
      <c r="L89" s="18">
        <v>45504</v>
      </c>
      <c r="M89" s="19" t="s">
        <v>39</v>
      </c>
      <c r="N89" s="20" t="s">
        <v>25</v>
      </c>
      <c r="O89" s="20">
        <v>15</v>
      </c>
      <c r="P89" s="20"/>
      <c r="Q89" s="21">
        <v>45504</v>
      </c>
      <c r="R89" s="20">
        <v>500</v>
      </c>
      <c r="S89" s="22">
        <v>7680</v>
      </c>
      <c r="T89" s="23">
        <v>235</v>
      </c>
      <c r="V89" s="37">
        <f t="shared" si="7"/>
        <v>7735</v>
      </c>
      <c r="W89" s="46">
        <f t="shared" si="8"/>
        <v>55</v>
      </c>
      <c r="X89" s="26">
        <f t="shared" si="9"/>
        <v>65</v>
      </c>
      <c r="Y89" s="25">
        <f t="shared" si="10"/>
        <v>-45</v>
      </c>
      <c r="Z89" s="38">
        <f t="shared" si="11"/>
        <v>-110</v>
      </c>
      <c r="AA89" s="39">
        <f t="shared" si="12"/>
        <v>10</v>
      </c>
      <c r="AB89" s="58">
        <f t="shared" si="13"/>
        <v>-100</v>
      </c>
    </row>
    <row r="90" spans="1:28" s="1" customFormat="1" hidden="1" x14ac:dyDescent="0.2">
      <c r="A90" s="11" t="s">
        <v>5</v>
      </c>
      <c r="B90" s="12" t="s">
        <v>21</v>
      </c>
      <c r="C90" s="12" t="s">
        <v>211</v>
      </c>
      <c r="D90" s="12" t="s">
        <v>62</v>
      </c>
      <c r="E90" s="12">
        <v>6298520</v>
      </c>
      <c r="F90" s="13">
        <v>7840</v>
      </c>
      <c r="G90" s="14">
        <v>45503</v>
      </c>
      <c r="H90" s="15" t="s">
        <v>7</v>
      </c>
      <c r="I90" s="16" t="s">
        <v>32</v>
      </c>
      <c r="J90" s="16">
        <v>6299264</v>
      </c>
      <c r="K90" s="17">
        <v>7750</v>
      </c>
      <c r="L90" s="18">
        <v>45503</v>
      </c>
      <c r="M90" s="19" t="s">
        <v>39</v>
      </c>
      <c r="N90" s="20" t="s">
        <v>18</v>
      </c>
      <c r="O90" s="20">
        <v>15</v>
      </c>
      <c r="P90" s="20"/>
      <c r="Q90" s="21">
        <v>45503</v>
      </c>
      <c r="R90" s="20">
        <v>500</v>
      </c>
      <c r="S90" s="22">
        <v>7781</v>
      </c>
      <c r="T90" s="23">
        <v>304</v>
      </c>
      <c r="V90" s="37">
        <f t="shared" si="7"/>
        <v>7804</v>
      </c>
      <c r="W90" s="28">
        <f t="shared" si="8"/>
        <v>23</v>
      </c>
      <c r="X90" s="26">
        <f t="shared" si="9"/>
        <v>54</v>
      </c>
      <c r="Y90" s="200">
        <f t="shared" si="10"/>
        <v>-36</v>
      </c>
      <c r="Z90" s="38">
        <f t="shared" si="11"/>
        <v>-90</v>
      </c>
      <c r="AA90" s="39">
        <f t="shared" si="12"/>
        <v>31</v>
      </c>
      <c r="AB90" s="58">
        <f t="shared" si="13"/>
        <v>-59</v>
      </c>
    </row>
    <row r="91" spans="1:28" s="1" customFormat="1" hidden="1" x14ac:dyDescent="0.2">
      <c r="A91" s="11" t="s">
        <v>5</v>
      </c>
      <c r="B91" s="12" t="s">
        <v>21</v>
      </c>
      <c r="C91" s="12" t="s">
        <v>212</v>
      </c>
      <c r="D91" s="12" t="s">
        <v>30</v>
      </c>
      <c r="E91" s="12">
        <v>6298893</v>
      </c>
      <c r="F91" s="13">
        <v>7850</v>
      </c>
      <c r="G91" s="14">
        <v>45503</v>
      </c>
      <c r="H91" s="15" t="s">
        <v>7</v>
      </c>
      <c r="I91" s="16" t="s">
        <v>66</v>
      </c>
      <c r="J91" s="16">
        <v>6299168</v>
      </c>
      <c r="K91" s="17">
        <v>7750</v>
      </c>
      <c r="L91" s="18">
        <v>45504</v>
      </c>
      <c r="M91" s="19" t="s">
        <v>39</v>
      </c>
      <c r="N91" s="20" t="s">
        <v>51</v>
      </c>
      <c r="O91" s="20">
        <v>15</v>
      </c>
      <c r="P91" s="20"/>
      <c r="Q91" s="21">
        <v>45504</v>
      </c>
      <c r="R91" s="20">
        <v>500</v>
      </c>
      <c r="S91" s="22">
        <v>7768</v>
      </c>
      <c r="T91" s="23">
        <v>306</v>
      </c>
      <c r="V91" s="37">
        <f t="shared" si="7"/>
        <v>7806</v>
      </c>
      <c r="W91" s="28">
        <f t="shared" si="8"/>
        <v>38</v>
      </c>
      <c r="X91" s="26">
        <f t="shared" si="9"/>
        <v>56</v>
      </c>
      <c r="Y91" s="200">
        <f t="shared" si="10"/>
        <v>-44</v>
      </c>
      <c r="Z91" s="38">
        <f t="shared" si="11"/>
        <v>-100</v>
      </c>
      <c r="AA91" s="39">
        <f t="shared" si="12"/>
        <v>18</v>
      </c>
      <c r="AB91" s="58">
        <f t="shared" si="13"/>
        <v>-82</v>
      </c>
    </row>
    <row r="92" spans="1:28" s="1" customFormat="1" hidden="1" x14ac:dyDescent="0.2">
      <c r="A92" s="11" t="s">
        <v>5</v>
      </c>
      <c r="B92" s="12" t="s">
        <v>21</v>
      </c>
      <c r="C92" s="12" t="s">
        <v>213</v>
      </c>
      <c r="D92" s="12" t="s">
        <v>30</v>
      </c>
      <c r="E92" s="12">
        <v>6298704</v>
      </c>
      <c r="F92" s="13">
        <v>7780</v>
      </c>
      <c r="G92" s="14">
        <v>45503</v>
      </c>
      <c r="H92" s="15" t="s">
        <v>7</v>
      </c>
      <c r="I92" s="16" t="s">
        <v>32</v>
      </c>
      <c r="J92" s="16">
        <v>6299082</v>
      </c>
      <c r="K92" s="17">
        <v>7720</v>
      </c>
      <c r="L92" s="18">
        <v>45503</v>
      </c>
      <c r="M92" s="19" t="s">
        <v>39</v>
      </c>
      <c r="N92" s="20" t="s">
        <v>18</v>
      </c>
      <c r="O92" s="20">
        <v>15</v>
      </c>
      <c r="P92" s="20"/>
      <c r="Q92" s="21">
        <v>45503</v>
      </c>
      <c r="R92" s="20">
        <v>55</v>
      </c>
      <c r="S92" s="22">
        <v>7735</v>
      </c>
      <c r="T92" s="23">
        <v>120</v>
      </c>
      <c r="V92" s="37">
        <f t="shared" si="7"/>
        <v>7675</v>
      </c>
      <c r="W92" s="46">
        <f t="shared" si="8"/>
        <v>-60</v>
      </c>
      <c r="X92" s="27">
        <f t="shared" si="9"/>
        <v>-45</v>
      </c>
      <c r="Y92" s="199">
        <f t="shared" si="10"/>
        <v>-105</v>
      </c>
      <c r="Z92" s="38">
        <f t="shared" si="11"/>
        <v>-60</v>
      </c>
      <c r="AA92" s="39">
        <f t="shared" si="12"/>
        <v>15</v>
      </c>
      <c r="AB92" s="58">
        <f t="shared" si="13"/>
        <v>-45</v>
      </c>
    </row>
    <row r="93" spans="1:28" s="1" customFormat="1" hidden="1" x14ac:dyDescent="0.2">
      <c r="A93" s="11" t="s">
        <v>5</v>
      </c>
      <c r="B93" s="12" t="s">
        <v>21</v>
      </c>
      <c r="C93" s="12" t="s">
        <v>214</v>
      </c>
      <c r="D93" s="12" t="s">
        <v>62</v>
      </c>
      <c r="E93" s="12">
        <v>6298199</v>
      </c>
      <c r="F93" s="13">
        <v>7780</v>
      </c>
      <c r="G93" s="14">
        <v>45503</v>
      </c>
      <c r="H93" s="15" t="s">
        <v>7</v>
      </c>
      <c r="I93" s="16" t="s">
        <v>63</v>
      </c>
      <c r="J93" s="16">
        <v>6298858</v>
      </c>
      <c r="K93" s="17">
        <v>7772</v>
      </c>
      <c r="L93" s="18">
        <v>45503</v>
      </c>
      <c r="M93" s="19" t="s">
        <v>39</v>
      </c>
      <c r="N93" s="20" t="s">
        <v>18</v>
      </c>
      <c r="O93" s="20">
        <v>15</v>
      </c>
      <c r="P93" s="20"/>
      <c r="Q93" s="21">
        <v>45503</v>
      </c>
      <c r="R93" s="20">
        <v>55</v>
      </c>
      <c r="S93" s="22">
        <v>7783</v>
      </c>
      <c r="T93" s="23">
        <v>228</v>
      </c>
      <c r="V93" s="37">
        <f t="shared" si="7"/>
        <v>7783</v>
      </c>
      <c r="W93" s="28">
        <f t="shared" si="8"/>
        <v>0</v>
      </c>
      <c r="X93" s="26">
        <f t="shared" si="9"/>
        <v>11</v>
      </c>
      <c r="Y93" s="200">
        <f t="shared" si="10"/>
        <v>3</v>
      </c>
      <c r="Z93" s="38">
        <f t="shared" si="11"/>
        <v>-8</v>
      </c>
      <c r="AA93" s="39">
        <f t="shared" si="12"/>
        <v>11</v>
      </c>
      <c r="AB93" s="58">
        <f t="shared" si="13"/>
        <v>3</v>
      </c>
    </row>
    <row r="94" spans="1:28" s="1" customFormat="1" hidden="1" x14ac:dyDescent="0.2">
      <c r="A94" s="11" t="s">
        <v>5</v>
      </c>
      <c r="B94" s="12" t="s">
        <v>21</v>
      </c>
      <c r="C94" s="12" t="s">
        <v>215</v>
      </c>
      <c r="D94" s="12" t="s">
        <v>15</v>
      </c>
      <c r="E94" s="12">
        <v>6303251</v>
      </c>
      <c r="F94" s="13">
        <v>7720</v>
      </c>
      <c r="G94" s="14">
        <v>45506</v>
      </c>
      <c r="H94" s="15" t="s">
        <v>7</v>
      </c>
      <c r="I94" s="16" t="s">
        <v>63</v>
      </c>
      <c r="J94" s="16">
        <v>6304050</v>
      </c>
      <c r="K94" s="17">
        <v>7620</v>
      </c>
      <c r="L94" s="18">
        <v>45506</v>
      </c>
      <c r="M94" s="19" t="s">
        <v>39</v>
      </c>
      <c r="N94" s="20" t="s">
        <v>18</v>
      </c>
      <c r="O94" s="20">
        <v>15</v>
      </c>
      <c r="P94" s="20"/>
      <c r="Q94" s="21">
        <v>45506</v>
      </c>
      <c r="R94" s="20">
        <v>55</v>
      </c>
      <c r="S94" s="22">
        <v>7633</v>
      </c>
      <c r="T94" s="23">
        <v>100</v>
      </c>
      <c r="V94" s="37">
        <f t="shared" si="7"/>
        <v>7655</v>
      </c>
      <c r="W94" s="28">
        <f t="shared" si="8"/>
        <v>22</v>
      </c>
      <c r="X94" s="45">
        <f t="shared" si="9"/>
        <v>35</v>
      </c>
      <c r="Y94" s="199">
        <f t="shared" si="10"/>
        <v>-65</v>
      </c>
      <c r="Z94" s="38">
        <f t="shared" si="11"/>
        <v>-100</v>
      </c>
      <c r="AA94" s="39">
        <f t="shared" si="12"/>
        <v>13</v>
      </c>
      <c r="AB94" s="58">
        <f t="shared" si="13"/>
        <v>-87</v>
      </c>
    </row>
    <row r="95" spans="1:28" s="1" customFormat="1" hidden="1" x14ac:dyDescent="0.2">
      <c r="A95" s="11" t="s">
        <v>5</v>
      </c>
      <c r="B95" s="12" t="s">
        <v>21</v>
      </c>
      <c r="C95" s="12" t="s">
        <v>216</v>
      </c>
      <c r="D95" s="12" t="s">
        <v>62</v>
      </c>
      <c r="E95" s="12">
        <v>6305205</v>
      </c>
      <c r="F95" s="13">
        <v>7720</v>
      </c>
      <c r="G95" s="14">
        <v>45507</v>
      </c>
      <c r="H95" s="15" t="s">
        <v>7</v>
      </c>
      <c r="I95" s="16" t="s">
        <v>63</v>
      </c>
      <c r="J95" s="16">
        <v>6305306</v>
      </c>
      <c r="K95" s="17">
        <v>7637</v>
      </c>
      <c r="L95" s="18">
        <v>45507</v>
      </c>
      <c r="M95" s="19" t="s">
        <v>35</v>
      </c>
      <c r="N95" s="20" t="s">
        <v>74</v>
      </c>
      <c r="O95" s="20">
        <v>15</v>
      </c>
      <c r="P95" s="20"/>
      <c r="Q95" s="21">
        <v>45507</v>
      </c>
      <c r="R95" s="20">
        <v>55</v>
      </c>
      <c r="S95" s="22">
        <v>7555</v>
      </c>
      <c r="T95" s="23">
        <v>70</v>
      </c>
      <c r="V95" s="37">
        <f t="shared" si="7"/>
        <v>7625</v>
      </c>
      <c r="W95" s="46">
        <f t="shared" si="8"/>
        <v>70</v>
      </c>
      <c r="X95" s="27">
        <f t="shared" si="9"/>
        <v>-12</v>
      </c>
      <c r="Y95" s="199">
        <f t="shared" si="10"/>
        <v>-95</v>
      </c>
      <c r="Z95" s="38">
        <f t="shared" si="11"/>
        <v>-83</v>
      </c>
      <c r="AA95" s="39">
        <f t="shared" si="12"/>
        <v>-82</v>
      </c>
      <c r="AB95" s="58">
        <f t="shared" si="13"/>
        <v>-165</v>
      </c>
    </row>
    <row r="96" spans="1:28" s="1" customFormat="1" hidden="1" x14ac:dyDescent="0.2">
      <c r="A96" s="11" t="s">
        <v>5</v>
      </c>
      <c r="B96" s="12" t="s">
        <v>21</v>
      </c>
      <c r="C96" s="12" t="s">
        <v>228</v>
      </c>
      <c r="D96" s="12" t="s">
        <v>67</v>
      </c>
      <c r="E96" s="12">
        <v>6304927</v>
      </c>
      <c r="F96" s="13">
        <v>7720</v>
      </c>
      <c r="G96" s="14">
        <v>45507</v>
      </c>
      <c r="H96" s="15" t="s">
        <v>7</v>
      </c>
      <c r="I96" s="16" t="s">
        <v>8</v>
      </c>
      <c r="J96" s="16">
        <v>6305088</v>
      </c>
      <c r="K96" s="17">
        <v>7790</v>
      </c>
      <c r="L96" s="18">
        <v>45507</v>
      </c>
      <c r="M96" s="19" t="s">
        <v>39</v>
      </c>
      <c r="N96" s="20" t="s">
        <v>115</v>
      </c>
      <c r="O96" s="20">
        <v>15</v>
      </c>
      <c r="P96" s="20"/>
      <c r="Q96" s="21">
        <v>45507</v>
      </c>
      <c r="R96" s="20">
        <v>55</v>
      </c>
      <c r="S96" s="22">
        <v>7794</v>
      </c>
      <c r="T96" s="23">
        <v>250</v>
      </c>
      <c r="V96" s="37">
        <f t="shared" si="7"/>
        <v>7805</v>
      </c>
      <c r="W96" s="28">
        <f t="shared" si="8"/>
        <v>11</v>
      </c>
      <c r="X96" s="45">
        <f t="shared" si="9"/>
        <v>15</v>
      </c>
      <c r="Y96" s="199">
        <f t="shared" si="10"/>
        <v>85</v>
      </c>
      <c r="Z96" s="38">
        <f t="shared" si="11"/>
        <v>70</v>
      </c>
      <c r="AA96" s="39">
        <f t="shared" si="12"/>
        <v>4</v>
      </c>
      <c r="AB96" s="58">
        <f t="shared" si="13"/>
        <v>74</v>
      </c>
    </row>
    <row r="97" spans="1:28" s="1" customFormat="1" hidden="1" x14ac:dyDescent="0.2">
      <c r="A97" s="11" t="s">
        <v>5</v>
      </c>
      <c r="B97" s="12" t="s">
        <v>21</v>
      </c>
      <c r="C97" s="12" t="s">
        <v>217</v>
      </c>
      <c r="D97" s="12" t="s">
        <v>218</v>
      </c>
      <c r="E97" s="12">
        <v>6304721</v>
      </c>
      <c r="F97" s="13">
        <v>7860</v>
      </c>
      <c r="G97" s="14">
        <v>45506</v>
      </c>
      <c r="H97" s="15" t="s">
        <v>7</v>
      </c>
      <c r="I97" s="16" t="s">
        <v>8</v>
      </c>
      <c r="J97" s="16">
        <v>6305050</v>
      </c>
      <c r="K97" s="17">
        <v>7755</v>
      </c>
      <c r="L97" s="18">
        <v>45507</v>
      </c>
      <c r="M97" s="19" t="s">
        <v>35</v>
      </c>
      <c r="N97" s="20" t="s">
        <v>115</v>
      </c>
      <c r="O97" s="20">
        <v>15</v>
      </c>
      <c r="P97" s="20"/>
      <c r="Q97" s="21">
        <v>45507</v>
      </c>
      <c r="R97" s="20">
        <v>500</v>
      </c>
      <c r="S97" s="22">
        <v>7773</v>
      </c>
      <c r="T97" s="23">
        <v>257</v>
      </c>
      <c r="V97" s="37">
        <f t="shared" si="7"/>
        <v>7757</v>
      </c>
      <c r="W97" s="46">
        <f t="shared" si="8"/>
        <v>-16</v>
      </c>
      <c r="X97" s="27">
        <f t="shared" si="9"/>
        <v>2</v>
      </c>
      <c r="Y97" s="199">
        <f t="shared" si="10"/>
        <v>-103</v>
      </c>
      <c r="Z97" s="38">
        <f t="shared" si="11"/>
        <v>-105</v>
      </c>
      <c r="AA97" s="39">
        <f t="shared" si="12"/>
        <v>18</v>
      </c>
      <c r="AB97" s="58">
        <f t="shared" si="13"/>
        <v>-87</v>
      </c>
    </row>
    <row r="98" spans="1:28" s="1" customFormat="1" hidden="1" x14ac:dyDescent="0.2">
      <c r="A98" s="11" t="s">
        <v>5</v>
      </c>
      <c r="B98" s="12" t="s">
        <v>21</v>
      </c>
      <c r="C98" s="12" t="s">
        <v>219</v>
      </c>
      <c r="D98" s="12" t="s">
        <v>218</v>
      </c>
      <c r="E98" s="12">
        <v>6304592</v>
      </c>
      <c r="F98" s="13">
        <v>7720</v>
      </c>
      <c r="G98" s="14">
        <v>45506</v>
      </c>
      <c r="H98" s="15" t="s">
        <v>7</v>
      </c>
      <c r="I98" s="16" t="s">
        <v>8</v>
      </c>
      <c r="J98" s="16">
        <v>6304856</v>
      </c>
      <c r="K98" s="17">
        <v>7630</v>
      </c>
      <c r="L98" s="18">
        <v>45507</v>
      </c>
      <c r="M98" s="19" t="s">
        <v>35</v>
      </c>
      <c r="N98" s="20" t="s">
        <v>74</v>
      </c>
      <c r="O98" s="20">
        <v>15</v>
      </c>
      <c r="P98" s="20"/>
      <c r="Q98" s="21">
        <v>45507</v>
      </c>
      <c r="R98" s="20">
        <v>55</v>
      </c>
      <c r="S98" s="22">
        <v>7555</v>
      </c>
      <c r="T98" s="23">
        <v>50</v>
      </c>
      <c r="V98" s="37">
        <f t="shared" si="7"/>
        <v>7605</v>
      </c>
      <c r="W98" s="46">
        <f t="shared" si="8"/>
        <v>50</v>
      </c>
      <c r="X98" s="27">
        <f t="shared" si="9"/>
        <v>-25</v>
      </c>
      <c r="Y98" s="199">
        <f t="shared" si="10"/>
        <v>-115</v>
      </c>
      <c r="Z98" s="38">
        <f t="shared" si="11"/>
        <v>-90</v>
      </c>
      <c r="AA98" s="39">
        <f t="shared" si="12"/>
        <v>-75</v>
      </c>
      <c r="AB98" s="58">
        <f t="shared" si="13"/>
        <v>-165</v>
      </c>
    </row>
    <row r="99" spans="1:28" s="1" customFormat="1" x14ac:dyDescent="0.2">
      <c r="A99" s="11" t="s">
        <v>5</v>
      </c>
      <c r="B99" s="12" t="s">
        <v>24</v>
      </c>
      <c r="C99" s="12" t="s">
        <v>220</v>
      </c>
      <c r="D99" s="12" t="s">
        <v>62</v>
      </c>
      <c r="E99" s="12">
        <v>6305413</v>
      </c>
      <c r="F99" s="13">
        <v>7780</v>
      </c>
      <c r="G99" s="14">
        <v>45507</v>
      </c>
      <c r="H99" s="15" t="s">
        <v>7</v>
      </c>
      <c r="I99" s="16" t="s">
        <v>32</v>
      </c>
      <c r="J99" s="16">
        <v>6305685</v>
      </c>
      <c r="K99" s="17">
        <v>7790</v>
      </c>
      <c r="L99" s="18">
        <v>45507</v>
      </c>
      <c r="M99" s="19" t="s">
        <v>35</v>
      </c>
      <c r="N99" s="20" t="s">
        <v>36</v>
      </c>
      <c r="O99" s="20">
        <v>15</v>
      </c>
      <c r="P99" s="20"/>
      <c r="Q99" s="21">
        <v>45509</v>
      </c>
      <c r="R99" s="20">
        <v>55</v>
      </c>
      <c r="S99" s="22">
        <v>7816</v>
      </c>
      <c r="T99" s="23">
        <v>252</v>
      </c>
      <c r="V99" s="37">
        <f t="shared" si="7"/>
        <v>7807</v>
      </c>
      <c r="W99" s="28">
        <f t="shared" si="8"/>
        <v>-9</v>
      </c>
      <c r="X99" s="45">
        <f t="shared" si="9"/>
        <v>17</v>
      </c>
      <c r="Y99" s="199">
        <f t="shared" si="10"/>
        <v>27</v>
      </c>
      <c r="Z99" s="38">
        <f t="shared" si="11"/>
        <v>10</v>
      </c>
      <c r="AA99" s="39">
        <f t="shared" si="12"/>
        <v>26</v>
      </c>
      <c r="AB99" s="58">
        <f t="shared" si="13"/>
        <v>36</v>
      </c>
    </row>
    <row r="100" spans="1:28" s="1" customFormat="1" x14ac:dyDescent="0.2">
      <c r="A100" s="11" t="s">
        <v>5</v>
      </c>
      <c r="B100" s="12" t="s">
        <v>20</v>
      </c>
      <c r="C100" s="12" t="s">
        <v>221</v>
      </c>
      <c r="D100" s="12" t="s">
        <v>62</v>
      </c>
      <c r="E100" s="12">
        <v>6305424</v>
      </c>
      <c r="F100" s="13">
        <v>7860</v>
      </c>
      <c r="G100" s="14">
        <v>45507</v>
      </c>
      <c r="H100" s="15" t="s">
        <v>7</v>
      </c>
      <c r="I100" s="16" t="s">
        <v>32</v>
      </c>
      <c r="J100" s="16">
        <v>6305603</v>
      </c>
      <c r="K100" s="17">
        <v>7755</v>
      </c>
      <c r="L100" s="18">
        <v>45507</v>
      </c>
      <c r="M100" s="19" t="s">
        <v>39</v>
      </c>
      <c r="N100" s="20" t="s">
        <v>18</v>
      </c>
      <c r="O100" s="20">
        <v>15</v>
      </c>
      <c r="P100" s="20"/>
      <c r="Q100" s="21">
        <v>45507</v>
      </c>
      <c r="R100" s="20">
        <v>55</v>
      </c>
      <c r="S100" s="22">
        <v>7765</v>
      </c>
      <c r="T100" s="23">
        <v>215</v>
      </c>
      <c r="V100" s="37">
        <f t="shared" si="7"/>
        <v>7770</v>
      </c>
      <c r="W100" s="28">
        <f t="shared" si="8"/>
        <v>5</v>
      </c>
      <c r="X100" s="45">
        <f t="shared" si="9"/>
        <v>15</v>
      </c>
      <c r="Y100" s="199">
        <f t="shared" si="10"/>
        <v>-90</v>
      </c>
      <c r="Z100" s="38">
        <f t="shared" si="11"/>
        <v>-105</v>
      </c>
      <c r="AA100" s="39">
        <f t="shared" si="12"/>
        <v>10</v>
      </c>
      <c r="AB100" s="58">
        <f t="shared" si="13"/>
        <v>-95</v>
      </c>
    </row>
    <row r="101" spans="1:28" s="1" customFormat="1" hidden="1" x14ac:dyDescent="0.2">
      <c r="A101" s="11" t="s">
        <v>5</v>
      </c>
      <c r="B101" s="12" t="s">
        <v>21</v>
      </c>
      <c r="C101" s="12" t="s">
        <v>222</v>
      </c>
      <c r="D101" s="12" t="s">
        <v>218</v>
      </c>
      <c r="E101" s="12">
        <v>6304444</v>
      </c>
      <c r="F101" s="13">
        <v>7720</v>
      </c>
      <c r="G101" s="14">
        <v>45506</v>
      </c>
      <c r="H101" s="15" t="s">
        <v>7</v>
      </c>
      <c r="I101" s="16" t="s">
        <v>32</v>
      </c>
      <c r="J101" s="16">
        <v>6304605</v>
      </c>
      <c r="K101" s="17">
        <v>7620</v>
      </c>
      <c r="L101" s="18">
        <v>45506</v>
      </c>
      <c r="M101" s="19" t="s">
        <v>44</v>
      </c>
      <c r="N101" s="20" t="s">
        <v>223</v>
      </c>
      <c r="O101" s="20"/>
      <c r="P101" s="20">
        <v>24</v>
      </c>
      <c r="Q101" s="21">
        <v>45506</v>
      </c>
      <c r="R101" s="20">
        <v>110</v>
      </c>
      <c r="S101" s="22">
        <v>7600</v>
      </c>
      <c r="T101" s="23">
        <v>200</v>
      </c>
      <c r="V101" s="37">
        <f t="shared" si="7"/>
        <v>7630</v>
      </c>
      <c r="W101" s="46">
        <f t="shared" si="8"/>
        <v>30</v>
      </c>
      <c r="X101" s="27">
        <f t="shared" si="9"/>
        <v>10</v>
      </c>
      <c r="Y101" s="199">
        <f t="shared" si="10"/>
        <v>-90</v>
      </c>
      <c r="Z101" s="38">
        <f t="shared" si="11"/>
        <v>-100</v>
      </c>
      <c r="AA101" s="39">
        <f t="shared" si="12"/>
        <v>-20</v>
      </c>
      <c r="AB101" s="58">
        <f t="shared" si="13"/>
        <v>-120</v>
      </c>
    </row>
    <row r="102" spans="1:28" s="1" customFormat="1" hidden="1" x14ac:dyDescent="0.2">
      <c r="A102" s="11" t="s">
        <v>5</v>
      </c>
      <c r="B102" s="12" t="s">
        <v>21</v>
      </c>
      <c r="C102" s="12" t="s">
        <v>224</v>
      </c>
      <c r="D102" s="12" t="s">
        <v>62</v>
      </c>
      <c r="E102" s="12">
        <v>6303787</v>
      </c>
      <c r="F102" s="13">
        <v>7720</v>
      </c>
      <c r="G102" s="14">
        <v>45506</v>
      </c>
      <c r="H102" s="15" t="s">
        <v>7</v>
      </c>
      <c r="I102" s="16" t="s">
        <v>32</v>
      </c>
      <c r="J102" s="16">
        <v>6304410</v>
      </c>
      <c r="K102" s="17">
        <v>7620</v>
      </c>
      <c r="L102" s="18">
        <v>45506</v>
      </c>
      <c r="M102" s="19" t="s">
        <v>44</v>
      </c>
      <c r="N102" s="20" t="s">
        <v>18</v>
      </c>
      <c r="O102" s="20"/>
      <c r="P102" s="20">
        <v>24</v>
      </c>
      <c r="Q102" s="21">
        <v>45506</v>
      </c>
      <c r="R102" s="20">
        <v>110</v>
      </c>
      <c r="S102" s="22">
        <v>7625</v>
      </c>
      <c r="T102" s="23">
        <v>200</v>
      </c>
      <c r="V102" s="37">
        <f t="shared" si="7"/>
        <v>7630</v>
      </c>
      <c r="W102" s="28">
        <f t="shared" si="8"/>
        <v>5</v>
      </c>
      <c r="X102" s="45">
        <f t="shared" si="9"/>
        <v>10</v>
      </c>
      <c r="Y102" s="199">
        <f t="shared" si="10"/>
        <v>-90</v>
      </c>
      <c r="Z102" s="38">
        <f t="shared" si="11"/>
        <v>-100</v>
      </c>
      <c r="AA102" s="39">
        <f t="shared" si="12"/>
        <v>5</v>
      </c>
      <c r="AB102" s="58">
        <f t="shared" si="13"/>
        <v>-95</v>
      </c>
    </row>
    <row r="103" spans="1:28" s="1" customFormat="1" hidden="1" x14ac:dyDescent="0.2">
      <c r="A103" s="11" t="s">
        <v>5</v>
      </c>
      <c r="B103" s="12" t="s">
        <v>21</v>
      </c>
      <c r="C103" s="12" t="s">
        <v>227</v>
      </c>
      <c r="D103" s="12" t="s">
        <v>15</v>
      </c>
      <c r="E103" s="12">
        <v>6303555</v>
      </c>
      <c r="F103" s="13">
        <v>7720</v>
      </c>
      <c r="G103" s="14">
        <v>45506</v>
      </c>
      <c r="H103" s="15" t="s">
        <v>7</v>
      </c>
      <c r="I103" s="16" t="s">
        <v>63</v>
      </c>
      <c r="J103" s="16">
        <v>6304220</v>
      </c>
      <c r="K103" s="17">
        <v>7840</v>
      </c>
      <c r="L103" s="18">
        <v>45506</v>
      </c>
      <c r="M103" s="19" t="s">
        <v>39</v>
      </c>
      <c r="N103" s="20" t="s">
        <v>18</v>
      </c>
      <c r="O103" s="20">
        <v>15</v>
      </c>
      <c r="P103" s="20"/>
      <c r="Q103" s="21">
        <v>45507</v>
      </c>
      <c r="R103" s="20">
        <v>55</v>
      </c>
      <c r="S103" s="22">
        <v>7855</v>
      </c>
      <c r="T103" s="23">
        <v>290</v>
      </c>
      <c r="V103" s="37">
        <f t="shared" si="7"/>
        <v>7845</v>
      </c>
      <c r="W103" s="46">
        <f t="shared" si="8"/>
        <v>-10</v>
      </c>
      <c r="X103" s="27">
        <f t="shared" si="9"/>
        <v>5</v>
      </c>
      <c r="Y103" s="199">
        <f t="shared" si="10"/>
        <v>125</v>
      </c>
      <c r="Z103" s="38">
        <f t="shared" si="11"/>
        <v>120</v>
      </c>
      <c r="AA103" s="39">
        <f t="shared" si="12"/>
        <v>15</v>
      </c>
      <c r="AB103" s="58">
        <f t="shared" si="13"/>
        <v>135</v>
      </c>
    </row>
    <row r="104" spans="1:28" s="1" customFormat="1" x14ac:dyDescent="0.2">
      <c r="A104" s="11" t="s">
        <v>5</v>
      </c>
      <c r="B104" s="12" t="s">
        <v>20</v>
      </c>
      <c r="C104" s="12" t="s">
        <v>229</v>
      </c>
      <c r="D104" s="12" t="s">
        <v>62</v>
      </c>
      <c r="E104" s="12">
        <v>6306281</v>
      </c>
      <c r="F104" s="13">
        <v>7860</v>
      </c>
      <c r="G104" s="14">
        <v>45509</v>
      </c>
      <c r="H104" s="15" t="s">
        <v>7</v>
      </c>
      <c r="I104" s="16" t="s">
        <v>27</v>
      </c>
      <c r="J104" s="16">
        <v>6306487</v>
      </c>
      <c r="K104" s="17">
        <v>7760</v>
      </c>
      <c r="L104" s="18">
        <v>45509</v>
      </c>
      <c r="M104" s="19" t="s">
        <v>39</v>
      </c>
      <c r="N104" s="20" t="s">
        <v>18</v>
      </c>
      <c r="O104" s="20">
        <v>15</v>
      </c>
      <c r="P104" s="20"/>
      <c r="Q104" s="21">
        <v>45509</v>
      </c>
      <c r="R104" s="20">
        <v>55</v>
      </c>
      <c r="S104" s="22">
        <v>7770</v>
      </c>
      <c r="T104" s="23">
        <v>220</v>
      </c>
      <c r="V104" s="37">
        <f t="shared" si="7"/>
        <v>7775</v>
      </c>
      <c r="W104" s="28">
        <f t="shared" si="8"/>
        <v>5</v>
      </c>
      <c r="X104" s="45">
        <f t="shared" si="9"/>
        <v>15</v>
      </c>
      <c r="Y104" s="199">
        <f t="shared" si="10"/>
        <v>-85</v>
      </c>
      <c r="Z104" s="38">
        <f t="shared" si="11"/>
        <v>-100</v>
      </c>
      <c r="AA104" s="39">
        <f t="shared" si="12"/>
        <v>10</v>
      </c>
      <c r="AB104" s="58">
        <f t="shared" si="13"/>
        <v>-90</v>
      </c>
    </row>
    <row r="105" spans="1:28" s="1" customFormat="1" hidden="1" x14ac:dyDescent="0.2">
      <c r="A105" s="11" t="s">
        <v>5</v>
      </c>
      <c r="B105" s="12" t="s">
        <v>21</v>
      </c>
      <c r="C105" s="12" t="s">
        <v>230</v>
      </c>
      <c r="D105" s="12" t="s">
        <v>231</v>
      </c>
      <c r="E105" s="12">
        <v>6305812</v>
      </c>
      <c r="F105" s="13">
        <v>7720</v>
      </c>
      <c r="G105" s="14">
        <v>45507</v>
      </c>
      <c r="H105" s="15" t="s">
        <v>7</v>
      </c>
      <c r="I105" s="16" t="s">
        <v>16</v>
      </c>
      <c r="J105" s="16">
        <v>6306570</v>
      </c>
      <c r="K105" s="17">
        <v>7620</v>
      </c>
      <c r="L105" s="18">
        <v>45509</v>
      </c>
      <c r="M105" s="19" t="s">
        <v>35</v>
      </c>
      <c r="N105" s="20" t="s">
        <v>74</v>
      </c>
      <c r="O105" s="20">
        <v>15</v>
      </c>
      <c r="P105" s="20"/>
      <c r="Q105" s="21">
        <v>45509</v>
      </c>
      <c r="R105" s="20">
        <v>55</v>
      </c>
      <c r="S105" s="22">
        <v>7555</v>
      </c>
      <c r="T105" s="23">
        <v>60</v>
      </c>
      <c r="V105" s="37">
        <f t="shared" si="7"/>
        <v>7615</v>
      </c>
      <c r="W105" s="46">
        <f t="shared" si="8"/>
        <v>60</v>
      </c>
      <c r="X105" s="27">
        <f t="shared" si="9"/>
        <v>-5</v>
      </c>
      <c r="Y105" s="199">
        <f t="shared" si="10"/>
        <v>-105</v>
      </c>
      <c r="Z105" s="38">
        <f t="shared" si="11"/>
        <v>-100</v>
      </c>
      <c r="AA105" s="39">
        <f t="shared" si="12"/>
        <v>-65</v>
      </c>
      <c r="AB105" s="58">
        <f t="shared" si="13"/>
        <v>-165</v>
      </c>
    </row>
    <row r="106" spans="1:28" s="1" customFormat="1" hidden="1" x14ac:dyDescent="0.2">
      <c r="A106" s="11" t="s">
        <v>5</v>
      </c>
      <c r="B106" s="12" t="s">
        <v>21</v>
      </c>
      <c r="C106" s="12" t="s">
        <v>232</v>
      </c>
      <c r="D106" s="12" t="s">
        <v>231</v>
      </c>
      <c r="E106" s="12">
        <v>6304672</v>
      </c>
      <c r="F106" s="13">
        <v>7720</v>
      </c>
      <c r="G106" s="14">
        <v>45507</v>
      </c>
      <c r="H106" s="15" t="s">
        <v>7</v>
      </c>
      <c r="I106" s="16" t="s">
        <v>32</v>
      </c>
      <c r="J106" s="16">
        <v>6305810</v>
      </c>
      <c r="K106" s="17">
        <v>7630</v>
      </c>
      <c r="L106" s="18">
        <v>45507</v>
      </c>
      <c r="M106" s="19" t="s">
        <v>35</v>
      </c>
      <c r="N106" s="20" t="s">
        <v>74</v>
      </c>
      <c r="O106" s="20">
        <v>15</v>
      </c>
      <c r="P106" s="20"/>
      <c r="Q106" s="21">
        <v>45509</v>
      </c>
      <c r="R106" s="20">
        <v>55</v>
      </c>
      <c r="S106" s="22">
        <v>7555</v>
      </c>
      <c r="T106" s="23">
        <v>70</v>
      </c>
      <c r="V106" s="37">
        <f t="shared" si="7"/>
        <v>7625</v>
      </c>
      <c r="W106" s="46">
        <f t="shared" si="8"/>
        <v>70</v>
      </c>
      <c r="X106" s="27">
        <f t="shared" si="9"/>
        <v>-5</v>
      </c>
      <c r="Y106" s="199">
        <f t="shared" si="10"/>
        <v>-95</v>
      </c>
      <c r="Z106" s="38">
        <f t="shared" si="11"/>
        <v>-90</v>
      </c>
      <c r="AA106" s="39">
        <f t="shared" si="12"/>
        <v>-75</v>
      </c>
      <c r="AB106" s="58">
        <f t="shared" si="13"/>
        <v>-165</v>
      </c>
    </row>
    <row r="107" spans="1:28" s="1" customFormat="1" hidden="1" x14ac:dyDescent="0.2">
      <c r="A107" s="11" t="s">
        <v>5</v>
      </c>
      <c r="B107" s="12" t="s">
        <v>21</v>
      </c>
      <c r="C107" s="197" t="s">
        <v>233</v>
      </c>
      <c r="D107" s="12" t="s">
        <v>15</v>
      </c>
      <c r="E107" s="12">
        <v>6303634</v>
      </c>
      <c r="F107" s="13">
        <v>7900</v>
      </c>
      <c r="G107" s="197">
        <v>45506</v>
      </c>
      <c r="H107" s="15" t="s">
        <v>7</v>
      </c>
      <c r="I107" s="16" t="s">
        <v>16</v>
      </c>
      <c r="J107" s="16">
        <v>6306733</v>
      </c>
      <c r="K107" s="17">
        <v>7810</v>
      </c>
      <c r="L107" s="18">
        <v>45509</v>
      </c>
      <c r="M107" s="19" t="s">
        <v>39</v>
      </c>
      <c r="N107" s="20" t="s">
        <v>18</v>
      </c>
      <c r="O107" s="20">
        <v>15</v>
      </c>
      <c r="P107" s="20"/>
      <c r="Q107" s="21">
        <v>45509</v>
      </c>
      <c r="R107" s="20">
        <v>500</v>
      </c>
      <c r="S107" s="22">
        <v>7805</v>
      </c>
      <c r="T107" s="23">
        <v>300</v>
      </c>
      <c r="V107" s="37">
        <f t="shared" si="7"/>
        <v>7800</v>
      </c>
      <c r="W107" s="28">
        <f t="shared" si="8"/>
        <v>-5</v>
      </c>
      <c r="X107" s="45">
        <f t="shared" si="9"/>
        <v>-10</v>
      </c>
      <c r="Y107" s="199">
        <f t="shared" si="10"/>
        <v>-100</v>
      </c>
      <c r="Z107" s="38">
        <f t="shared" si="11"/>
        <v>-90</v>
      </c>
      <c r="AA107" s="39">
        <f t="shared" si="12"/>
        <v>-5</v>
      </c>
      <c r="AB107" s="58">
        <f t="shared" si="13"/>
        <v>-95</v>
      </c>
    </row>
    <row r="108" spans="1:28" s="1" customFormat="1" hidden="1" x14ac:dyDescent="0.2">
      <c r="A108" s="11" t="s">
        <v>5</v>
      </c>
      <c r="B108" s="12" t="s">
        <v>21</v>
      </c>
      <c r="C108" s="12" t="s">
        <v>234</v>
      </c>
      <c r="D108" s="12" t="s">
        <v>127</v>
      </c>
      <c r="E108" s="12">
        <v>6302654</v>
      </c>
      <c r="F108" s="13">
        <v>7720</v>
      </c>
      <c r="G108" s="14">
        <v>45505</v>
      </c>
      <c r="H108" s="15" t="s">
        <v>7</v>
      </c>
      <c r="I108" s="16" t="s">
        <v>63</v>
      </c>
      <c r="J108" s="16">
        <v>6303986</v>
      </c>
      <c r="K108" s="17">
        <v>7626</v>
      </c>
      <c r="L108" s="18">
        <v>45506</v>
      </c>
      <c r="M108" s="19" t="s">
        <v>39</v>
      </c>
      <c r="N108" s="20" t="s">
        <v>115</v>
      </c>
      <c r="O108" s="20">
        <v>15</v>
      </c>
      <c r="P108" s="20"/>
      <c r="Q108" s="21">
        <v>45506</v>
      </c>
      <c r="R108" s="20">
        <v>55</v>
      </c>
      <c r="S108" s="22">
        <v>7624</v>
      </c>
      <c r="T108" s="23">
        <v>70</v>
      </c>
      <c r="V108" s="37">
        <f t="shared" si="7"/>
        <v>7625</v>
      </c>
      <c r="W108" s="28">
        <f t="shared" si="8"/>
        <v>1</v>
      </c>
      <c r="X108" s="45">
        <f t="shared" si="9"/>
        <v>-1</v>
      </c>
      <c r="Y108" s="199">
        <f t="shared" si="10"/>
        <v>-95</v>
      </c>
      <c r="Z108" s="38">
        <f t="shared" si="11"/>
        <v>-94</v>
      </c>
      <c r="AA108" s="39">
        <f t="shared" si="12"/>
        <v>-2</v>
      </c>
      <c r="AB108" s="58">
        <f t="shared" si="13"/>
        <v>-96</v>
      </c>
    </row>
    <row r="109" spans="1:28" s="1" customFormat="1" hidden="1" x14ac:dyDescent="0.2">
      <c r="A109" s="11" t="s">
        <v>5</v>
      </c>
      <c r="B109" s="12" t="s">
        <v>21</v>
      </c>
      <c r="C109" s="12" t="s">
        <v>235</v>
      </c>
      <c r="D109" s="12" t="s">
        <v>62</v>
      </c>
      <c r="E109" s="12">
        <v>6306286</v>
      </c>
      <c r="F109" s="13">
        <v>7720</v>
      </c>
      <c r="G109" s="14">
        <v>45509</v>
      </c>
      <c r="H109" s="15" t="s">
        <v>7</v>
      </c>
      <c r="I109" s="16" t="s">
        <v>27</v>
      </c>
      <c r="J109" s="16">
        <v>6306404</v>
      </c>
      <c r="K109" s="17">
        <v>7620</v>
      </c>
      <c r="L109" s="18">
        <v>45509</v>
      </c>
      <c r="M109" s="19" t="s">
        <v>35</v>
      </c>
      <c r="N109" s="20" t="s">
        <v>74</v>
      </c>
      <c r="O109" s="20">
        <v>15</v>
      </c>
      <c r="P109" s="20"/>
      <c r="Q109" s="21">
        <v>45509</v>
      </c>
      <c r="R109" s="20">
        <v>55</v>
      </c>
      <c r="S109" s="22">
        <v>7555</v>
      </c>
      <c r="T109" s="23">
        <v>70</v>
      </c>
      <c r="V109" s="37">
        <f t="shared" si="7"/>
        <v>7625</v>
      </c>
      <c r="W109" s="46">
        <f t="shared" si="8"/>
        <v>70</v>
      </c>
      <c r="X109" s="27">
        <f t="shared" si="9"/>
        <v>5</v>
      </c>
      <c r="Y109" s="199">
        <f t="shared" si="10"/>
        <v>-95</v>
      </c>
      <c r="Z109" s="38">
        <f t="shared" si="11"/>
        <v>-100</v>
      </c>
      <c r="AA109" s="39">
        <f t="shared" si="12"/>
        <v>-65</v>
      </c>
      <c r="AB109" s="58">
        <f t="shared" si="13"/>
        <v>-165</v>
      </c>
    </row>
    <row r="110" spans="1:28" s="1" customFormat="1" hidden="1" x14ac:dyDescent="0.2">
      <c r="A110" s="11" t="s">
        <v>5</v>
      </c>
      <c r="B110" s="12" t="s">
        <v>21</v>
      </c>
      <c r="C110" s="12" t="s">
        <v>235</v>
      </c>
      <c r="D110" s="12" t="s">
        <v>62</v>
      </c>
      <c r="E110" s="12">
        <v>6306286</v>
      </c>
      <c r="F110" s="13">
        <v>7930</v>
      </c>
      <c r="G110" s="14">
        <v>45507</v>
      </c>
      <c r="H110" s="15" t="s">
        <v>163</v>
      </c>
      <c r="I110" s="16" t="s">
        <v>63</v>
      </c>
      <c r="J110" s="16">
        <v>6306485</v>
      </c>
      <c r="K110" s="17">
        <v>7835</v>
      </c>
      <c r="L110" s="18">
        <v>45509</v>
      </c>
      <c r="M110" s="19" t="s">
        <v>39</v>
      </c>
      <c r="N110" s="20" t="s">
        <v>115</v>
      </c>
      <c r="O110" s="20"/>
      <c r="P110" s="20">
        <v>25</v>
      </c>
      <c r="Q110" s="21">
        <v>45509</v>
      </c>
      <c r="R110" s="20">
        <v>110</v>
      </c>
      <c r="S110" s="22">
        <v>7742</v>
      </c>
      <c r="T110" s="23">
        <v>130</v>
      </c>
      <c r="V110" s="37">
        <f t="shared" si="7"/>
        <v>7865</v>
      </c>
      <c r="W110" s="24">
        <f t="shared" si="8"/>
        <v>123</v>
      </c>
      <c r="X110" s="27">
        <f t="shared" si="9"/>
        <v>30</v>
      </c>
      <c r="Y110" s="200">
        <f t="shared" si="10"/>
        <v>-65</v>
      </c>
      <c r="Z110" s="38">
        <f t="shared" si="11"/>
        <v>-95</v>
      </c>
      <c r="AA110" s="39">
        <f t="shared" si="12"/>
        <v>-93</v>
      </c>
      <c r="AB110" s="58">
        <f t="shared" si="13"/>
        <v>-188</v>
      </c>
    </row>
    <row r="111" spans="1:28" s="1" customFormat="1" x14ac:dyDescent="0.2">
      <c r="A111" s="11" t="s">
        <v>5</v>
      </c>
      <c r="B111" s="12" t="s">
        <v>20</v>
      </c>
      <c r="C111" s="12" t="s">
        <v>236</v>
      </c>
      <c r="D111" s="12" t="s">
        <v>231</v>
      </c>
      <c r="E111" s="12">
        <v>6306848</v>
      </c>
      <c r="F111" s="13">
        <v>7585</v>
      </c>
      <c r="G111" s="14">
        <v>45509</v>
      </c>
      <c r="H111" s="15" t="s">
        <v>7</v>
      </c>
      <c r="I111" s="16" t="s">
        <v>16</v>
      </c>
      <c r="J111" s="16">
        <v>6307003</v>
      </c>
      <c r="K111" s="17">
        <v>7590</v>
      </c>
      <c r="L111" s="18">
        <v>45509</v>
      </c>
      <c r="M111" s="19" t="s">
        <v>39</v>
      </c>
      <c r="N111" s="20" t="s">
        <v>51</v>
      </c>
      <c r="O111" s="20">
        <v>15</v>
      </c>
      <c r="P111" s="20"/>
      <c r="Q111" s="21">
        <v>45509</v>
      </c>
      <c r="R111" s="20">
        <v>55</v>
      </c>
      <c r="S111" s="22">
        <v>7610</v>
      </c>
      <c r="T111" s="23">
        <v>60</v>
      </c>
      <c r="V111" s="37">
        <f t="shared" si="7"/>
        <v>7615</v>
      </c>
      <c r="W111" s="28">
        <f t="shared" si="8"/>
        <v>5</v>
      </c>
      <c r="X111" s="45">
        <f t="shared" si="9"/>
        <v>25</v>
      </c>
      <c r="Y111" s="199">
        <f t="shared" si="10"/>
        <v>30</v>
      </c>
      <c r="Z111" s="38">
        <f t="shared" si="11"/>
        <v>5</v>
      </c>
      <c r="AA111" s="39">
        <f t="shared" si="12"/>
        <v>20</v>
      </c>
      <c r="AB111" s="58">
        <f t="shared" si="13"/>
        <v>25</v>
      </c>
    </row>
    <row r="112" spans="1:28" s="1" customFormat="1" x14ac:dyDescent="0.2">
      <c r="A112" s="11" t="s">
        <v>5</v>
      </c>
      <c r="B112" s="12" t="s">
        <v>20</v>
      </c>
      <c r="C112" s="12" t="s">
        <v>237</v>
      </c>
      <c r="D112" s="12" t="s">
        <v>231</v>
      </c>
      <c r="E112" s="12">
        <v>6306899</v>
      </c>
      <c r="F112" s="13">
        <v>7700</v>
      </c>
      <c r="G112" s="14">
        <v>45509</v>
      </c>
      <c r="H112" s="15" t="s">
        <v>7</v>
      </c>
      <c r="I112" s="16" t="s">
        <v>101</v>
      </c>
      <c r="J112" s="16">
        <v>6307234</v>
      </c>
      <c r="K112" s="17">
        <v>7700</v>
      </c>
      <c r="L112" s="18">
        <v>45509</v>
      </c>
      <c r="M112" s="19" t="s">
        <v>39</v>
      </c>
      <c r="N112" s="20" t="s">
        <v>238</v>
      </c>
      <c r="O112" s="20">
        <v>15</v>
      </c>
      <c r="P112" s="20"/>
      <c r="Q112" s="21">
        <v>45509</v>
      </c>
      <c r="R112" s="20">
        <v>500</v>
      </c>
      <c r="S112" s="22">
        <v>7716</v>
      </c>
      <c r="T112" s="23">
        <v>216</v>
      </c>
      <c r="V112" s="37">
        <f t="shared" si="7"/>
        <v>7716</v>
      </c>
      <c r="W112" s="28">
        <f t="shared" si="8"/>
        <v>0</v>
      </c>
      <c r="X112" s="26">
        <f t="shared" si="9"/>
        <v>16</v>
      </c>
      <c r="Y112" s="200">
        <f t="shared" si="10"/>
        <v>16</v>
      </c>
      <c r="Z112" s="38">
        <f t="shared" si="11"/>
        <v>0</v>
      </c>
      <c r="AA112" s="39">
        <f t="shared" si="12"/>
        <v>16</v>
      </c>
      <c r="AB112" s="58">
        <f t="shared" si="13"/>
        <v>16</v>
      </c>
    </row>
    <row r="113" spans="1:29" s="1" customFormat="1" x14ac:dyDescent="0.2">
      <c r="A113" s="11" t="s">
        <v>5</v>
      </c>
      <c r="B113" s="12" t="s">
        <v>20</v>
      </c>
      <c r="C113" s="12" t="s">
        <v>239</v>
      </c>
      <c r="D113" s="12" t="s">
        <v>218</v>
      </c>
      <c r="E113" s="12">
        <v>6308470</v>
      </c>
      <c r="F113" s="13">
        <v>7660</v>
      </c>
      <c r="G113" s="14">
        <v>45510</v>
      </c>
      <c r="H113" s="15" t="s">
        <v>7</v>
      </c>
      <c r="I113" s="16" t="s">
        <v>16</v>
      </c>
      <c r="J113" s="16">
        <v>6308681</v>
      </c>
      <c r="K113" s="17">
        <v>7680</v>
      </c>
      <c r="L113" s="18">
        <v>45510</v>
      </c>
      <c r="M113" s="19" t="s">
        <v>39</v>
      </c>
      <c r="N113" s="20" t="s">
        <v>51</v>
      </c>
      <c r="O113" s="20">
        <v>15</v>
      </c>
      <c r="P113" s="20"/>
      <c r="Q113" s="21">
        <v>45510</v>
      </c>
      <c r="R113" s="20">
        <v>500</v>
      </c>
      <c r="S113" s="22">
        <v>7680</v>
      </c>
      <c r="T113" s="23">
        <v>180</v>
      </c>
      <c r="V113" s="37">
        <f t="shared" si="7"/>
        <v>7680</v>
      </c>
      <c r="W113" s="28">
        <f t="shared" si="8"/>
        <v>0</v>
      </c>
      <c r="X113" s="45">
        <f t="shared" si="9"/>
        <v>0</v>
      </c>
      <c r="Y113" s="199">
        <f t="shared" si="10"/>
        <v>20</v>
      </c>
      <c r="Z113" s="38">
        <f t="shared" si="11"/>
        <v>20</v>
      </c>
      <c r="AA113" s="39">
        <f t="shared" si="12"/>
        <v>0</v>
      </c>
      <c r="AB113" s="58">
        <f t="shared" si="13"/>
        <v>20</v>
      </c>
    </row>
    <row r="114" spans="1:29" s="1" customFormat="1" x14ac:dyDescent="0.2">
      <c r="A114" s="11" t="s">
        <v>5</v>
      </c>
      <c r="B114" s="12" t="s">
        <v>20</v>
      </c>
      <c r="C114" s="12" t="s">
        <v>241</v>
      </c>
      <c r="D114" s="12" t="s">
        <v>62</v>
      </c>
      <c r="E114" s="12">
        <v>6306337</v>
      </c>
      <c r="F114" s="13">
        <v>7740</v>
      </c>
      <c r="G114" s="14">
        <v>45509</v>
      </c>
      <c r="H114" s="15" t="s">
        <v>48</v>
      </c>
      <c r="I114" s="16" t="s">
        <v>63</v>
      </c>
      <c r="J114" s="16">
        <v>6309424</v>
      </c>
      <c r="K114" s="17">
        <v>7660</v>
      </c>
      <c r="L114" s="18">
        <v>45511</v>
      </c>
      <c r="M114" s="19" t="s">
        <v>44</v>
      </c>
      <c r="N114" s="20" t="s">
        <v>115</v>
      </c>
      <c r="O114" s="20"/>
      <c r="P114" s="20">
        <v>24</v>
      </c>
      <c r="Q114" s="21">
        <v>45511</v>
      </c>
      <c r="R114" s="20">
        <v>110</v>
      </c>
      <c r="S114" s="22">
        <v>7610</v>
      </c>
      <c r="T114" s="23">
        <v>360</v>
      </c>
      <c r="V114" s="37">
        <f t="shared" si="7"/>
        <v>7680</v>
      </c>
      <c r="W114" s="24">
        <f t="shared" si="8"/>
        <v>70</v>
      </c>
      <c r="X114" s="27">
        <f t="shared" si="9"/>
        <v>20</v>
      </c>
      <c r="Y114" s="47">
        <f t="shared" si="10"/>
        <v>-60</v>
      </c>
      <c r="Z114" s="38">
        <f t="shared" si="11"/>
        <v>-80</v>
      </c>
      <c r="AA114" s="39">
        <f t="shared" si="12"/>
        <v>-50</v>
      </c>
      <c r="AB114" s="39">
        <f t="shared" si="13"/>
        <v>-130</v>
      </c>
    </row>
    <row r="115" spans="1:29" s="1" customFormat="1" x14ac:dyDescent="0.2">
      <c r="A115" s="11" t="s">
        <v>5</v>
      </c>
      <c r="B115" s="12" t="s">
        <v>24</v>
      </c>
      <c r="C115" s="12" t="s">
        <v>242</v>
      </c>
      <c r="D115" s="12" t="s">
        <v>62</v>
      </c>
      <c r="E115" s="12">
        <v>6310772</v>
      </c>
      <c r="F115" s="13">
        <v>7780</v>
      </c>
      <c r="G115" s="14">
        <v>45512</v>
      </c>
      <c r="H115" s="15" t="s">
        <v>31</v>
      </c>
      <c r="I115" s="16" t="s">
        <v>27</v>
      </c>
      <c r="J115" s="16">
        <v>6311047</v>
      </c>
      <c r="K115" s="17">
        <v>7800</v>
      </c>
      <c r="L115" s="18">
        <v>45512</v>
      </c>
      <c r="M115" s="19" t="s">
        <v>17</v>
      </c>
      <c r="N115" s="20" t="s">
        <v>115</v>
      </c>
      <c r="O115" s="20">
        <v>15</v>
      </c>
      <c r="P115" s="20"/>
      <c r="Q115" s="21">
        <v>45512</v>
      </c>
      <c r="R115" s="20">
        <v>500</v>
      </c>
      <c r="S115" s="22">
        <v>7610</v>
      </c>
      <c r="T115" s="23">
        <v>200</v>
      </c>
      <c r="V115" s="37">
        <f t="shared" si="7"/>
        <v>7700</v>
      </c>
      <c r="W115" s="46">
        <f t="shared" si="8"/>
        <v>90</v>
      </c>
      <c r="X115" s="26">
        <f t="shared" si="9"/>
        <v>-100</v>
      </c>
      <c r="Y115" s="203">
        <f t="shared" si="10"/>
        <v>-80</v>
      </c>
      <c r="Z115" s="38">
        <f t="shared" si="11"/>
        <v>20</v>
      </c>
      <c r="AA115" s="39">
        <f t="shared" si="12"/>
        <v>-190</v>
      </c>
      <c r="AB115" s="39">
        <f t="shared" si="13"/>
        <v>-170</v>
      </c>
    </row>
    <row r="116" spans="1:29" s="1" customFormat="1" x14ac:dyDescent="0.2">
      <c r="A116" s="11"/>
      <c r="B116" s="12" t="s">
        <v>20</v>
      </c>
      <c r="C116" s="12" t="s">
        <v>243</v>
      </c>
      <c r="D116" s="12" t="s">
        <v>218</v>
      </c>
      <c r="E116" s="12">
        <v>6308601</v>
      </c>
      <c r="F116" s="13">
        <v>7780</v>
      </c>
      <c r="G116" s="14">
        <v>45510</v>
      </c>
      <c r="H116" s="15" t="s">
        <v>31</v>
      </c>
      <c r="I116" s="16" t="s">
        <v>43</v>
      </c>
      <c r="J116" s="16">
        <v>6310606</v>
      </c>
      <c r="K116" s="17">
        <v>7780</v>
      </c>
      <c r="L116" s="18">
        <v>45511</v>
      </c>
      <c r="M116" s="19" t="s">
        <v>39</v>
      </c>
      <c r="N116" s="20" t="s">
        <v>18</v>
      </c>
      <c r="O116" s="20">
        <v>15</v>
      </c>
      <c r="P116" s="20"/>
      <c r="Q116" s="21">
        <v>45512</v>
      </c>
      <c r="R116" s="20">
        <v>190</v>
      </c>
      <c r="S116" s="22">
        <v>7698</v>
      </c>
      <c r="T116" s="23">
        <v>190</v>
      </c>
      <c r="V116" s="37">
        <f t="shared" si="7"/>
        <v>7690</v>
      </c>
      <c r="W116" s="28">
        <f t="shared" si="8"/>
        <v>-8</v>
      </c>
      <c r="X116" s="26">
        <f t="shared" si="9"/>
        <v>-90</v>
      </c>
      <c r="Y116" s="47">
        <f t="shared" si="10"/>
        <v>-90</v>
      </c>
      <c r="Z116" s="38">
        <f t="shared" si="11"/>
        <v>0</v>
      </c>
      <c r="AA116" s="39">
        <f t="shared" si="12"/>
        <v>-82</v>
      </c>
      <c r="AB116" s="39">
        <f t="shared" si="13"/>
        <v>-82</v>
      </c>
    </row>
    <row r="117" spans="1:29" s="1" customFormat="1" x14ac:dyDescent="0.2">
      <c r="A117" s="11" t="s">
        <v>5</v>
      </c>
      <c r="B117" s="12" t="s">
        <v>24</v>
      </c>
      <c r="C117" s="12" t="s">
        <v>245</v>
      </c>
      <c r="D117" s="12" t="s">
        <v>15</v>
      </c>
      <c r="E117" s="12">
        <v>6310436</v>
      </c>
      <c r="F117" s="13">
        <v>7790</v>
      </c>
      <c r="G117" s="14">
        <v>45511</v>
      </c>
      <c r="H117" s="15" t="s">
        <v>31</v>
      </c>
      <c r="I117" s="16" t="s">
        <v>27</v>
      </c>
      <c r="J117" s="16">
        <v>6310724</v>
      </c>
      <c r="K117" s="17">
        <v>7820</v>
      </c>
      <c r="L117" s="18">
        <v>45512</v>
      </c>
      <c r="M117" s="19" t="s">
        <v>17</v>
      </c>
      <c r="N117" s="20" t="s">
        <v>238</v>
      </c>
      <c r="O117" s="20">
        <v>15</v>
      </c>
      <c r="P117" s="20"/>
      <c r="Q117" s="21">
        <v>45512</v>
      </c>
      <c r="R117" s="20">
        <v>110</v>
      </c>
      <c r="S117" s="22">
        <v>7831</v>
      </c>
      <c r="T117" s="23">
        <v>220</v>
      </c>
      <c r="V117" s="37">
        <f t="shared" si="7"/>
        <v>7830</v>
      </c>
      <c r="W117" s="28">
        <f t="shared" si="8"/>
        <v>-1</v>
      </c>
      <c r="X117" s="45">
        <f t="shared" si="9"/>
        <v>10</v>
      </c>
      <c r="Y117" s="204">
        <f t="shared" si="10"/>
        <v>40</v>
      </c>
      <c r="Z117" s="38">
        <f t="shared" si="11"/>
        <v>30</v>
      </c>
      <c r="AA117" s="39">
        <f t="shared" si="12"/>
        <v>11</v>
      </c>
      <c r="AB117" s="39">
        <f t="shared" si="13"/>
        <v>41</v>
      </c>
    </row>
    <row r="118" spans="1:29" s="1" customFormat="1" hidden="1" x14ac:dyDescent="0.2">
      <c r="A118" s="11" t="s">
        <v>5</v>
      </c>
      <c r="B118" s="12" t="s">
        <v>21</v>
      </c>
      <c r="C118" s="12" t="s">
        <v>246</v>
      </c>
      <c r="D118" s="12" t="s">
        <v>218</v>
      </c>
      <c r="E118" s="12">
        <v>6309688</v>
      </c>
      <c r="F118" s="13">
        <v>8030</v>
      </c>
      <c r="G118" s="14">
        <v>45511</v>
      </c>
      <c r="H118" s="15" t="s">
        <v>31</v>
      </c>
      <c r="I118" s="16" t="s">
        <v>101</v>
      </c>
      <c r="J118" s="16">
        <v>6310500</v>
      </c>
      <c r="K118" s="17">
        <v>7930</v>
      </c>
      <c r="L118" s="18">
        <v>45511</v>
      </c>
      <c r="M118" s="19" t="s">
        <v>39</v>
      </c>
      <c r="N118" s="20" t="s">
        <v>247</v>
      </c>
      <c r="O118" s="20">
        <v>15</v>
      </c>
      <c r="P118" s="20"/>
      <c r="Q118" s="21">
        <v>45512</v>
      </c>
      <c r="R118" s="20">
        <v>500</v>
      </c>
      <c r="S118" s="22">
        <v>7910</v>
      </c>
      <c r="T118" s="23">
        <v>390</v>
      </c>
      <c r="V118" s="37">
        <f t="shared" si="7"/>
        <v>7890</v>
      </c>
      <c r="W118" s="28">
        <f t="shared" si="8"/>
        <v>-20</v>
      </c>
      <c r="X118" s="45">
        <f t="shared" si="9"/>
        <v>-40</v>
      </c>
      <c r="Y118" s="204">
        <f t="shared" si="10"/>
        <v>-140</v>
      </c>
      <c r="Z118" s="38">
        <f t="shared" si="11"/>
        <v>-100</v>
      </c>
      <c r="AA118" s="39">
        <f t="shared" si="12"/>
        <v>-20</v>
      </c>
      <c r="AB118" s="39">
        <f t="shared" si="13"/>
        <v>-120</v>
      </c>
    </row>
    <row r="119" spans="1:29" s="1" customFormat="1" hidden="1" x14ac:dyDescent="0.2">
      <c r="A119" s="11" t="s">
        <v>5</v>
      </c>
      <c r="B119" s="12" t="s">
        <v>21</v>
      </c>
      <c r="C119" s="12" t="s">
        <v>248</v>
      </c>
      <c r="D119" s="12" t="s">
        <v>62</v>
      </c>
      <c r="E119" s="12">
        <v>6310764</v>
      </c>
      <c r="F119" s="13">
        <v>7660</v>
      </c>
      <c r="G119" s="14">
        <v>45512</v>
      </c>
      <c r="H119" s="15" t="s">
        <v>31</v>
      </c>
      <c r="I119" s="16" t="s">
        <v>27</v>
      </c>
      <c r="J119" s="16">
        <v>6310934</v>
      </c>
      <c r="K119" s="17">
        <v>7560</v>
      </c>
      <c r="L119" s="18">
        <v>45512</v>
      </c>
      <c r="M119" s="19" t="s">
        <v>44</v>
      </c>
      <c r="N119" s="20" t="s">
        <v>115</v>
      </c>
      <c r="O119" s="20">
        <v>14</v>
      </c>
      <c r="P119" s="20"/>
      <c r="Q119" s="21">
        <v>45512</v>
      </c>
      <c r="R119" s="20">
        <v>110</v>
      </c>
      <c r="S119" s="22">
        <v>7560</v>
      </c>
      <c r="T119" s="23">
        <v>450</v>
      </c>
      <c r="V119" s="37">
        <f t="shared" si="7"/>
        <v>7560</v>
      </c>
      <c r="W119" s="28">
        <f t="shared" si="8"/>
        <v>0</v>
      </c>
      <c r="X119" s="45">
        <f t="shared" si="9"/>
        <v>0</v>
      </c>
      <c r="Y119" s="204">
        <f t="shared" si="10"/>
        <v>-100</v>
      </c>
      <c r="Z119" s="38">
        <f t="shared" si="11"/>
        <v>-100</v>
      </c>
      <c r="AA119" s="39">
        <f t="shared" si="12"/>
        <v>0</v>
      </c>
      <c r="AB119" s="39">
        <f t="shared" si="13"/>
        <v>-100</v>
      </c>
    </row>
    <row r="120" spans="1:29" s="1" customFormat="1" x14ac:dyDescent="0.2">
      <c r="A120" s="11" t="s">
        <v>28</v>
      </c>
      <c r="B120" s="12" t="s">
        <v>19</v>
      </c>
      <c r="C120" s="12" t="s">
        <v>250</v>
      </c>
      <c r="D120" s="12" t="s">
        <v>15</v>
      </c>
      <c r="E120" s="12">
        <v>6310571</v>
      </c>
      <c r="F120" s="13">
        <v>8135</v>
      </c>
      <c r="G120" s="14">
        <v>45511</v>
      </c>
      <c r="H120" s="15" t="s">
        <v>7</v>
      </c>
      <c r="I120" s="16" t="s">
        <v>40</v>
      </c>
      <c r="J120" s="16">
        <v>6311070</v>
      </c>
      <c r="K120" s="17">
        <v>8150</v>
      </c>
      <c r="L120" s="18">
        <v>45512</v>
      </c>
      <c r="M120" s="19" t="s">
        <v>35</v>
      </c>
      <c r="N120" s="20" t="s">
        <v>74</v>
      </c>
      <c r="O120" s="20">
        <v>16</v>
      </c>
      <c r="P120" s="20"/>
      <c r="Q120" s="21">
        <v>45512</v>
      </c>
      <c r="R120" s="20">
        <v>110</v>
      </c>
      <c r="S120" s="22">
        <v>8110</v>
      </c>
      <c r="T120" s="23">
        <v>0</v>
      </c>
      <c r="V120" s="37">
        <f t="shared" si="7"/>
        <v>8110</v>
      </c>
      <c r="W120" s="28">
        <f t="shared" si="8"/>
        <v>0</v>
      </c>
      <c r="X120" s="26">
        <f t="shared" si="9"/>
        <v>-40</v>
      </c>
      <c r="Y120" s="47">
        <f t="shared" si="10"/>
        <v>-25</v>
      </c>
      <c r="Z120" s="38">
        <f t="shared" si="11"/>
        <v>15</v>
      </c>
      <c r="AA120" s="39">
        <f t="shared" si="12"/>
        <v>-40</v>
      </c>
      <c r="AB120" s="39">
        <f t="shared" si="13"/>
        <v>-25</v>
      </c>
    </row>
    <row r="121" spans="1:29" s="1" customFormat="1" x14ac:dyDescent="0.2">
      <c r="A121" s="11" t="s">
        <v>28</v>
      </c>
      <c r="B121" s="12" t="s">
        <v>19</v>
      </c>
      <c r="C121" s="12" t="s">
        <v>251</v>
      </c>
      <c r="D121" s="12" t="s">
        <v>218</v>
      </c>
      <c r="E121" s="12">
        <v>6309583</v>
      </c>
      <c r="F121" s="13">
        <v>8140</v>
      </c>
      <c r="G121" s="14">
        <v>45511</v>
      </c>
      <c r="H121" s="15" t="s">
        <v>7</v>
      </c>
      <c r="I121" s="16" t="s">
        <v>63</v>
      </c>
      <c r="J121" s="16">
        <v>6310868</v>
      </c>
      <c r="K121" s="17">
        <v>8158</v>
      </c>
      <c r="L121" s="18">
        <v>45512</v>
      </c>
      <c r="M121" s="19" t="s">
        <v>35</v>
      </c>
      <c r="N121" s="20" t="s">
        <v>74</v>
      </c>
      <c r="O121" s="20">
        <v>16</v>
      </c>
      <c r="P121" s="20"/>
      <c r="Q121" s="21">
        <v>45512</v>
      </c>
      <c r="R121" s="20">
        <v>110</v>
      </c>
      <c r="S121" s="22">
        <v>8110</v>
      </c>
      <c r="T121" s="23">
        <v>40</v>
      </c>
      <c r="V121" s="37">
        <f t="shared" si="7"/>
        <v>8150</v>
      </c>
      <c r="W121" s="24">
        <f t="shared" si="8"/>
        <v>40</v>
      </c>
      <c r="X121" s="27">
        <f t="shared" si="9"/>
        <v>-8</v>
      </c>
      <c r="Y121" s="47">
        <f t="shared" si="10"/>
        <v>10</v>
      </c>
      <c r="Z121" s="38">
        <f t="shared" si="11"/>
        <v>18</v>
      </c>
      <c r="AA121" s="39">
        <f t="shared" si="12"/>
        <v>-48</v>
      </c>
      <c r="AB121" s="39">
        <f t="shared" si="13"/>
        <v>-30</v>
      </c>
      <c r="AC121" s="209"/>
    </row>
    <row r="122" spans="1:29" s="1" customFormat="1" x14ac:dyDescent="0.2">
      <c r="A122" s="11" t="s">
        <v>28</v>
      </c>
      <c r="B122" s="12" t="s">
        <v>24</v>
      </c>
      <c r="C122" s="12" t="s">
        <v>252</v>
      </c>
      <c r="D122" s="12" t="s">
        <v>218</v>
      </c>
      <c r="E122" s="12">
        <v>6309945</v>
      </c>
      <c r="F122" s="13">
        <v>8140</v>
      </c>
      <c r="G122" s="14">
        <v>45511</v>
      </c>
      <c r="H122" s="15" t="s">
        <v>7</v>
      </c>
      <c r="I122" s="16" t="s">
        <v>32</v>
      </c>
      <c r="J122" s="16">
        <v>631160</v>
      </c>
      <c r="K122" s="17">
        <v>8170</v>
      </c>
      <c r="L122" s="18">
        <v>45512</v>
      </c>
      <c r="M122" s="19" t="s">
        <v>35</v>
      </c>
      <c r="N122" s="20" t="s">
        <v>74</v>
      </c>
      <c r="O122" s="20">
        <v>16</v>
      </c>
      <c r="P122" s="20"/>
      <c r="Q122" s="21">
        <v>45512</v>
      </c>
      <c r="R122" s="20">
        <v>110</v>
      </c>
      <c r="S122" s="22">
        <v>8110</v>
      </c>
      <c r="T122" s="23">
        <v>20</v>
      </c>
      <c r="V122" s="37">
        <f t="shared" si="7"/>
        <v>8130</v>
      </c>
      <c r="W122" s="46">
        <f t="shared" si="8"/>
        <v>20</v>
      </c>
      <c r="X122" s="26">
        <f t="shared" si="9"/>
        <v>-40</v>
      </c>
      <c r="Y122" s="203">
        <f t="shared" si="10"/>
        <v>-10</v>
      </c>
      <c r="Z122" s="38">
        <f t="shared" si="11"/>
        <v>30</v>
      </c>
      <c r="AA122" s="39">
        <f t="shared" si="12"/>
        <v>-60</v>
      </c>
      <c r="AB122" s="39">
        <f t="shared" si="13"/>
        <v>-30</v>
      </c>
      <c r="AC122" s="209"/>
    </row>
    <row r="123" spans="1:29" s="1" customFormat="1" x14ac:dyDescent="0.2">
      <c r="A123" s="11" t="s">
        <v>28</v>
      </c>
      <c r="B123" s="12" t="s">
        <v>19</v>
      </c>
      <c r="C123" s="12" t="s">
        <v>253</v>
      </c>
      <c r="D123" s="12" t="s">
        <v>15</v>
      </c>
      <c r="E123" s="12">
        <v>6310421</v>
      </c>
      <c r="F123" s="13">
        <v>8136</v>
      </c>
      <c r="G123" s="14">
        <v>45511</v>
      </c>
      <c r="H123" s="15" t="s">
        <v>7</v>
      </c>
      <c r="I123" s="16" t="s">
        <v>63</v>
      </c>
      <c r="J123" s="16">
        <v>630738</v>
      </c>
      <c r="K123" s="17">
        <v>8153</v>
      </c>
      <c r="L123" s="18">
        <v>45512</v>
      </c>
      <c r="M123" s="19" t="s">
        <v>35</v>
      </c>
      <c r="N123" s="20" t="s">
        <v>36</v>
      </c>
      <c r="O123" s="20">
        <v>16</v>
      </c>
      <c r="P123" s="20"/>
      <c r="Q123" s="21">
        <v>45512</v>
      </c>
      <c r="R123" s="20">
        <v>110</v>
      </c>
      <c r="S123" s="22">
        <v>8136</v>
      </c>
      <c r="T123" s="23">
        <v>28</v>
      </c>
      <c r="V123" s="37">
        <f t="shared" si="7"/>
        <v>8138</v>
      </c>
      <c r="W123" s="28">
        <f t="shared" si="8"/>
        <v>2</v>
      </c>
      <c r="X123" s="26">
        <f t="shared" si="9"/>
        <v>-15</v>
      </c>
      <c r="Y123" s="47">
        <f t="shared" si="10"/>
        <v>2</v>
      </c>
      <c r="Z123" s="38">
        <f t="shared" si="11"/>
        <v>17</v>
      </c>
      <c r="AA123" s="39">
        <f t="shared" si="12"/>
        <v>-17</v>
      </c>
      <c r="AB123" s="39">
        <f t="shared" si="13"/>
        <v>0</v>
      </c>
      <c r="AC123" s="209"/>
    </row>
    <row r="124" spans="1:29" s="1" customFormat="1" x14ac:dyDescent="0.2">
      <c r="A124" s="11" t="s">
        <v>28</v>
      </c>
      <c r="B124" s="12" t="s">
        <v>24</v>
      </c>
      <c r="C124" s="12" t="s">
        <v>254</v>
      </c>
      <c r="D124" s="12" t="s">
        <v>218</v>
      </c>
      <c r="E124" s="12">
        <v>6309679</v>
      </c>
      <c r="F124" s="13">
        <v>8140</v>
      </c>
      <c r="G124" s="14">
        <v>45511</v>
      </c>
      <c r="H124" s="15" t="s">
        <v>7</v>
      </c>
      <c r="I124" s="16" t="s">
        <v>63</v>
      </c>
      <c r="J124" s="16">
        <v>6310801</v>
      </c>
      <c r="K124" s="17">
        <v>8175</v>
      </c>
      <c r="L124" s="18">
        <v>45512</v>
      </c>
      <c r="M124" s="19" t="s">
        <v>35</v>
      </c>
      <c r="N124" s="20" t="s">
        <v>36</v>
      </c>
      <c r="O124" s="20">
        <v>16</v>
      </c>
      <c r="P124" s="20"/>
      <c r="Q124" s="21">
        <v>45512</v>
      </c>
      <c r="R124" s="20">
        <v>110</v>
      </c>
      <c r="S124" s="22">
        <v>8165</v>
      </c>
      <c r="T124" s="23">
        <v>46</v>
      </c>
      <c r="V124" s="37">
        <f t="shared" si="7"/>
        <v>8156</v>
      </c>
      <c r="W124" s="28">
        <f t="shared" si="8"/>
        <v>-9</v>
      </c>
      <c r="X124" s="26">
        <f t="shared" si="9"/>
        <v>-19</v>
      </c>
      <c r="Y124" s="47">
        <f t="shared" si="10"/>
        <v>16</v>
      </c>
      <c r="Z124" s="38">
        <f t="shared" si="11"/>
        <v>35</v>
      </c>
      <c r="AA124" s="39">
        <f t="shared" si="12"/>
        <v>-10</v>
      </c>
      <c r="AB124" s="39">
        <f t="shared" si="13"/>
        <v>25</v>
      </c>
      <c r="AC124" s="209"/>
    </row>
    <row r="125" spans="1:29" s="1" customFormat="1" x14ac:dyDescent="0.2">
      <c r="A125" s="11" t="s">
        <v>28</v>
      </c>
      <c r="B125" s="12" t="s">
        <v>19</v>
      </c>
      <c r="C125" s="12" t="s">
        <v>255</v>
      </c>
      <c r="D125" s="12" t="s">
        <v>218</v>
      </c>
      <c r="E125" s="12">
        <v>6309910</v>
      </c>
      <c r="F125" s="13">
        <v>8140</v>
      </c>
      <c r="G125" s="14">
        <v>45511</v>
      </c>
      <c r="H125" s="15" t="s">
        <v>7</v>
      </c>
      <c r="I125" s="16" t="s">
        <v>8</v>
      </c>
      <c r="J125" s="16">
        <v>6310613</v>
      </c>
      <c r="K125" s="17">
        <v>8150</v>
      </c>
      <c r="L125" s="18">
        <v>45511</v>
      </c>
      <c r="M125" s="19" t="s">
        <v>35</v>
      </c>
      <c r="N125" s="20" t="s">
        <v>36</v>
      </c>
      <c r="O125" s="20">
        <v>16</v>
      </c>
      <c r="P125" s="20"/>
      <c r="Q125" s="21">
        <v>45512</v>
      </c>
      <c r="R125" s="20">
        <v>110</v>
      </c>
      <c r="S125" s="22">
        <v>8150</v>
      </c>
      <c r="T125" s="23">
        <v>40</v>
      </c>
      <c r="V125" s="37">
        <f t="shared" si="7"/>
        <v>8150</v>
      </c>
      <c r="W125" s="28">
        <f t="shared" si="8"/>
        <v>0</v>
      </c>
      <c r="X125" s="45">
        <f t="shared" si="9"/>
        <v>0</v>
      </c>
      <c r="Y125" s="204">
        <f t="shared" si="10"/>
        <v>10</v>
      </c>
      <c r="Z125" s="38">
        <f t="shared" si="11"/>
        <v>10</v>
      </c>
      <c r="AA125" s="39">
        <f t="shared" si="12"/>
        <v>0</v>
      </c>
      <c r="AB125" s="39">
        <f t="shared" si="13"/>
        <v>10</v>
      </c>
      <c r="AC125" s="209"/>
    </row>
    <row r="126" spans="1:29" s="1" customFormat="1" x14ac:dyDescent="0.2">
      <c r="A126" s="11" t="s">
        <v>5</v>
      </c>
      <c r="B126" s="12" t="s">
        <v>20</v>
      </c>
      <c r="C126" s="12" t="s">
        <v>256</v>
      </c>
      <c r="D126" s="12" t="s">
        <v>218</v>
      </c>
      <c r="E126" s="12">
        <v>6309941</v>
      </c>
      <c r="F126" s="13">
        <v>7660</v>
      </c>
      <c r="G126" s="14">
        <v>45511</v>
      </c>
      <c r="H126" s="15" t="s">
        <v>163</v>
      </c>
      <c r="I126" s="16" t="s">
        <v>8</v>
      </c>
      <c r="J126" s="16">
        <v>6310390</v>
      </c>
      <c r="K126" s="17">
        <v>7660</v>
      </c>
      <c r="L126" s="18">
        <v>45511</v>
      </c>
      <c r="M126" s="19" t="s">
        <v>35</v>
      </c>
      <c r="N126" s="20" t="s">
        <v>79</v>
      </c>
      <c r="O126" s="20">
        <v>15</v>
      </c>
      <c r="P126" s="20"/>
      <c r="Q126" s="21">
        <v>45511</v>
      </c>
      <c r="R126" s="20">
        <v>110</v>
      </c>
      <c r="S126" s="22">
        <v>7660</v>
      </c>
      <c r="T126" s="23">
        <v>40</v>
      </c>
      <c r="V126" s="37">
        <f t="shared" si="7"/>
        <v>7650</v>
      </c>
      <c r="W126" s="24">
        <f t="shared" si="8"/>
        <v>-10</v>
      </c>
      <c r="X126" s="45">
        <f t="shared" si="9"/>
        <v>-10</v>
      </c>
      <c r="Y126" s="47">
        <f t="shared" si="10"/>
        <v>-10</v>
      </c>
      <c r="Z126" s="38">
        <f t="shared" si="11"/>
        <v>0</v>
      </c>
      <c r="AA126" s="39">
        <f t="shared" si="12"/>
        <v>0</v>
      </c>
      <c r="AB126" s="39">
        <f t="shared" si="13"/>
        <v>0</v>
      </c>
      <c r="AC126" s="209"/>
    </row>
    <row r="127" spans="1:29" s="1" customFormat="1" x14ac:dyDescent="0.2">
      <c r="A127" s="11" t="s">
        <v>28</v>
      </c>
      <c r="B127" s="12" t="s">
        <v>19</v>
      </c>
      <c r="C127" s="12" t="s">
        <v>258</v>
      </c>
      <c r="D127" s="12" t="s">
        <v>62</v>
      </c>
      <c r="E127" s="12">
        <v>6310766</v>
      </c>
      <c r="F127" s="13">
        <v>8135</v>
      </c>
      <c r="G127" s="14">
        <v>45512</v>
      </c>
      <c r="H127" s="15" t="s">
        <v>7</v>
      </c>
      <c r="I127" s="16" t="s">
        <v>40</v>
      </c>
      <c r="J127" s="16">
        <v>6310949</v>
      </c>
      <c r="K127" s="17">
        <v>8155</v>
      </c>
      <c r="L127" s="18">
        <v>45512</v>
      </c>
      <c r="M127" s="19" t="s">
        <v>35</v>
      </c>
      <c r="N127" s="20" t="s">
        <v>74</v>
      </c>
      <c r="O127" s="20">
        <v>16</v>
      </c>
      <c r="P127" s="20"/>
      <c r="Q127" s="21">
        <v>45512</v>
      </c>
      <c r="R127" s="20">
        <v>110</v>
      </c>
      <c r="S127" s="22">
        <v>8110</v>
      </c>
      <c r="T127" s="23">
        <v>20</v>
      </c>
      <c r="V127" s="37">
        <f t="shared" si="7"/>
        <v>8130</v>
      </c>
      <c r="W127" s="46">
        <f t="shared" si="8"/>
        <v>20</v>
      </c>
      <c r="X127" s="26">
        <f t="shared" si="9"/>
        <v>-25</v>
      </c>
      <c r="Y127" s="203">
        <f t="shared" si="10"/>
        <v>-5</v>
      </c>
      <c r="Z127" s="38">
        <f t="shared" si="11"/>
        <v>20</v>
      </c>
      <c r="AA127" s="39">
        <f t="shared" si="12"/>
        <v>-45</v>
      </c>
      <c r="AB127" s="39">
        <f t="shared" si="13"/>
        <v>-25</v>
      </c>
      <c r="AC127" s="209"/>
    </row>
    <row r="128" spans="1:29" s="1" customFormat="1" x14ac:dyDescent="0.2">
      <c r="A128" s="11" t="s">
        <v>5</v>
      </c>
      <c r="B128" s="12" t="s">
        <v>19</v>
      </c>
      <c r="C128" s="12" t="s">
        <v>259</v>
      </c>
      <c r="D128" s="12" t="s">
        <v>62</v>
      </c>
      <c r="E128" s="12">
        <v>6310945</v>
      </c>
      <c r="F128" s="13">
        <v>7780</v>
      </c>
      <c r="G128" s="14">
        <v>45512</v>
      </c>
      <c r="H128" s="15" t="s">
        <v>31</v>
      </c>
      <c r="I128" s="16" t="s">
        <v>43</v>
      </c>
      <c r="J128" s="16">
        <v>6311314</v>
      </c>
      <c r="K128" s="17">
        <v>7790</v>
      </c>
      <c r="L128" s="18">
        <v>45512</v>
      </c>
      <c r="M128" s="19" t="s">
        <v>39</v>
      </c>
      <c r="N128" s="20" t="s">
        <v>51</v>
      </c>
      <c r="O128" s="20">
        <v>15</v>
      </c>
      <c r="P128" s="20"/>
      <c r="Q128" s="21">
        <v>45512</v>
      </c>
      <c r="R128" s="20">
        <v>110</v>
      </c>
      <c r="S128" s="22">
        <v>7760</v>
      </c>
      <c r="T128" s="23">
        <v>115</v>
      </c>
      <c r="V128" s="37">
        <f t="shared" si="7"/>
        <v>7725</v>
      </c>
      <c r="W128" s="28">
        <f t="shared" si="8"/>
        <v>-35</v>
      </c>
      <c r="X128" s="26">
        <f t="shared" si="9"/>
        <v>-65</v>
      </c>
      <c r="Y128" s="47">
        <f t="shared" si="10"/>
        <v>-55</v>
      </c>
      <c r="Z128" s="38">
        <f t="shared" si="11"/>
        <v>10</v>
      </c>
      <c r="AA128" s="39">
        <f t="shared" si="12"/>
        <v>-30</v>
      </c>
      <c r="AB128" s="39">
        <f t="shared" si="13"/>
        <v>-20</v>
      </c>
      <c r="AC128" s="209"/>
    </row>
    <row r="129" spans="1:29" s="1" customFormat="1" x14ac:dyDescent="0.2">
      <c r="A129" s="11" t="s">
        <v>28</v>
      </c>
      <c r="B129" s="12" t="s">
        <v>19</v>
      </c>
      <c r="C129" s="12" t="s">
        <v>260</v>
      </c>
      <c r="D129" s="12" t="s">
        <v>218</v>
      </c>
      <c r="E129" s="12">
        <v>6311208</v>
      </c>
      <c r="F129" s="13">
        <v>8140</v>
      </c>
      <c r="G129" s="14">
        <v>45512</v>
      </c>
      <c r="H129" s="15" t="s">
        <v>7</v>
      </c>
      <c r="I129" s="16" t="s">
        <v>101</v>
      </c>
      <c r="J129" s="16">
        <v>6312046</v>
      </c>
      <c r="K129" s="17">
        <v>8150</v>
      </c>
      <c r="L129" s="18">
        <v>45512</v>
      </c>
      <c r="M129" s="19" t="s">
        <v>35</v>
      </c>
      <c r="N129" s="20" t="s">
        <v>79</v>
      </c>
      <c r="O129" s="20">
        <v>16</v>
      </c>
      <c r="P129" s="20"/>
      <c r="Q129" s="21">
        <v>45512</v>
      </c>
      <c r="R129" s="20">
        <v>110</v>
      </c>
      <c r="S129" s="22">
        <v>8153</v>
      </c>
      <c r="T129" s="23">
        <v>50</v>
      </c>
      <c r="V129" s="37">
        <f t="shared" si="7"/>
        <v>8160</v>
      </c>
      <c r="W129" s="28">
        <f t="shared" si="8"/>
        <v>7</v>
      </c>
      <c r="X129" s="45">
        <f t="shared" si="9"/>
        <v>10</v>
      </c>
      <c r="Y129" s="204">
        <f t="shared" si="10"/>
        <v>20</v>
      </c>
      <c r="Z129" s="38">
        <f t="shared" si="11"/>
        <v>10</v>
      </c>
      <c r="AA129" s="39">
        <f t="shared" si="12"/>
        <v>3</v>
      </c>
      <c r="AB129" s="39">
        <f t="shared" si="13"/>
        <v>13</v>
      </c>
      <c r="AC129" s="209"/>
    </row>
    <row r="130" spans="1:29" s="1" customFormat="1" hidden="1" x14ac:dyDescent="0.2">
      <c r="A130" s="11" t="s">
        <v>5</v>
      </c>
      <c r="B130" s="12" t="s">
        <v>21</v>
      </c>
      <c r="C130" s="12" t="s">
        <v>262</v>
      </c>
      <c r="D130" s="12" t="s">
        <v>62</v>
      </c>
      <c r="E130" s="12">
        <v>6310941</v>
      </c>
      <c r="F130" s="13">
        <v>7660</v>
      </c>
      <c r="G130" s="14">
        <v>45512</v>
      </c>
      <c r="H130" s="15" t="s">
        <v>31</v>
      </c>
      <c r="I130" s="16" t="s">
        <v>43</v>
      </c>
      <c r="J130" s="16">
        <v>6311470</v>
      </c>
      <c r="K130" s="17">
        <v>7560</v>
      </c>
      <c r="L130" s="18">
        <v>45512</v>
      </c>
      <c r="M130" s="19" t="s">
        <v>17</v>
      </c>
      <c r="N130" s="20" t="s">
        <v>51</v>
      </c>
      <c r="O130" s="20">
        <v>15</v>
      </c>
      <c r="P130" s="20"/>
      <c r="Q130" s="21">
        <v>45512</v>
      </c>
      <c r="R130" s="20">
        <v>500</v>
      </c>
      <c r="S130" s="22">
        <v>7555</v>
      </c>
      <c r="T130" s="23">
        <v>30</v>
      </c>
      <c r="V130" s="37">
        <f t="shared" si="7"/>
        <v>7530</v>
      </c>
      <c r="W130" s="28">
        <f t="shared" si="8"/>
        <v>-25</v>
      </c>
      <c r="X130" s="45">
        <f t="shared" si="9"/>
        <v>-30</v>
      </c>
      <c r="Y130" s="204">
        <f t="shared" si="10"/>
        <v>-130</v>
      </c>
      <c r="Z130" s="38">
        <f t="shared" si="11"/>
        <v>-100</v>
      </c>
      <c r="AA130" s="39">
        <f t="shared" si="12"/>
        <v>-5</v>
      </c>
      <c r="AB130" s="39">
        <f t="shared" si="13"/>
        <v>-105</v>
      </c>
      <c r="AC130" s="209"/>
    </row>
    <row r="131" spans="1:29" s="1" customFormat="1" x14ac:dyDescent="0.2">
      <c r="A131" s="11" t="s">
        <v>28</v>
      </c>
      <c r="B131" s="12" t="s">
        <v>19</v>
      </c>
      <c r="C131" s="12" t="s">
        <v>263</v>
      </c>
      <c r="D131" s="12" t="s">
        <v>15</v>
      </c>
      <c r="E131" s="12">
        <v>6312173</v>
      </c>
      <c r="F131" s="13">
        <v>8135</v>
      </c>
      <c r="G131" s="14">
        <v>45512</v>
      </c>
      <c r="H131" s="15" t="s">
        <v>7</v>
      </c>
      <c r="I131" s="16" t="s">
        <v>101</v>
      </c>
      <c r="J131" s="16">
        <v>6312388</v>
      </c>
      <c r="K131" s="17">
        <v>8145</v>
      </c>
      <c r="L131" s="18">
        <v>45512</v>
      </c>
      <c r="M131" s="19" t="s">
        <v>35</v>
      </c>
      <c r="N131" s="20" t="s">
        <v>36</v>
      </c>
      <c r="O131" s="20">
        <v>16</v>
      </c>
      <c r="P131" s="20"/>
      <c r="Q131" s="21">
        <v>45513</v>
      </c>
      <c r="R131" s="20">
        <v>110</v>
      </c>
      <c r="S131" s="22">
        <v>8157</v>
      </c>
      <c r="T131" s="23">
        <v>37</v>
      </c>
      <c r="V131" s="37">
        <f t="shared" si="7"/>
        <v>8147</v>
      </c>
      <c r="W131" s="46">
        <f t="shared" si="8"/>
        <v>-10</v>
      </c>
      <c r="X131" s="27">
        <f t="shared" si="9"/>
        <v>2</v>
      </c>
      <c r="Y131" s="204">
        <f t="shared" si="10"/>
        <v>12</v>
      </c>
      <c r="Z131" s="38">
        <f t="shared" si="11"/>
        <v>10</v>
      </c>
      <c r="AA131" s="39">
        <f t="shared" si="12"/>
        <v>12</v>
      </c>
      <c r="AB131" s="39">
        <f t="shared" si="13"/>
        <v>22</v>
      </c>
      <c r="AC131" s="209"/>
    </row>
    <row r="132" spans="1:29" s="1" customFormat="1" x14ac:dyDescent="0.2">
      <c r="A132" s="11" t="s">
        <v>28</v>
      </c>
      <c r="B132" s="12" t="s">
        <v>24</v>
      </c>
      <c r="C132" s="12" t="s">
        <v>264</v>
      </c>
      <c r="D132" s="12" t="s">
        <v>218</v>
      </c>
      <c r="E132" s="12">
        <v>6310179</v>
      </c>
      <c r="F132" s="13">
        <v>8115</v>
      </c>
      <c r="G132" s="14">
        <v>45511</v>
      </c>
      <c r="H132" s="15" t="s">
        <v>7</v>
      </c>
      <c r="I132" s="16" t="s">
        <v>101</v>
      </c>
      <c r="J132" s="16"/>
      <c r="K132" s="17">
        <v>8110</v>
      </c>
      <c r="L132" s="18">
        <v>45512</v>
      </c>
      <c r="M132" s="19" t="s">
        <v>35</v>
      </c>
      <c r="N132" s="20" t="s">
        <v>36</v>
      </c>
      <c r="O132" s="20">
        <v>16</v>
      </c>
      <c r="P132" s="20"/>
      <c r="Q132" s="21">
        <v>45513</v>
      </c>
      <c r="R132" s="20">
        <v>500</v>
      </c>
      <c r="S132" s="22">
        <v>8091</v>
      </c>
      <c r="T132" s="23">
        <v>38</v>
      </c>
      <c r="V132" s="37">
        <f t="shared" ref="V132:V155" si="14">IF(RIGHT(C132, 1)="1",
    IF(O132&lt;&gt;"", 500*O132 + T132 + IF(R132&lt;=110, R132, 0), IF(P132&lt;&gt;"", 305*P132 + T132 + IF(R132&lt;=110, R132, 0), "")),
    IF(O132&lt;&gt;"", 500*O132 + T132, IF(P132&lt;&gt;"", 305*P132 + T132, ""))
)</f>
        <v>8038</v>
      </c>
      <c r="W132" s="28">
        <f t="shared" ref="W132:W155" si="15">IF(OR(ISBLANK(V132), ISBLANK(S132), NOT(ISNUMBER(V132)), NOT(ISNUMBER(S132))), "", V132-S132)</f>
        <v>-53</v>
      </c>
      <c r="X132" s="45">
        <f t="shared" ref="X132:X155" si="16">IF(OR(ISBLANK(V132), ISBLANK(K132), NOT(ISNUMBER(V132)), NOT(ISNUMBER(K132))), "", V132-K132)</f>
        <v>-72</v>
      </c>
      <c r="Y132" s="204">
        <f t="shared" ref="Y132:Y155" si="17">IF(OR(ISBLANK(V132), ISBLANK(F132), NOT(ISNUMBER(V132)), NOT(ISNUMBER(F132))), "", V132-F132)</f>
        <v>-77</v>
      </c>
      <c r="Z132" s="38">
        <f t="shared" ref="Z132:Z155" si="18">IF(OR(ISBLANK(F132), ISBLANK(K132)), "",K132-F132)</f>
        <v>-5</v>
      </c>
      <c r="AA132" s="39">
        <f t="shared" ref="AA132:AA155" si="19">IF(OR(ISBLANK(K132), ISBLANK(S132)), "",S132-K132)</f>
        <v>-19</v>
      </c>
      <c r="AB132" s="39">
        <f t="shared" ref="AB132:AB155" si="20">IF(OR(ISBLANK(F132), ISBLANK(S132)), "",S132-F132)</f>
        <v>-24</v>
      </c>
      <c r="AC132" s="209"/>
    </row>
    <row r="133" spans="1:29" s="1" customFormat="1" hidden="1" x14ac:dyDescent="0.2">
      <c r="A133" s="11" t="s">
        <v>28</v>
      </c>
      <c r="B133" s="12" t="s">
        <v>21</v>
      </c>
      <c r="C133" s="12" t="s">
        <v>265</v>
      </c>
      <c r="D133" s="12" t="s">
        <v>218</v>
      </c>
      <c r="E133" s="12">
        <v>6311718</v>
      </c>
      <c r="F133" s="13">
        <v>7660</v>
      </c>
      <c r="G133" s="14">
        <v>45512</v>
      </c>
      <c r="H133" s="15" t="s">
        <v>163</v>
      </c>
      <c r="I133" s="16" t="s">
        <v>8</v>
      </c>
      <c r="J133" s="16">
        <v>6312184</v>
      </c>
      <c r="K133" s="17">
        <v>7540</v>
      </c>
      <c r="L133" s="18">
        <v>45512</v>
      </c>
      <c r="M133" s="19" t="s">
        <v>35</v>
      </c>
      <c r="N133" s="20"/>
      <c r="O133" s="20">
        <v>15</v>
      </c>
      <c r="P133" s="20"/>
      <c r="Q133" s="21">
        <v>45512</v>
      </c>
      <c r="R133" s="20">
        <v>110</v>
      </c>
      <c r="S133" s="22">
        <v>7539</v>
      </c>
      <c r="T133" s="23">
        <v>34</v>
      </c>
      <c r="V133" s="37">
        <f t="shared" si="14"/>
        <v>7534</v>
      </c>
      <c r="W133" s="28">
        <f t="shared" si="15"/>
        <v>-5</v>
      </c>
      <c r="X133" s="45">
        <f t="shared" si="16"/>
        <v>-6</v>
      </c>
      <c r="Y133" s="204">
        <f t="shared" si="17"/>
        <v>-126</v>
      </c>
      <c r="Z133" s="38">
        <f t="shared" si="18"/>
        <v>-120</v>
      </c>
      <c r="AA133" s="39">
        <f t="shared" si="19"/>
        <v>-1</v>
      </c>
      <c r="AB133" s="39">
        <f t="shared" si="20"/>
        <v>-121</v>
      </c>
      <c r="AC133" s="209"/>
    </row>
    <row r="134" spans="1:29" s="1" customFormat="1" x14ac:dyDescent="0.2">
      <c r="A134" s="11" t="s">
        <v>28</v>
      </c>
      <c r="B134" s="12" t="s">
        <v>19</v>
      </c>
      <c r="C134" s="12" t="s">
        <v>266</v>
      </c>
      <c r="D134" s="12" t="s">
        <v>62</v>
      </c>
      <c r="E134" s="12">
        <v>6312690</v>
      </c>
      <c r="F134" s="13">
        <v>8135</v>
      </c>
      <c r="G134" s="14">
        <v>45513</v>
      </c>
      <c r="H134" s="15" t="s">
        <v>7</v>
      </c>
      <c r="I134" s="16" t="s">
        <v>16</v>
      </c>
      <c r="J134" s="16">
        <v>6312908</v>
      </c>
      <c r="K134" s="17">
        <v>8150</v>
      </c>
      <c r="L134" s="18">
        <v>45513</v>
      </c>
      <c r="M134" s="19" t="s">
        <v>35</v>
      </c>
      <c r="N134" s="20" t="s">
        <v>74</v>
      </c>
      <c r="O134" s="20">
        <v>16</v>
      </c>
      <c r="P134" s="20"/>
      <c r="Q134" s="21">
        <v>45513</v>
      </c>
      <c r="R134" s="20">
        <v>110</v>
      </c>
      <c r="S134" s="22">
        <v>8110</v>
      </c>
      <c r="T134" s="23">
        <v>10</v>
      </c>
      <c r="V134" s="37">
        <f t="shared" si="14"/>
        <v>8120</v>
      </c>
      <c r="W134" s="28">
        <f t="shared" si="15"/>
        <v>10</v>
      </c>
      <c r="X134" s="26">
        <f t="shared" si="16"/>
        <v>-30</v>
      </c>
      <c r="Y134" s="47">
        <f t="shared" si="17"/>
        <v>-15</v>
      </c>
      <c r="Z134" s="38">
        <f t="shared" si="18"/>
        <v>15</v>
      </c>
      <c r="AA134" s="39">
        <f t="shared" si="19"/>
        <v>-40</v>
      </c>
      <c r="AB134" s="39">
        <f t="shared" si="20"/>
        <v>-25</v>
      </c>
      <c r="AC134" s="209"/>
    </row>
    <row r="135" spans="1:29" s="1" customFormat="1" x14ac:dyDescent="0.2">
      <c r="A135" s="11" t="s">
        <v>28</v>
      </c>
      <c r="B135" s="12" t="s">
        <v>19</v>
      </c>
      <c r="C135" s="12" t="s">
        <v>267</v>
      </c>
      <c r="D135" s="12" t="s">
        <v>62</v>
      </c>
      <c r="E135" s="12">
        <v>6310870</v>
      </c>
      <c r="F135" s="13">
        <v>7700</v>
      </c>
      <c r="G135" s="14">
        <v>45512</v>
      </c>
      <c r="H135" s="15" t="s">
        <v>7</v>
      </c>
      <c r="I135" s="16" t="s">
        <v>27</v>
      </c>
      <c r="J135" s="16">
        <v>6312771</v>
      </c>
      <c r="K135" s="17">
        <v>7760</v>
      </c>
      <c r="L135" s="18">
        <v>45513</v>
      </c>
      <c r="M135" s="19" t="s">
        <v>35</v>
      </c>
      <c r="N135" s="20" t="s">
        <v>74</v>
      </c>
      <c r="O135" s="20">
        <v>15</v>
      </c>
      <c r="P135" s="20"/>
      <c r="Q135" s="21">
        <v>45513</v>
      </c>
      <c r="R135" s="20">
        <v>500</v>
      </c>
      <c r="S135" s="22">
        <v>7700</v>
      </c>
      <c r="T135" s="23">
        <v>200</v>
      </c>
      <c r="V135" s="37">
        <f t="shared" si="14"/>
        <v>7700</v>
      </c>
      <c r="W135" s="28">
        <f t="shared" si="15"/>
        <v>0</v>
      </c>
      <c r="X135" s="26">
        <f t="shared" si="16"/>
        <v>-60</v>
      </c>
      <c r="Y135" s="47">
        <f t="shared" si="17"/>
        <v>0</v>
      </c>
      <c r="Z135" s="38">
        <f t="shared" si="18"/>
        <v>60</v>
      </c>
      <c r="AA135" s="39">
        <f t="shared" si="19"/>
        <v>-60</v>
      </c>
      <c r="AB135" s="39">
        <f t="shared" si="20"/>
        <v>0</v>
      </c>
      <c r="AC135" s="209"/>
    </row>
    <row r="136" spans="1:29" s="1" customFormat="1" x14ac:dyDescent="0.2">
      <c r="A136" s="11" t="s">
        <v>28</v>
      </c>
      <c r="B136" s="12" t="s">
        <v>19</v>
      </c>
      <c r="C136" s="12" t="s">
        <v>268</v>
      </c>
      <c r="D136" s="12" t="s">
        <v>218</v>
      </c>
      <c r="E136" s="12">
        <v>6313415</v>
      </c>
      <c r="F136" s="13">
        <v>8140</v>
      </c>
      <c r="G136" s="14">
        <v>45513</v>
      </c>
      <c r="H136" s="15" t="s">
        <v>7</v>
      </c>
      <c r="I136" s="16" t="s">
        <v>16</v>
      </c>
      <c r="J136" s="16">
        <v>6313415</v>
      </c>
      <c r="K136" s="17">
        <v>8150</v>
      </c>
      <c r="L136" s="18">
        <v>45513</v>
      </c>
      <c r="M136" s="19" t="s">
        <v>35</v>
      </c>
      <c r="N136" s="20" t="s">
        <v>79</v>
      </c>
      <c r="O136" s="20">
        <v>16</v>
      </c>
      <c r="P136" s="20"/>
      <c r="Q136" s="21">
        <v>45513</v>
      </c>
      <c r="R136" s="20">
        <v>110</v>
      </c>
      <c r="S136" s="22">
        <v>8156</v>
      </c>
      <c r="T136" s="23">
        <v>50</v>
      </c>
      <c r="V136" s="37">
        <f t="shared" si="14"/>
        <v>8160</v>
      </c>
      <c r="W136" s="28">
        <f t="shared" si="15"/>
        <v>4</v>
      </c>
      <c r="X136" s="45">
        <f t="shared" si="16"/>
        <v>10</v>
      </c>
      <c r="Y136" s="204">
        <f t="shared" si="17"/>
        <v>20</v>
      </c>
      <c r="Z136" s="38">
        <f t="shared" si="18"/>
        <v>10</v>
      </c>
      <c r="AA136" s="39">
        <f t="shared" si="19"/>
        <v>6</v>
      </c>
      <c r="AB136" s="39">
        <f t="shared" si="20"/>
        <v>16</v>
      </c>
      <c r="AC136" s="209"/>
    </row>
    <row r="137" spans="1:29" s="1" customFormat="1" x14ac:dyDescent="0.2">
      <c r="A137" s="11" t="s">
        <v>28</v>
      </c>
      <c r="B137" s="12" t="s">
        <v>24</v>
      </c>
      <c r="C137" s="12" t="s">
        <v>269</v>
      </c>
      <c r="D137" s="12" t="s">
        <v>62</v>
      </c>
      <c r="E137" s="12">
        <v>6312504</v>
      </c>
      <c r="F137" s="13">
        <v>8140</v>
      </c>
      <c r="G137" s="14">
        <v>45513</v>
      </c>
      <c r="H137" s="15" t="s">
        <v>7</v>
      </c>
      <c r="I137" s="16" t="s">
        <v>27</v>
      </c>
      <c r="J137" s="16">
        <v>6312697</v>
      </c>
      <c r="K137" s="17">
        <v>8170</v>
      </c>
      <c r="L137" s="18">
        <v>45513</v>
      </c>
      <c r="M137" s="19" t="s">
        <v>39</v>
      </c>
      <c r="N137" s="20" t="s">
        <v>18</v>
      </c>
      <c r="O137" s="20">
        <v>16</v>
      </c>
      <c r="P137" s="20"/>
      <c r="Q137" s="21">
        <v>45513</v>
      </c>
      <c r="R137" s="20">
        <v>110</v>
      </c>
      <c r="S137" s="22">
        <v>8150</v>
      </c>
      <c r="T137" s="23">
        <v>15</v>
      </c>
      <c r="V137" s="37">
        <f t="shared" si="14"/>
        <v>8125</v>
      </c>
      <c r="W137" s="46">
        <f t="shared" si="15"/>
        <v>-25</v>
      </c>
      <c r="X137" s="26">
        <f t="shared" si="16"/>
        <v>-45</v>
      </c>
      <c r="Y137" s="203">
        <f t="shared" si="17"/>
        <v>-15</v>
      </c>
      <c r="Z137" s="38">
        <f t="shared" si="18"/>
        <v>30</v>
      </c>
      <c r="AA137" s="39">
        <f t="shared" si="19"/>
        <v>-20</v>
      </c>
      <c r="AB137" s="39">
        <f t="shared" si="20"/>
        <v>10</v>
      </c>
      <c r="AC137" s="209"/>
    </row>
    <row r="138" spans="1:29" s="1" customFormat="1" x14ac:dyDescent="0.2">
      <c r="A138" s="11" t="s">
        <v>28</v>
      </c>
      <c r="B138" s="12" t="s">
        <v>19</v>
      </c>
      <c r="C138" s="12" t="s">
        <v>270</v>
      </c>
      <c r="D138" s="12" t="s">
        <v>15</v>
      </c>
      <c r="E138" s="12">
        <v>6312174</v>
      </c>
      <c r="F138" s="13">
        <v>8040</v>
      </c>
      <c r="G138" s="14">
        <v>45512</v>
      </c>
      <c r="H138" s="15" t="s">
        <v>7</v>
      </c>
      <c r="I138" s="16" t="s">
        <v>16</v>
      </c>
      <c r="J138" s="16">
        <v>6313062</v>
      </c>
      <c r="K138" s="17">
        <v>8000</v>
      </c>
      <c r="L138" s="18">
        <v>45513</v>
      </c>
      <c r="M138" s="19" t="s">
        <v>35</v>
      </c>
      <c r="N138" s="20" t="s">
        <v>74</v>
      </c>
      <c r="O138" s="20">
        <v>15</v>
      </c>
      <c r="P138" s="20"/>
      <c r="Q138" s="21">
        <v>45513</v>
      </c>
      <c r="R138" s="20">
        <v>500</v>
      </c>
      <c r="S138" s="22">
        <v>8041</v>
      </c>
      <c r="T138" s="23">
        <v>490</v>
      </c>
      <c r="V138" s="37">
        <f t="shared" si="14"/>
        <v>7990</v>
      </c>
      <c r="W138" s="24">
        <f t="shared" si="15"/>
        <v>-51</v>
      </c>
      <c r="X138" s="27">
        <f t="shared" si="16"/>
        <v>-10</v>
      </c>
      <c r="Y138" s="47">
        <f t="shared" si="17"/>
        <v>-50</v>
      </c>
      <c r="Z138" s="38">
        <f t="shared" si="18"/>
        <v>-40</v>
      </c>
      <c r="AA138" s="39">
        <f t="shared" si="19"/>
        <v>41</v>
      </c>
      <c r="AB138" s="39">
        <f t="shared" si="20"/>
        <v>1</v>
      </c>
      <c r="AC138" s="209"/>
    </row>
    <row r="139" spans="1:29" s="1" customFormat="1" x14ac:dyDescent="0.2">
      <c r="A139" s="11" t="s">
        <v>28</v>
      </c>
      <c r="B139" s="12" t="s">
        <v>19</v>
      </c>
      <c r="C139" s="12" t="s">
        <v>271</v>
      </c>
      <c r="D139" s="12" t="s">
        <v>62</v>
      </c>
      <c r="E139" s="12">
        <v>6312815</v>
      </c>
      <c r="F139" s="13">
        <v>8120</v>
      </c>
      <c r="G139" s="14">
        <v>45513</v>
      </c>
      <c r="H139" s="15" t="s">
        <v>7</v>
      </c>
      <c r="I139" s="16" t="s">
        <v>16</v>
      </c>
      <c r="J139" s="16">
        <v>6313288</v>
      </c>
      <c r="K139" s="17">
        <v>8140</v>
      </c>
      <c r="L139" s="18">
        <v>45513</v>
      </c>
      <c r="M139" s="19" t="s">
        <v>39</v>
      </c>
      <c r="N139" s="20" t="s">
        <v>18</v>
      </c>
      <c r="O139" s="20">
        <v>16</v>
      </c>
      <c r="P139" s="20"/>
      <c r="Q139" s="21">
        <v>45513</v>
      </c>
      <c r="R139" s="20">
        <v>500</v>
      </c>
      <c r="S139" s="22">
        <v>8100</v>
      </c>
      <c r="T139" s="23">
        <v>90</v>
      </c>
      <c r="V139" s="37">
        <f t="shared" si="14"/>
        <v>8090</v>
      </c>
      <c r="W139" s="28">
        <f t="shared" si="15"/>
        <v>-10</v>
      </c>
      <c r="X139" s="26">
        <f t="shared" si="16"/>
        <v>-50</v>
      </c>
      <c r="Y139" s="47">
        <f t="shared" si="17"/>
        <v>-30</v>
      </c>
      <c r="Z139" s="38">
        <f t="shared" si="18"/>
        <v>20</v>
      </c>
      <c r="AA139" s="39">
        <f t="shared" si="19"/>
        <v>-40</v>
      </c>
      <c r="AB139" s="39">
        <f t="shared" si="20"/>
        <v>-20</v>
      </c>
      <c r="AC139" s="209"/>
    </row>
    <row r="140" spans="1:29" s="1" customFormat="1" x14ac:dyDescent="0.2">
      <c r="A140" s="11" t="s">
        <v>5</v>
      </c>
      <c r="B140" s="12" t="s">
        <v>19</v>
      </c>
      <c r="C140" s="12" t="s">
        <v>272</v>
      </c>
      <c r="D140" s="12" t="s">
        <v>15</v>
      </c>
      <c r="E140" s="12">
        <v>6312304</v>
      </c>
      <c r="F140" s="13">
        <v>7660</v>
      </c>
      <c r="G140" s="14">
        <v>45512</v>
      </c>
      <c r="H140" s="15" t="s">
        <v>163</v>
      </c>
      <c r="I140" s="16" t="s">
        <v>63</v>
      </c>
      <c r="J140" s="16">
        <v>6311066</v>
      </c>
      <c r="K140" s="17">
        <v>7659</v>
      </c>
      <c r="L140" s="18">
        <v>45513</v>
      </c>
      <c r="M140" s="19" t="s">
        <v>39</v>
      </c>
      <c r="N140" s="20" t="s">
        <v>18</v>
      </c>
      <c r="O140" s="20">
        <v>15</v>
      </c>
      <c r="P140" s="20"/>
      <c r="Q140" s="21">
        <v>45513</v>
      </c>
      <c r="R140" s="20">
        <v>110</v>
      </c>
      <c r="S140" s="22">
        <v>7670</v>
      </c>
      <c r="T140" s="23">
        <v>70</v>
      </c>
      <c r="V140" s="37">
        <f t="shared" si="14"/>
        <v>7680</v>
      </c>
      <c r="W140" s="28">
        <f t="shared" si="15"/>
        <v>10</v>
      </c>
      <c r="X140" s="26">
        <f t="shared" si="16"/>
        <v>21</v>
      </c>
      <c r="Y140" s="47">
        <f t="shared" si="17"/>
        <v>20</v>
      </c>
      <c r="Z140" s="38">
        <f t="shared" si="18"/>
        <v>-1</v>
      </c>
      <c r="AA140" s="39">
        <f t="shared" si="19"/>
        <v>11</v>
      </c>
      <c r="AB140" s="39">
        <f t="shared" si="20"/>
        <v>10</v>
      </c>
      <c r="AC140" s="209"/>
    </row>
    <row r="141" spans="1:29" s="1" customFormat="1" hidden="1" x14ac:dyDescent="0.2">
      <c r="A141" s="11" t="s">
        <v>5</v>
      </c>
      <c r="B141" s="12" t="s">
        <v>21</v>
      </c>
      <c r="C141" s="12" t="s">
        <v>273</v>
      </c>
      <c r="D141" s="12" t="s">
        <v>62</v>
      </c>
      <c r="E141" s="12">
        <v>6311084</v>
      </c>
      <c r="F141" s="13">
        <v>8090</v>
      </c>
      <c r="G141" s="14">
        <v>45512</v>
      </c>
      <c r="H141" s="15" t="s">
        <v>163</v>
      </c>
      <c r="I141" s="16" t="s">
        <v>32</v>
      </c>
      <c r="J141" s="16">
        <v>6313058</v>
      </c>
      <c r="K141" s="17">
        <v>7980</v>
      </c>
      <c r="L141" s="18">
        <v>45513</v>
      </c>
      <c r="M141" s="19" t="s">
        <v>17</v>
      </c>
      <c r="N141" s="20" t="s">
        <v>115</v>
      </c>
      <c r="O141" s="20"/>
      <c r="P141" s="20">
        <v>26</v>
      </c>
      <c r="Q141" s="21">
        <v>45513</v>
      </c>
      <c r="R141" s="20">
        <v>310</v>
      </c>
      <c r="S141" s="22">
        <v>7993</v>
      </c>
      <c r="T141" s="23">
        <v>67</v>
      </c>
      <c r="V141" s="37">
        <f t="shared" si="14"/>
        <v>7997</v>
      </c>
      <c r="W141" s="28">
        <f t="shared" si="15"/>
        <v>4</v>
      </c>
      <c r="X141" s="45">
        <f t="shared" si="16"/>
        <v>17</v>
      </c>
      <c r="Y141" s="204">
        <f t="shared" si="17"/>
        <v>-93</v>
      </c>
      <c r="Z141" s="38">
        <f t="shared" si="18"/>
        <v>-110</v>
      </c>
      <c r="AA141" s="39">
        <f t="shared" si="19"/>
        <v>13</v>
      </c>
      <c r="AB141" s="39">
        <f t="shared" si="20"/>
        <v>-97</v>
      </c>
      <c r="AC141" s="209"/>
    </row>
    <row r="142" spans="1:29" s="1" customFormat="1" x14ac:dyDescent="0.2">
      <c r="A142" s="11" t="s">
        <v>5</v>
      </c>
      <c r="B142" s="12" t="s">
        <v>20</v>
      </c>
      <c r="C142" s="12" t="s">
        <v>274</v>
      </c>
      <c r="D142" s="12" t="s">
        <v>62</v>
      </c>
      <c r="E142" s="12">
        <v>6314229</v>
      </c>
      <c r="F142" s="13">
        <v>7660</v>
      </c>
      <c r="G142" s="14">
        <v>45514</v>
      </c>
      <c r="H142" s="15" t="s">
        <v>7</v>
      </c>
      <c r="I142" s="16" t="s">
        <v>16</v>
      </c>
      <c r="J142" s="16">
        <v>6315955</v>
      </c>
      <c r="K142" s="17">
        <v>7670</v>
      </c>
      <c r="L142" s="18">
        <v>45516</v>
      </c>
      <c r="M142" s="19" t="s">
        <v>39</v>
      </c>
      <c r="N142" s="20" t="s">
        <v>18</v>
      </c>
      <c r="O142" s="20">
        <v>15</v>
      </c>
      <c r="P142" s="20"/>
      <c r="Q142" s="21">
        <v>45516</v>
      </c>
      <c r="R142" s="20">
        <v>55</v>
      </c>
      <c r="S142" s="22">
        <v>7698</v>
      </c>
      <c r="T142" s="23">
        <v>123</v>
      </c>
      <c r="V142" s="37">
        <f t="shared" si="14"/>
        <v>7678</v>
      </c>
      <c r="W142" s="24">
        <f t="shared" si="15"/>
        <v>-20</v>
      </c>
      <c r="X142" s="27">
        <f t="shared" si="16"/>
        <v>8</v>
      </c>
      <c r="Y142" s="47">
        <f t="shared" si="17"/>
        <v>18</v>
      </c>
      <c r="Z142" s="38">
        <f t="shared" si="18"/>
        <v>10</v>
      </c>
      <c r="AA142" s="39">
        <f t="shared" si="19"/>
        <v>28</v>
      </c>
      <c r="AB142" s="39">
        <f t="shared" si="20"/>
        <v>38</v>
      </c>
      <c r="AC142" s="209"/>
    </row>
    <row r="143" spans="1:29" s="1" customFormat="1" x14ac:dyDescent="0.2">
      <c r="A143" s="11" t="s">
        <v>5</v>
      </c>
      <c r="B143" s="12" t="s">
        <v>20</v>
      </c>
      <c r="C143" s="12" t="s">
        <v>275</v>
      </c>
      <c r="D143" s="12" t="s">
        <v>15</v>
      </c>
      <c r="E143" s="12">
        <v>6314059</v>
      </c>
      <c r="F143" s="13">
        <v>7660</v>
      </c>
      <c r="G143" s="14">
        <v>45513</v>
      </c>
      <c r="H143" s="15" t="s">
        <v>48</v>
      </c>
      <c r="I143" s="16" t="s">
        <v>32</v>
      </c>
      <c r="J143" s="16">
        <v>6315902</v>
      </c>
      <c r="K143" s="17">
        <v>7670</v>
      </c>
      <c r="L143" s="18">
        <v>45516</v>
      </c>
      <c r="M143" s="19" t="s">
        <v>39</v>
      </c>
      <c r="N143" s="20" t="s">
        <v>18</v>
      </c>
      <c r="O143" s="20">
        <v>15</v>
      </c>
      <c r="P143" s="20"/>
      <c r="Q143" s="21">
        <v>45516</v>
      </c>
      <c r="R143" s="20">
        <v>55</v>
      </c>
      <c r="S143" s="22">
        <v>7685</v>
      </c>
      <c r="T143" s="23">
        <v>130</v>
      </c>
      <c r="V143" s="37">
        <f t="shared" si="14"/>
        <v>7685</v>
      </c>
      <c r="W143" s="28">
        <f t="shared" si="15"/>
        <v>0</v>
      </c>
      <c r="X143" s="45">
        <f t="shared" si="16"/>
        <v>15</v>
      </c>
      <c r="Y143" s="204">
        <f t="shared" si="17"/>
        <v>25</v>
      </c>
      <c r="Z143" s="38">
        <f t="shared" si="18"/>
        <v>10</v>
      </c>
      <c r="AA143" s="39">
        <f t="shared" si="19"/>
        <v>15</v>
      </c>
      <c r="AB143" s="39">
        <f t="shared" si="20"/>
        <v>25</v>
      </c>
      <c r="AC143" s="209"/>
    </row>
    <row r="144" spans="1:29" s="1" customFormat="1" x14ac:dyDescent="0.2">
      <c r="A144" s="11" t="s">
        <v>135</v>
      </c>
      <c r="B144" s="12" t="s">
        <v>20</v>
      </c>
      <c r="C144" s="12" t="s">
        <v>276</v>
      </c>
      <c r="D144" s="12" t="s">
        <v>62</v>
      </c>
      <c r="E144" s="12">
        <v>6312581</v>
      </c>
      <c r="F144" s="13">
        <v>7660</v>
      </c>
      <c r="G144" s="14">
        <v>45513</v>
      </c>
      <c r="H144" s="15" t="s">
        <v>48</v>
      </c>
      <c r="I144" s="16" t="s">
        <v>32</v>
      </c>
      <c r="J144" s="16">
        <v>6314524</v>
      </c>
      <c r="K144" s="17">
        <v>7700</v>
      </c>
      <c r="L144" s="18">
        <v>45514</v>
      </c>
      <c r="M144" s="19" t="s">
        <v>39</v>
      </c>
      <c r="N144" s="20" t="s">
        <v>18</v>
      </c>
      <c r="O144" s="20">
        <v>15</v>
      </c>
      <c r="P144" s="20"/>
      <c r="Q144" s="21">
        <v>45514</v>
      </c>
      <c r="R144" s="20">
        <v>500</v>
      </c>
      <c r="S144" s="22">
        <v>7680</v>
      </c>
      <c r="T144" s="23">
        <v>180</v>
      </c>
      <c r="V144" s="37">
        <f t="shared" si="14"/>
        <v>7680</v>
      </c>
      <c r="W144" s="28">
        <f t="shared" si="15"/>
        <v>0</v>
      </c>
      <c r="X144" s="26">
        <f t="shared" si="16"/>
        <v>-20</v>
      </c>
      <c r="Y144" s="47">
        <f t="shared" si="17"/>
        <v>20</v>
      </c>
      <c r="Z144" s="38">
        <f t="shared" si="18"/>
        <v>40</v>
      </c>
      <c r="AA144" s="39">
        <f t="shared" si="19"/>
        <v>-20</v>
      </c>
      <c r="AB144" s="39">
        <f t="shared" si="20"/>
        <v>20</v>
      </c>
      <c r="AC144" s="209"/>
    </row>
    <row r="145" spans="1:32" s="1" customFormat="1" x14ac:dyDescent="0.2">
      <c r="A145" s="11" t="s">
        <v>135</v>
      </c>
      <c r="B145" s="12" t="s">
        <v>20</v>
      </c>
      <c r="C145" s="12" t="s">
        <v>277</v>
      </c>
      <c r="D145" s="12" t="s">
        <v>62</v>
      </c>
      <c r="E145" s="12">
        <v>6312503</v>
      </c>
      <c r="F145" s="13">
        <v>7660</v>
      </c>
      <c r="G145" s="14">
        <v>45513</v>
      </c>
      <c r="H145" s="15" t="s">
        <v>48</v>
      </c>
      <c r="I145" s="16" t="s">
        <v>63</v>
      </c>
      <c r="J145" s="16">
        <v>6314188</v>
      </c>
      <c r="K145" s="17">
        <v>7716</v>
      </c>
      <c r="L145" s="18">
        <v>45514</v>
      </c>
      <c r="M145" s="19" t="s">
        <v>39</v>
      </c>
      <c r="N145" s="20" t="s">
        <v>238</v>
      </c>
      <c r="O145" s="20">
        <v>15</v>
      </c>
      <c r="P145" s="20"/>
      <c r="Q145" s="21">
        <v>45514</v>
      </c>
      <c r="R145" s="20">
        <v>110</v>
      </c>
      <c r="S145" s="22">
        <v>7665</v>
      </c>
      <c r="T145" s="23">
        <v>55</v>
      </c>
      <c r="V145" s="37">
        <f t="shared" si="14"/>
        <v>7665</v>
      </c>
      <c r="W145" s="28">
        <f t="shared" si="15"/>
        <v>0</v>
      </c>
      <c r="X145" s="26">
        <f t="shared" si="16"/>
        <v>-51</v>
      </c>
      <c r="Y145" s="47">
        <f t="shared" si="17"/>
        <v>5</v>
      </c>
      <c r="Z145" s="38">
        <f t="shared" si="18"/>
        <v>56</v>
      </c>
      <c r="AA145" s="39">
        <f t="shared" si="19"/>
        <v>-51</v>
      </c>
      <c r="AB145" s="39">
        <f t="shared" si="20"/>
        <v>5</v>
      </c>
      <c r="AC145" s="209"/>
    </row>
    <row r="146" spans="1:32" s="1" customFormat="1" x14ac:dyDescent="0.2">
      <c r="A146" s="11" t="s">
        <v>135</v>
      </c>
      <c r="B146" s="12" t="s">
        <v>20</v>
      </c>
      <c r="C146" s="12" t="s">
        <v>278</v>
      </c>
      <c r="D146" s="12" t="s">
        <v>15</v>
      </c>
      <c r="E146" s="12">
        <v>6313854</v>
      </c>
      <c r="F146" s="13">
        <v>7680</v>
      </c>
      <c r="G146" s="14">
        <v>45513</v>
      </c>
      <c r="H146" s="15" t="s">
        <v>48</v>
      </c>
      <c r="I146" s="16" t="s">
        <v>63</v>
      </c>
      <c r="J146" s="16">
        <v>6314416</v>
      </c>
      <c r="K146" s="17">
        <v>7714</v>
      </c>
      <c r="L146" s="18">
        <v>45514</v>
      </c>
      <c r="M146" s="19" t="s">
        <v>39</v>
      </c>
      <c r="N146" s="20" t="s">
        <v>18</v>
      </c>
      <c r="O146" s="20">
        <v>15</v>
      </c>
      <c r="P146" s="20"/>
      <c r="Q146" s="21">
        <v>45514</v>
      </c>
      <c r="R146" s="20">
        <v>110</v>
      </c>
      <c r="S146" s="22">
        <v>7686</v>
      </c>
      <c r="T146" s="23">
        <v>76</v>
      </c>
      <c r="V146" s="37">
        <f t="shared" si="14"/>
        <v>7686</v>
      </c>
      <c r="W146" s="28">
        <f t="shared" si="15"/>
        <v>0</v>
      </c>
      <c r="X146" s="26">
        <f t="shared" si="16"/>
        <v>-28</v>
      </c>
      <c r="Y146" s="47">
        <f t="shared" si="17"/>
        <v>6</v>
      </c>
      <c r="Z146" s="38">
        <f t="shared" si="18"/>
        <v>34</v>
      </c>
      <c r="AA146" s="39">
        <f t="shared" si="19"/>
        <v>-28</v>
      </c>
      <c r="AB146" s="39">
        <f t="shared" si="20"/>
        <v>6</v>
      </c>
      <c r="AC146" s="209"/>
    </row>
    <row r="147" spans="1:32" s="1" customFormat="1" x14ac:dyDescent="0.2">
      <c r="A147" s="11" t="s">
        <v>135</v>
      </c>
      <c r="B147" s="12" t="s">
        <v>20</v>
      </c>
      <c r="C147" s="12" t="s">
        <v>279</v>
      </c>
      <c r="D147" s="12" t="s">
        <v>15</v>
      </c>
      <c r="E147" s="12">
        <v>6312088</v>
      </c>
      <c r="F147" s="13">
        <v>7660</v>
      </c>
      <c r="G147" s="14">
        <v>45512</v>
      </c>
      <c r="H147" s="15" t="s">
        <v>48</v>
      </c>
      <c r="I147" s="16" t="s">
        <v>63</v>
      </c>
      <c r="J147" s="16">
        <v>6314333</v>
      </c>
      <c r="K147" s="17">
        <v>7686</v>
      </c>
      <c r="L147" s="18">
        <v>45514</v>
      </c>
      <c r="M147" s="19" t="s">
        <v>39</v>
      </c>
      <c r="N147" s="20" t="s">
        <v>18</v>
      </c>
      <c r="O147" s="20">
        <v>15</v>
      </c>
      <c r="P147" s="20"/>
      <c r="Q147" s="21">
        <v>45514</v>
      </c>
      <c r="R147" s="20">
        <v>110</v>
      </c>
      <c r="S147" s="22">
        <v>7666</v>
      </c>
      <c r="T147" s="23">
        <v>56</v>
      </c>
      <c r="V147" s="37">
        <f t="shared" si="14"/>
        <v>7666</v>
      </c>
      <c r="W147" s="28">
        <f t="shared" si="15"/>
        <v>0</v>
      </c>
      <c r="X147" s="26">
        <f t="shared" si="16"/>
        <v>-20</v>
      </c>
      <c r="Y147" s="47">
        <f t="shared" si="17"/>
        <v>6</v>
      </c>
      <c r="Z147" s="38">
        <f t="shared" si="18"/>
        <v>26</v>
      </c>
      <c r="AA147" s="39">
        <f t="shared" si="19"/>
        <v>-20</v>
      </c>
      <c r="AB147" s="39">
        <f t="shared" si="20"/>
        <v>6</v>
      </c>
      <c r="AC147" s="209"/>
    </row>
    <row r="148" spans="1:32" s="1" customFormat="1" x14ac:dyDescent="0.2">
      <c r="A148" s="11" t="s">
        <v>5</v>
      </c>
      <c r="B148" s="12" t="s">
        <v>19</v>
      </c>
      <c r="C148" s="12" t="s">
        <v>280</v>
      </c>
      <c r="D148" s="12" t="s">
        <v>218</v>
      </c>
      <c r="E148" s="12">
        <v>6311907</v>
      </c>
      <c r="F148" s="13">
        <v>7750</v>
      </c>
      <c r="G148" s="14">
        <v>45512</v>
      </c>
      <c r="H148" s="15" t="s">
        <v>163</v>
      </c>
      <c r="I148" s="16" t="s">
        <v>8</v>
      </c>
      <c r="J148" s="16">
        <v>6313672</v>
      </c>
      <c r="K148" s="17">
        <v>7750</v>
      </c>
      <c r="L148" s="18">
        <v>45513</v>
      </c>
      <c r="M148" s="19" t="s">
        <v>17</v>
      </c>
      <c r="N148" s="20" t="s">
        <v>247</v>
      </c>
      <c r="O148" s="20"/>
      <c r="P148" s="20">
        <v>25</v>
      </c>
      <c r="Q148" s="21">
        <v>45514</v>
      </c>
      <c r="R148" s="20">
        <v>310</v>
      </c>
      <c r="S148" s="22">
        <v>7774</v>
      </c>
      <c r="T148" s="23">
        <v>120</v>
      </c>
      <c r="V148" s="37">
        <f t="shared" si="14"/>
        <v>7745</v>
      </c>
      <c r="W148" s="24">
        <f t="shared" si="15"/>
        <v>-29</v>
      </c>
      <c r="X148" s="27">
        <f t="shared" si="16"/>
        <v>-5</v>
      </c>
      <c r="Y148" s="47">
        <f t="shared" si="17"/>
        <v>-5</v>
      </c>
      <c r="Z148" s="38">
        <f t="shared" si="18"/>
        <v>0</v>
      </c>
      <c r="AA148" s="39">
        <f t="shared" si="19"/>
        <v>24</v>
      </c>
      <c r="AB148" s="39">
        <f t="shared" si="20"/>
        <v>24</v>
      </c>
      <c r="AC148" s="209"/>
    </row>
    <row r="149" spans="1:32" s="1" customFormat="1" x14ac:dyDescent="0.2">
      <c r="A149" s="11" t="s">
        <v>5</v>
      </c>
      <c r="B149" s="12" t="s">
        <v>20</v>
      </c>
      <c r="C149" s="12" t="s">
        <v>281</v>
      </c>
      <c r="D149" s="12" t="s">
        <v>218</v>
      </c>
      <c r="E149" s="12">
        <v>6311562</v>
      </c>
      <c r="F149" s="13">
        <v>7660</v>
      </c>
      <c r="G149" s="14">
        <v>45512</v>
      </c>
      <c r="H149" s="15" t="s">
        <v>163</v>
      </c>
      <c r="I149" s="16" t="s">
        <v>8</v>
      </c>
      <c r="J149" s="16">
        <v>6313951</v>
      </c>
      <c r="K149" s="17">
        <v>7685</v>
      </c>
      <c r="L149" s="18">
        <v>45513</v>
      </c>
      <c r="M149" s="19" t="s">
        <v>17</v>
      </c>
      <c r="N149" s="20" t="s">
        <v>247</v>
      </c>
      <c r="O149" s="20"/>
      <c r="P149" s="20">
        <v>25</v>
      </c>
      <c r="Q149" s="21">
        <v>45514</v>
      </c>
      <c r="R149" s="20">
        <v>310</v>
      </c>
      <c r="S149" s="22">
        <v>7699</v>
      </c>
      <c r="T149" s="23">
        <v>55</v>
      </c>
      <c r="V149" s="37">
        <f t="shared" si="14"/>
        <v>7680</v>
      </c>
      <c r="W149" s="46">
        <f t="shared" si="15"/>
        <v>-19</v>
      </c>
      <c r="X149" s="27">
        <f t="shared" si="16"/>
        <v>-5</v>
      </c>
      <c r="Y149" s="204">
        <f t="shared" si="17"/>
        <v>20</v>
      </c>
      <c r="Z149" s="38">
        <f t="shared" si="18"/>
        <v>25</v>
      </c>
      <c r="AA149" s="39">
        <f t="shared" si="19"/>
        <v>14</v>
      </c>
      <c r="AB149" s="39">
        <f t="shared" si="20"/>
        <v>39</v>
      </c>
      <c r="AC149" s="209"/>
    </row>
    <row r="150" spans="1:32" s="1" customFormat="1" x14ac:dyDescent="0.2">
      <c r="A150" s="11" t="s">
        <v>5</v>
      </c>
      <c r="B150" s="12" t="s">
        <v>19</v>
      </c>
      <c r="C150" s="12" t="s">
        <v>282</v>
      </c>
      <c r="D150" s="12" t="s">
        <v>62</v>
      </c>
      <c r="E150" s="12">
        <v>6311085</v>
      </c>
      <c r="F150" s="13">
        <v>7720</v>
      </c>
      <c r="G150" s="14">
        <v>45512</v>
      </c>
      <c r="H150" s="15" t="s">
        <v>163</v>
      </c>
      <c r="I150" s="16" t="s">
        <v>32</v>
      </c>
      <c r="J150" s="16">
        <v>6313452</v>
      </c>
      <c r="K150" s="17">
        <v>7720</v>
      </c>
      <c r="L150" s="18">
        <v>45513</v>
      </c>
      <c r="M150" s="19" t="s">
        <v>17</v>
      </c>
      <c r="N150" s="20" t="s">
        <v>51</v>
      </c>
      <c r="O150" s="20"/>
      <c r="P150" s="20">
        <v>25</v>
      </c>
      <c r="Q150" s="21">
        <v>45513</v>
      </c>
      <c r="R150" s="20">
        <v>310</v>
      </c>
      <c r="S150" s="22">
        <v>7695</v>
      </c>
      <c r="T150" s="23">
        <v>70</v>
      </c>
      <c r="V150" s="37">
        <f t="shared" si="14"/>
        <v>7695</v>
      </c>
      <c r="W150" s="28">
        <f t="shared" si="15"/>
        <v>0</v>
      </c>
      <c r="X150" s="26">
        <f t="shared" si="16"/>
        <v>-25</v>
      </c>
      <c r="Y150" s="47">
        <f t="shared" si="17"/>
        <v>-25</v>
      </c>
      <c r="Z150" s="38">
        <f t="shared" si="18"/>
        <v>0</v>
      </c>
      <c r="AA150" s="39">
        <f t="shared" si="19"/>
        <v>-25</v>
      </c>
      <c r="AB150" s="39">
        <f t="shared" si="20"/>
        <v>-25</v>
      </c>
      <c r="AC150" s="209"/>
    </row>
    <row r="151" spans="1:32" s="1" customFormat="1" x14ac:dyDescent="0.2">
      <c r="A151" s="11" t="s">
        <v>5</v>
      </c>
      <c r="B151" s="12" t="s">
        <v>24</v>
      </c>
      <c r="C151" s="12" t="s">
        <v>283</v>
      </c>
      <c r="D151" s="12" t="s">
        <v>62</v>
      </c>
      <c r="E151" s="12">
        <v>6310877</v>
      </c>
      <c r="F151" s="13">
        <v>7680</v>
      </c>
      <c r="G151" s="14">
        <v>45512</v>
      </c>
      <c r="H151" s="15" t="s">
        <v>163</v>
      </c>
      <c r="I151" s="16" t="s">
        <v>8</v>
      </c>
      <c r="J151" s="16">
        <v>6313772</v>
      </c>
      <c r="K151" s="17">
        <v>7700</v>
      </c>
      <c r="L151" s="18">
        <v>45513</v>
      </c>
      <c r="M151" s="19" t="s">
        <v>17</v>
      </c>
      <c r="N151" s="20" t="s">
        <v>51</v>
      </c>
      <c r="O151" s="20"/>
      <c r="P151" s="20">
        <v>25</v>
      </c>
      <c r="Q151" s="21">
        <v>45513</v>
      </c>
      <c r="R151" s="20">
        <v>310</v>
      </c>
      <c r="S151" s="22">
        <v>7700</v>
      </c>
      <c r="T151" s="23">
        <v>40</v>
      </c>
      <c r="V151" s="37">
        <f t="shared" si="14"/>
        <v>7665</v>
      </c>
      <c r="W151" s="24">
        <f t="shared" si="15"/>
        <v>-35</v>
      </c>
      <c r="X151" s="45">
        <f t="shared" si="16"/>
        <v>-35</v>
      </c>
      <c r="Y151" s="203">
        <f t="shared" si="17"/>
        <v>-15</v>
      </c>
      <c r="Z151" s="38">
        <f t="shared" si="18"/>
        <v>20</v>
      </c>
      <c r="AA151" s="39">
        <f t="shared" si="19"/>
        <v>0</v>
      </c>
      <c r="AB151" s="39">
        <f t="shared" si="20"/>
        <v>20</v>
      </c>
      <c r="AC151" s="209"/>
    </row>
    <row r="152" spans="1:32" s="1" customFormat="1" x14ac:dyDescent="0.2">
      <c r="A152" s="11" t="s">
        <v>5</v>
      </c>
      <c r="B152" s="12" t="s">
        <v>20</v>
      </c>
      <c r="C152" s="12" t="s">
        <v>284</v>
      </c>
      <c r="D152" s="12" t="s">
        <v>15</v>
      </c>
      <c r="E152" s="12">
        <v>6315170</v>
      </c>
      <c r="F152" s="13">
        <v>7660</v>
      </c>
      <c r="G152" s="14">
        <v>45514</v>
      </c>
      <c r="H152" s="15" t="s">
        <v>48</v>
      </c>
      <c r="I152" s="16" t="s">
        <v>32</v>
      </c>
      <c r="J152" s="16">
        <v>6315950</v>
      </c>
      <c r="K152" s="17">
        <v>7670</v>
      </c>
      <c r="L152" s="18">
        <v>45516</v>
      </c>
      <c r="M152" s="19" t="s">
        <v>35</v>
      </c>
      <c r="N152" s="20" t="s">
        <v>79</v>
      </c>
      <c r="O152" s="20">
        <v>15</v>
      </c>
      <c r="P152" s="20"/>
      <c r="Q152" s="21">
        <v>45516</v>
      </c>
      <c r="R152" s="20">
        <v>55</v>
      </c>
      <c r="S152" s="22">
        <v>7675</v>
      </c>
      <c r="T152" s="23">
        <v>118</v>
      </c>
      <c r="V152" s="37">
        <f t="shared" si="14"/>
        <v>7673</v>
      </c>
      <c r="W152" s="28">
        <f t="shared" si="15"/>
        <v>-2</v>
      </c>
      <c r="X152" s="45">
        <f t="shared" si="16"/>
        <v>3</v>
      </c>
      <c r="Y152" s="204">
        <f t="shared" si="17"/>
        <v>13</v>
      </c>
      <c r="Z152" s="38">
        <f t="shared" si="18"/>
        <v>10</v>
      </c>
      <c r="AA152" s="39">
        <f t="shared" si="19"/>
        <v>5</v>
      </c>
      <c r="AB152" s="39">
        <f t="shared" si="20"/>
        <v>15</v>
      </c>
      <c r="AC152" s="209"/>
    </row>
    <row r="153" spans="1:32" s="1" customFormat="1" x14ac:dyDescent="0.2">
      <c r="A153" s="11" t="s">
        <v>28</v>
      </c>
      <c r="B153" s="12" t="s">
        <v>24</v>
      </c>
      <c r="C153" s="12" t="s">
        <v>285</v>
      </c>
      <c r="D153" s="12" t="s">
        <v>218</v>
      </c>
      <c r="E153" s="12">
        <v>6312980</v>
      </c>
      <c r="F153" s="13">
        <v>8140</v>
      </c>
      <c r="G153" s="14">
        <v>45513</v>
      </c>
      <c r="H153" s="15" t="s">
        <v>7</v>
      </c>
      <c r="I153" s="16" t="s">
        <v>16</v>
      </c>
      <c r="J153" s="16">
        <v>6313635</v>
      </c>
      <c r="K153" s="17">
        <v>8160</v>
      </c>
      <c r="L153" s="18">
        <v>45513</v>
      </c>
      <c r="M153" s="19" t="s">
        <v>35</v>
      </c>
      <c r="N153" s="20" t="s">
        <v>79</v>
      </c>
      <c r="O153" s="20">
        <v>16</v>
      </c>
      <c r="P153" s="20"/>
      <c r="Q153" s="21">
        <v>45513</v>
      </c>
      <c r="R153" s="20">
        <v>110</v>
      </c>
      <c r="S153" s="22">
        <v>8164</v>
      </c>
      <c r="T153" s="23">
        <v>50</v>
      </c>
      <c r="V153" s="37">
        <f t="shared" si="14"/>
        <v>8160</v>
      </c>
      <c r="W153" s="46">
        <f t="shared" si="15"/>
        <v>-4</v>
      </c>
      <c r="X153" s="27">
        <f t="shared" si="16"/>
        <v>0</v>
      </c>
      <c r="Y153" s="204">
        <f t="shared" si="17"/>
        <v>20</v>
      </c>
      <c r="Z153" s="38">
        <f t="shared" si="18"/>
        <v>20</v>
      </c>
      <c r="AA153" s="39">
        <f t="shared" si="19"/>
        <v>4</v>
      </c>
      <c r="AB153" s="39">
        <f t="shared" si="20"/>
        <v>24</v>
      </c>
      <c r="AC153" s="209"/>
    </row>
    <row r="154" spans="1:32" s="1" customFormat="1" x14ac:dyDescent="0.2">
      <c r="A154" s="11" t="s">
        <v>5</v>
      </c>
      <c r="B154" s="12" t="s">
        <v>20</v>
      </c>
      <c r="C154" s="12" t="s">
        <v>286</v>
      </c>
      <c r="D154" s="12" t="s">
        <v>62</v>
      </c>
      <c r="E154" s="12">
        <v>6314387</v>
      </c>
      <c r="F154" s="13">
        <v>7660</v>
      </c>
      <c r="G154" s="14">
        <v>45514</v>
      </c>
      <c r="H154" s="15" t="s">
        <v>48</v>
      </c>
      <c r="I154" s="16" t="s">
        <v>32</v>
      </c>
      <c r="J154" s="16">
        <v>6315997</v>
      </c>
      <c r="K154" s="17">
        <v>7680</v>
      </c>
      <c r="L154" s="18">
        <v>45516</v>
      </c>
      <c r="M154" s="19" t="s">
        <v>35</v>
      </c>
      <c r="N154" s="20" t="s">
        <v>79</v>
      </c>
      <c r="O154" s="20">
        <v>15</v>
      </c>
      <c r="P154" s="20"/>
      <c r="Q154" s="21">
        <v>45516</v>
      </c>
      <c r="R154" s="20">
        <v>55</v>
      </c>
      <c r="S154" s="22">
        <v>7689</v>
      </c>
      <c r="T154" s="23">
        <v>132</v>
      </c>
      <c r="V154" s="37">
        <f t="shared" si="14"/>
        <v>7687</v>
      </c>
      <c r="W154" s="28">
        <f t="shared" si="15"/>
        <v>-2</v>
      </c>
      <c r="X154" s="45">
        <f t="shared" si="16"/>
        <v>7</v>
      </c>
      <c r="Y154" s="204">
        <f t="shared" si="17"/>
        <v>27</v>
      </c>
      <c r="Z154" s="38">
        <f t="shared" si="18"/>
        <v>20</v>
      </c>
      <c r="AA154" s="39">
        <f t="shared" si="19"/>
        <v>9</v>
      </c>
      <c r="AB154" s="39">
        <f t="shared" si="20"/>
        <v>29</v>
      </c>
      <c r="AC154" s="209"/>
    </row>
    <row r="155" spans="1:32" s="1" customFormat="1" x14ac:dyDescent="0.2">
      <c r="A155" s="11"/>
      <c r="B155" s="12" t="s">
        <v>20</v>
      </c>
      <c r="C155" s="12" t="s">
        <v>287</v>
      </c>
      <c r="D155" s="12" t="s">
        <v>67</v>
      </c>
      <c r="E155" s="12">
        <v>6314599</v>
      </c>
      <c r="F155" s="13">
        <v>7660</v>
      </c>
      <c r="G155" s="14">
        <v>45514</v>
      </c>
      <c r="H155" s="15" t="s">
        <v>7</v>
      </c>
      <c r="I155" s="16" t="s">
        <v>101</v>
      </c>
      <c r="J155" s="16">
        <v>6316144</v>
      </c>
      <c r="K155" s="17">
        <v>7670</v>
      </c>
      <c r="L155" s="18">
        <v>45516</v>
      </c>
      <c r="M155" s="19" t="s">
        <v>39</v>
      </c>
      <c r="N155" s="20" t="s">
        <v>115</v>
      </c>
      <c r="O155" s="20">
        <v>15</v>
      </c>
      <c r="P155" s="20"/>
      <c r="Q155" s="21">
        <v>45516</v>
      </c>
      <c r="R155" s="20">
        <v>55</v>
      </c>
      <c r="S155" s="22">
        <v>7697</v>
      </c>
      <c r="T155" s="23">
        <v>118</v>
      </c>
      <c r="V155" s="37">
        <f t="shared" si="14"/>
        <v>7673</v>
      </c>
      <c r="W155" s="24">
        <f t="shared" si="15"/>
        <v>-24</v>
      </c>
      <c r="X155" s="27">
        <f t="shared" si="16"/>
        <v>3</v>
      </c>
      <c r="Y155" s="47">
        <f t="shared" si="17"/>
        <v>13</v>
      </c>
      <c r="Z155" s="38">
        <f t="shared" si="18"/>
        <v>10</v>
      </c>
      <c r="AA155" s="39">
        <f t="shared" si="19"/>
        <v>27</v>
      </c>
      <c r="AB155" s="39">
        <f t="shared" si="20"/>
        <v>37</v>
      </c>
      <c r="AC155" s="209"/>
    </row>
    <row r="156" spans="1:32" x14ac:dyDescent="0.2">
      <c r="X156" s="160"/>
      <c r="Z156" s="160"/>
      <c r="AE156" s="160"/>
      <c r="AF156" s="160"/>
    </row>
    <row r="157" spans="1:32" x14ac:dyDescent="0.2">
      <c r="X157" s="160"/>
      <c r="Z157" s="160"/>
      <c r="AE157" s="160"/>
      <c r="AF157" s="160"/>
    </row>
    <row r="158" spans="1:32" x14ac:dyDescent="0.2">
      <c r="X158" s="160"/>
      <c r="Z158" s="160"/>
      <c r="AE158" s="160"/>
      <c r="AF158" s="160"/>
    </row>
    <row r="159" spans="1:32" x14ac:dyDescent="0.2">
      <c r="X159" s="160"/>
      <c r="Z159" s="160"/>
      <c r="AE159" s="160"/>
      <c r="AF159" s="160"/>
    </row>
    <row r="160" spans="1:32" x14ac:dyDescent="0.2">
      <c r="X160" s="160"/>
      <c r="Z160" s="160"/>
      <c r="AE160" s="160"/>
      <c r="AF160" s="160"/>
    </row>
    <row r="161" spans="24:32" x14ac:dyDescent="0.2">
      <c r="X161" s="160"/>
      <c r="Z161" s="160"/>
      <c r="AE161" s="160"/>
      <c r="AF161" s="160"/>
    </row>
    <row r="162" spans="24:32" x14ac:dyDescent="0.2">
      <c r="X162" s="160"/>
      <c r="Z162" s="160"/>
      <c r="AE162" s="160"/>
      <c r="AF162" s="160"/>
    </row>
    <row r="163" spans="24:32" x14ac:dyDescent="0.2">
      <c r="X163" s="160"/>
      <c r="Z163" s="160"/>
      <c r="AE163" s="160"/>
      <c r="AF163" s="160"/>
    </row>
    <row r="164" spans="24:32" x14ac:dyDescent="0.2">
      <c r="X164" s="160"/>
      <c r="Z164" s="160"/>
      <c r="AE164" s="160"/>
      <c r="AF164" s="160"/>
    </row>
    <row r="165" spans="24:32" x14ac:dyDescent="0.2">
      <c r="X165" s="160"/>
      <c r="Z165" s="160"/>
      <c r="AE165" s="160"/>
      <c r="AF165" s="160"/>
    </row>
    <row r="166" spans="24:32" x14ac:dyDescent="0.2">
      <c r="X166" s="160"/>
      <c r="Z166" s="160"/>
      <c r="AE166" s="160"/>
      <c r="AF166" s="160"/>
    </row>
    <row r="167" spans="24:32" x14ac:dyDescent="0.2">
      <c r="X167" s="160"/>
      <c r="Z167" s="160"/>
      <c r="AE167" s="160"/>
      <c r="AF167" s="160"/>
    </row>
    <row r="168" spans="24:32" x14ac:dyDescent="0.2">
      <c r="X168" s="160"/>
      <c r="Z168" s="160"/>
      <c r="AE168" s="160"/>
      <c r="AF168" s="160"/>
    </row>
    <row r="169" spans="24:32" x14ac:dyDescent="0.2">
      <c r="X169" s="160"/>
      <c r="Z169" s="160"/>
      <c r="AE169" s="160"/>
      <c r="AF169" s="160"/>
    </row>
    <row r="170" spans="24:32" x14ac:dyDescent="0.2">
      <c r="X170" s="160"/>
      <c r="Z170" s="160"/>
      <c r="AE170" s="160"/>
      <c r="AF170" s="160"/>
    </row>
    <row r="171" spans="24:32" x14ac:dyDescent="0.2">
      <c r="X171" s="160"/>
      <c r="Z171" s="160"/>
      <c r="AE171" s="160"/>
      <c r="AF171" s="160"/>
    </row>
    <row r="172" spans="24:32" x14ac:dyDescent="0.2">
      <c r="X172" s="160"/>
      <c r="Z172" s="160"/>
      <c r="AE172" s="160"/>
      <c r="AF172" s="160"/>
    </row>
    <row r="173" spans="24:32" x14ac:dyDescent="0.2">
      <c r="X173" s="160"/>
      <c r="Z173" s="160"/>
      <c r="AE173" s="160"/>
      <c r="AF173" s="160"/>
    </row>
    <row r="174" spans="24:32" x14ac:dyDescent="0.2">
      <c r="X174" s="160"/>
      <c r="Z174" s="160"/>
      <c r="AE174" s="160"/>
      <c r="AF174" s="160"/>
    </row>
    <row r="175" spans="24:32" x14ac:dyDescent="0.4">
      <c r="AE175" s="160"/>
      <c r="AF175" s="160"/>
    </row>
    <row r="176" spans="24:32" x14ac:dyDescent="0.4">
      <c r="AE176" s="160"/>
      <c r="AF176" s="160"/>
    </row>
    <row r="177" spans="31:32" x14ac:dyDescent="0.4">
      <c r="AE177" s="160"/>
      <c r="AF177" s="160"/>
    </row>
    <row r="178" spans="31:32" x14ac:dyDescent="0.4">
      <c r="AE178" s="160"/>
      <c r="AF178" s="160"/>
    </row>
    <row r="179" spans="31:32" x14ac:dyDescent="0.4">
      <c r="AE179" s="160"/>
      <c r="AF179" s="160"/>
    </row>
    <row r="180" spans="31:32" x14ac:dyDescent="0.4">
      <c r="AE180" s="160"/>
      <c r="AF180" s="160"/>
    </row>
    <row r="181" spans="31:32" x14ac:dyDescent="0.4">
      <c r="AE181" s="160"/>
      <c r="AF181" s="160"/>
    </row>
    <row r="182" spans="31:32" x14ac:dyDescent="0.4">
      <c r="AE182" s="160"/>
      <c r="AF182" s="160"/>
    </row>
    <row r="183" spans="31:32" x14ac:dyDescent="0.4">
      <c r="AE183" s="160"/>
      <c r="AF183" s="160"/>
    </row>
    <row r="184" spans="31:32" x14ac:dyDescent="0.4">
      <c r="AE184" s="160"/>
      <c r="AF184" s="160"/>
    </row>
    <row r="185" spans="31:32" x14ac:dyDescent="0.4">
      <c r="AE185" s="160"/>
      <c r="AF185" s="160"/>
    </row>
    <row r="186" spans="31:32" x14ac:dyDescent="0.4">
      <c r="AE186" s="160"/>
      <c r="AF186" s="160"/>
    </row>
    <row r="187" spans="31:32" x14ac:dyDescent="0.4">
      <c r="AE187" s="160"/>
      <c r="AF187" s="160"/>
    </row>
    <row r="188" spans="31:32" x14ac:dyDescent="0.4">
      <c r="AE188" s="160"/>
      <c r="AF188" s="160"/>
    </row>
    <row r="189" spans="31:32" x14ac:dyDescent="0.4">
      <c r="AE189" s="160"/>
      <c r="AF189" s="160"/>
    </row>
    <row r="190" spans="31:32" x14ac:dyDescent="0.4">
      <c r="AE190" s="160"/>
      <c r="AF190" s="160"/>
    </row>
    <row r="191" spans="31:32" x14ac:dyDescent="0.4">
      <c r="AE191" s="160"/>
      <c r="AF191" s="160"/>
    </row>
    <row r="192" spans="31:32" x14ac:dyDescent="0.4">
      <c r="AE192" s="160"/>
      <c r="AF192" s="160"/>
    </row>
    <row r="193" spans="31:32" x14ac:dyDescent="0.4">
      <c r="AE193" s="160"/>
      <c r="AF193" s="160"/>
    </row>
    <row r="194" spans="31:32" x14ac:dyDescent="0.4">
      <c r="AE194" s="160"/>
      <c r="AF194" s="160"/>
    </row>
    <row r="195" spans="31:32" x14ac:dyDescent="0.4">
      <c r="AE195" s="160"/>
      <c r="AF195" s="160"/>
    </row>
    <row r="196" spans="31:32" x14ac:dyDescent="0.4">
      <c r="AE196" s="160"/>
      <c r="AF196" s="160"/>
    </row>
    <row r="197" spans="31:32" x14ac:dyDescent="0.4">
      <c r="AE197" s="160"/>
      <c r="AF197" s="160"/>
    </row>
    <row r="198" spans="31:32" x14ac:dyDescent="0.4">
      <c r="AE198" s="160"/>
      <c r="AF198" s="160"/>
    </row>
    <row r="199" spans="31:32" x14ac:dyDescent="0.4">
      <c r="AE199" s="160"/>
      <c r="AF199" s="160"/>
    </row>
    <row r="200" spans="31:32" x14ac:dyDescent="0.4">
      <c r="AE200" s="160"/>
      <c r="AF200" s="160"/>
    </row>
    <row r="201" spans="31:32" x14ac:dyDescent="0.4">
      <c r="AE201" s="160"/>
      <c r="AF201" s="160"/>
    </row>
    <row r="202" spans="31:32" x14ac:dyDescent="0.4">
      <c r="AE202" s="160"/>
      <c r="AF202" s="160"/>
    </row>
    <row r="203" spans="31:32" x14ac:dyDescent="0.4">
      <c r="AE203" s="160"/>
      <c r="AF203" s="160"/>
    </row>
    <row r="204" spans="31:32" x14ac:dyDescent="0.4">
      <c r="AE204" s="160"/>
      <c r="AF204" s="160"/>
    </row>
    <row r="205" spans="31:32" x14ac:dyDescent="0.4">
      <c r="AE205" s="160"/>
      <c r="AF205" s="160"/>
    </row>
    <row r="206" spans="31:32" x14ac:dyDescent="0.4">
      <c r="AE206" s="160"/>
      <c r="AF206" s="160"/>
    </row>
    <row r="207" spans="31:32" x14ac:dyDescent="0.4">
      <c r="AE207" s="160"/>
      <c r="AF207" s="160"/>
    </row>
    <row r="208" spans="31:32" x14ac:dyDescent="0.4">
      <c r="AE208" s="160"/>
      <c r="AF208" s="160"/>
    </row>
    <row r="209" spans="31:32" x14ac:dyDescent="0.4">
      <c r="AE209" s="160"/>
      <c r="AF209" s="160"/>
    </row>
    <row r="210" spans="31:32" x14ac:dyDescent="0.4">
      <c r="AE210" s="160"/>
      <c r="AF210" s="160"/>
    </row>
    <row r="211" spans="31:32" x14ac:dyDescent="0.4">
      <c r="AE211" s="160"/>
      <c r="AF211" s="160"/>
    </row>
    <row r="212" spans="31:32" x14ac:dyDescent="0.4">
      <c r="AE212" s="160"/>
      <c r="AF212" s="160"/>
    </row>
    <row r="213" spans="31:32" x14ac:dyDescent="0.4">
      <c r="AE213" s="160"/>
      <c r="AF213" s="160"/>
    </row>
    <row r="214" spans="31:32" x14ac:dyDescent="0.4">
      <c r="AE214" s="160"/>
      <c r="AF214" s="160"/>
    </row>
    <row r="215" spans="31:32" x14ac:dyDescent="0.4">
      <c r="AE215" s="160"/>
      <c r="AF215" s="160"/>
    </row>
    <row r="216" spans="31:32" x14ac:dyDescent="0.4">
      <c r="AE216" s="160"/>
      <c r="AF216" s="160"/>
    </row>
    <row r="217" spans="31:32" x14ac:dyDescent="0.4">
      <c r="AE217" s="160"/>
      <c r="AF217" s="160"/>
    </row>
    <row r="218" spans="31:32" x14ac:dyDescent="0.4">
      <c r="AE218" s="160"/>
      <c r="AF218" s="160"/>
    </row>
    <row r="219" spans="31:32" x14ac:dyDescent="0.4">
      <c r="AE219" s="160"/>
      <c r="AF219" s="160"/>
    </row>
    <row r="220" spans="31:32" x14ac:dyDescent="0.4">
      <c r="AE220" s="160"/>
      <c r="AF220" s="160"/>
    </row>
    <row r="221" spans="31:32" x14ac:dyDescent="0.4">
      <c r="AE221" s="160"/>
      <c r="AF221" s="160"/>
    </row>
    <row r="222" spans="31:32" x14ac:dyDescent="0.4">
      <c r="AE222" s="160"/>
      <c r="AF222" s="160"/>
    </row>
    <row r="223" spans="31:32" x14ac:dyDescent="0.4">
      <c r="AE223" s="160"/>
      <c r="AF223" s="160"/>
    </row>
    <row r="224" spans="31:32" x14ac:dyDescent="0.4">
      <c r="AE224" s="160"/>
      <c r="AF224" s="160"/>
    </row>
    <row r="225" spans="31:32" x14ac:dyDescent="0.4">
      <c r="AE225" s="160"/>
      <c r="AF225" s="160"/>
    </row>
    <row r="226" spans="31:32" x14ac:dyDescent="0.4">
      <c r="AE226" s="160"/>
      <c r="AF226" s="160"/>
    </row>
    <row r="227" spans="31:32" x14ac:dyDescent="0.4">
      <c r="AE227" s="160"/>
      <c r="AF227" s="160"/>
    </row>
    <row r="228" spans="31:32" x14ac:dyDescent="0.4">
      <c r="AE228" s="160"/>
      <c r="AF228" s="160"/>
    </row>
    <row r="229" spans="31:32" x14ac:dyDescent="0.4">
      <c r="AE229" s="160"/>
      <c r="AF229" s="160"/>
    </row>
    <row r="230" spans="31:32" x14ac:dyDescent="0.4">
      <c r="AE230" s="160"/>
      <c r="AF230" s="160"/>
    </row>
    <row r="231" spans="31:32" x14ac:dyDescent="0.4">
      <c r="AE231" s="160"/>
      <c r="AF231" s="160"/>
    </row>
    <row r="232" spans="31:32" x14ac:dyDescent="0.4">
      <c r="AE232" s="160"/>
      <c r="AF232" s="160"/>
    </row>
    <row r="233" spans="31:32" x14ac:dyDescent="0.4">
      <c r="AE233" s="160"/>
      <c r="AF233" s="160"/>
    </row>
    <row r="234" spans="31:32" x14ac:dyDescent="0.4">
      <c r="AE234" s="160"/>
      <c r="AF234" s="160"/>
    </row>
    <row r="235" spans="31:32" x14ac:dyDescent="0.4">
      <c r="AE235" s="160"/>
      <c r="AF235" s="160"/>
    </row>
    <row r="236" spans="31:32" x14ac:dyDescent="0.4">
      <c r="AE236" s="160"/>
      <c r="AF236" s="160"/>
    </row>
    <row r="237" spans="31:32" x14ac:dyDescent="0.4">
      <c r="AE237" s="160"/>
      <c r="AF237" s="160"/>
    </row>
    <row r="238" spans="31:32" x14ac:dyDescent="0.4">
      <c r="AE238" s="160"/>
      <c r="AF238" s="160"/>
    </row>
    <row r="239" spans="31:32" x14ac:dyDescent="0.4">
      <c r="AE239" s="160"/>
      <c r="AF239" s="160"/>
    </row>
    <row r="240" spans="31:32" x14ac:dyDescent="0.4">
      <c r="AE240" s="160"/>
      <c r="AF240" s="160"/>
    </row>
    <row r="241" spans="31:32" x14ac:dyDescent="0.4">
      <c r="AE241" s="160"/>
      <c r="AF241" s="160"/>
    </row>
    <row r="242" spans="31:32" x14ac:dyDescent="0.4">
      <c r="AE242" s="160"/>
      <c r="AF242" s="160"/>
    </row>
    <row r="243" spans="31:32" x14ac:dyDescent="0.4">
      <c r="AE243" s="160"/>
      <c r="AF243" s="160"/>
    </row>
    <row r="244" spans="31:32" x14ac:dyDescent="0.4">
      <c r="AE244" s="160"/>
      <c r="AF244" s="160"/>
    </row>
    <row r="245" spans="31:32" x14ac:dyDescent="0.4">
      <c r="AE245" s="160"/>
      <c r="AF245" s="160"/>
    </row>
    <row r="246" spans="31:32" x14ac:dyDescent="0.4">
      <c r="AE246" s="160"/>
      <c r="AF246" s="160"/>
    </row>
    <row r="247" spans="31:32" x14ac:dyDescent="0.4">
      <c r="AE247" s="160"/>
      <c r="AF247" s="160"/>
    </row>
    <row r="248" spans="31:32" x14ac:dyDescent="0.4">
      <c r="AE248" s="160"/>
      <c r="AF248" s="160"/>
    </row>
    <row r="249" spans="31:32" x14ac:dyDescent="0.4">
      <c r="AE249" s="160"/>
      <c r="AF249" s="160"/>
    </row>
    <row r="250" spans="31:32" x14ac:dyDescent="0.4">
      <c r="AE250" s="160"/>
      <c r="AF250" s="160"/>
    </row>
    <row r="251" spans="31:32" x14ac:dyDescent="0.4">
      <c r="AE251" s="160"/>
      <c r="AF251" s="160"/>
    </row>
    <row r="252" spans="31:32" x14ac:dyDescent="0.4">
      <c r="AE252" s="160"/>
      <c r="AF252" s="160"/>
    </row>
    <row r="253" spans="31:32" x14ac:dyDescent="0.4">
      <c r="AE253" s="160"/>
      <c r="AF253" s="160"/>
    </row>
    <row r="254" spans="31:32" x14ac:dyDescent="0.4">
      <c r="AE254" s="160"/>
      <c r="AF254" s="160"/>
    </row>
    <row r="255" spans="31:32" x14ac:dyDescent="0.4">
      <c r="AE255" s="160"/>
      <c r="AF255" s="160"/>
    </row>
    <row r="256" spans="31:32" x14ac:dyDescent="0.4">
      <c r="AE256" s="160"/>
      <c r="AF256" s="160"/>
    </row>
    <row r="257" spans="31:32" x14ac:dyDescent="0.4">
      <c r="AE257" s="160"/>
      <c r="AF257" s="160"/>
    </row>
    <row r="258" spans="31:32" x14ac:dyDescent="0.4">
      <c r="AE258" s="160"/>
      <c r="AF258" s="160"/>
    </row>
    <row r="259" spans="31:32" x14ac:dyDescent="0.4">
      <c r="AE259" s="160"/>
      <c r="AF259" s="160"/>
    </row>
    <row r="260" spans="31:32" x14ac:dyDescent="0.4">
      <c r="AE260" s="160"/>
      <c r="AF260" s="160"/>
    </row>
    <row r="261" spans="31:32" x14ac:dyDescent="0.4">
      <c r="AE261" s="160"/>
      <c r="AF261" s="160"/>
    </row>
    <row r="262" spans="31:32" x14ac:dyDescent="0.4">
      <c r="AE262" s="160"/>
      <c r="AF262" s="160"/>
    </row>
    <row r="263" spans="31:32" x14ac:dyDescent="0.4">
      <c r="AE263" s="160"/>
      <c r="AF263" s="160"/>
    </row>
    <row r="264" spans="31:32" x14ac:dyDescent="0.4">
      <c r="AE264" s="160"/>
      <c r="AF264" s="160"/>
    </row>
    <row r="265" spans="31:32" x14ac:dyDescent="0.4">
      <c r="AE265" s="160"/>
      <c r="AF265" s="160"/>
    </row>
    <row r="266" spans="31:32" x14ac:dyDescent="0.4">
      <c r="AE266" s="160"/>
      <c r="AF266" s="160"/>
    </row>
    <row r="267" spans="31:32" x14ac:dyDescent="0.4">
      <c r="AE267" s="160"/>
      <c r="AF267" s="160"/>
    </row>
    <row r="268" spans="31:32" x14ac:dyDescent="0.4">
      <c r="AE268" s="160"/>
      <c r="AF268" s="160"/>
    </row>
    <row r="269" spans="31:32" x14ac:dyDescent="0.4">
      <c r="AE269" s="160"/>
      <c r="AF269" s="160"/>
    </row>
    <row r="270" spans="31:32" x14ac:dyDescent="0.4">
      <c r="AE270" s="160"/>
      <c r="AF270" s="160"/>
    </row>
    <row r="271" spans="31:32" x14ac:dyDescent="0.4">
      <c r="AE271" s="160"/>
      <c r="AF271" s="160"/>
    </row>
    <row r="272" spans="31:32" x14ac:dyDescent="0.4">
      <c r="AE272" s="160"/>
      <c r="AF272" s="160"/>
    </row>
    <row r="273" spans="31:32" x14ac:dyDescent="0.4">
      <c r="AE273" s="160"/>
      <c r="AF273" s="160"/>
    </row>
    <row r="274" spans="31:32" x14ac:dyDescent="0.4">
      <c r="AE274" s="160"/>
      <c r="AF274" s="160"/>
    </row>
    <row r="275" spans="31:32" x14ac:dyDescent="0.4">
      <c r="AE275" s="160"/>
      <c r="AF275" s="160"/>
    </row>
    <row r="276" spans="31:32" x14ac:dyDescent="0.4">
      <c r="AE276" s="160"/>
      <c r="AF276" s="160"/>
    </row>
    <row r="277" spans="31:32" x14ac:dyDescent="0.4">
      <c r="AE277" s="160"/>
      <c r="AF277" s="160"/>
    </row>
    <row r="278" spans="31:32" x14ac:dyDescent="0.4">
      <c r="AE278" s="160"/>
      <c r="AF278" s="160"/>
    </row>
    <row r="279" spans="31:32" x14ac:dyDescent="0.4">
      <c r="AE279" s="160"/>
      <c r="AF279" s="160"/>
    </row>
    <row r="280" spans="31:32" x14ac:dyDescent="0.4">
      <c r="AE280" s="160"/>
      <c r="AF280" s="160"/>
    </row>
    <row r="281" spans="31:32" x14ac:dyDescent="0.4">
      <c r="AE281" s="160"/>
      <c r="AF281" s="160"/>
    </row>
    <row r="282" spans="31:32" x14ac:dyDescent="0.4">
      <c r="AE282" s="160"/>
      <c r="AF282" s="160"/>
    </row>
    <row r="283" spans="31:32" x14ac:dyDescent="0.4">
      <c r="AE283" s="160"/>
      <c r="AF283" s="160"/>
    </row>
    <row r="284" spans="31:32" x14ac:dyDescent="0.4">
      <c r="AE284" s="160"/>
      <c r="AF284" s="160"/>
    </row>
    <row r="285" spans="31:32" x14ac:dyDescent="0.4">
      <c r="AE285" s="160"/>
      <c r="AF285" s="160"/>
    </row>
    <row r="286" spans="31:32" x14ac:dyDescent="0.4">
      <c r="AE286" s="160"/>
      <c r="AF286" s="160"/>
    </row>
    <row r="287" spans="31:32" x14ac:dyDescent="0.4">
      <c r="AE287" s="160"/>
      <c r="AF287" s="160"/>
    </row>
    <row r="288" spans="31:32" x14ac:dyDescent="0.4">
      <c r="AE288" s="160"/>
      <c r="AF288" s="160"/>
    </row>
    <row r="289" spans="31:32" x14ac:dyDescent="0.4">
      <c r="AE289" s="160"/>
      <c r="AF289" s="160"/>
    </row>
    <row r="290" spans="31:32" x14ac:dyDescent="0.4">
      <c r="AE290" s="160"/>
      <c r="AF290" s="160"/>
    </row>
    <row r="291" spans="31:32" x14ac:dyDescent="0.4">
      <c r="AE291" s="160"/>
      <c r="AF291" s="160"/>
    </row>
    <row r="292" spans="31:32" x14ac:dyDescent="0.4">
      <c r="AE292" s="160"/>
      <c r="AF292" s="160"/>
    </row>
    <row r="293" spans="31:32" x14ac:dyDescent="0.4">
      <c r="AE293" s="160"/>
      <c r="AF293" s="160"/>
    </row>
    <row r="294" spans="31:32" x14ac:dyDescent="0.4">
      <c r="AE294" s="160"/>
      <c r="AF294" s="160"/>
    </row>
    <row r="295" spans="31:32" x14ac:dyDescent="0.4">
      <c r="AE295" s="160"/>
      <c r="AF295" s="160"/>
    </row>
    <row r="296" spans="31:32" x14ac:dyDescent="0.4">
      <c r="AE296" s="160"/>
      <c r="AF296" s="160"/>
    </row>
    <row r="297" spans="31:32" x14ac:dyDescent="0.4">
      <c r="AE297" s="160"/>
      <c r="AF297" s="160"/>
    </row>
    <row r="298" spans="31:32" x14ac:dyDescent="0.4">
      <c r="AE298" s="160"/>
      <c r="AF298" s="160"/>
    </row>
    <row r="299" spans="31:32" x14ac:dyDescent="0.4">
      <c r="AE299" s="160"/>
      <c r="AF299" s="160"/>
    </row>
    <row r="300" spans="31:32" x14ac:dyDescent="0.4">
      <c r="AE300" s="160"/>
      <c r="AF300" s="160"/>
    </row>
    <row r="301" spans="31:32" x14ac:dyDescent="0.4">
      <c r="AE301" s="160"/>
      <c r="AF301" s="160"/>
    </row>
    <row r="302" spans="31:32" x14ac:dyDescent="0.4">
      <c r="AE302" s="160"/>
      <c r="AF302" s="160"/>
    </row>
    <row r="303" spans="31:32" x14ac:dyDescent="0.4">
      <c r="AE303" s="160"/>
      <c r="AF303" s="160"/>
    </row>
    <row r="304" spans="31:32" x14ac:dyDescent="0.4">
      <c r="AE304" s="160"/>
      <c r="AF304" s="160"/>
    </row>
    <row r="305" spans="31:32" x14ac:dyDescent="0.4">
      <c r="AE305" s="160"/>
      <c r="AF305" s="160"/>
    </row>
    <row r="306" spans="31:32" x14ac:dyDescent="0.4">
      <c r="AE306" s="160"/>
      <c r="AF306" s="160"/>
    </row>
    <row r="307" spans="31:32" x14ac:dyDescent="0.4">
      <c r="AE307" s="160"/>
      <c r="AF307" s="160"/>
    </row>
    <row r="308" spans="31:32" x14ac:dyDescent="0.4">
      <c r="AE308" s="160"/>
      <c r="AF308" s="160"/>
    </row>
    <row r="309" spans="31:32" x14ac:dyDescent="0.4">
      <c r="AE309" s="160"/>
      <c r="AF309" s="160"/>
    </row>
    <row r="310" spans="31:32" x14ac:dyDescent="0.4">
      <c r="AE310" s="160"/>
      <c r="AF310" s="160"/>
    </row>
    <row r="311" spans="31:32" x14ac:dyDescent="0.4">
      <c r="AE311" s="160"/>
      <c r="AF311" s="160"/>
    </row>
    <row r="312" spans="31:32" x14ac:dyDescent="0.4">
      <c r="AE312" s="160"/>
      <c r="AF312" s="160"/>
    </row>
    <row r="313" spans="31:32" x14ac:dyDescent="0.4">
      <c r="AE313" s="160"/>
      <c r="AF313" s="160"/>
    </row>
    <row r="314" spans="31:32" x14ac:dyDescent="0.4">
      <c r="AE314" s="160"/>
      <c r="AF314" s="160"/>
    </row>
    <row r="315" spans="31:32" x14ac:dyDescent="0.4">
      <c r="AE315" s="160"/>
      <c r="AF315" s="160"/>
    </row>
    <row r="316" spans="31:32" x14ac:dyDescent="0.4">
      <c r="AE316" s="160"/>
      <c r="AF316" s="160"/>
    </row>
    <row r="317" spans="31:32" x14ac:dyDescent="0.4">
      <c r="AE317" s="160"/>
      <c r="AF317" s="160"/>
    </row>
    <row r="318" spans="31:32" x14ac:dyDescent="0.4">
      <c r="AE318" s="160"/>
      <c r="AF318" s="160"/>
    </row>
    <row r="319" spans="31:32" x14ac:dyDescent="0.4">
      <c r="AE319" s="160"/>
      <c r="AF319" s="160"/>
    </row>
    <row r="320" spans="31:32" x14ac:dyDescent="0.4">
      <c r="AE320" s="160"/>
      <c r="AF320" s="160"/>
    </row>
    <row r="321" spans="31:32" x14ac:dyDescent="0.4">
      <c r="AE321" s="160"/>
      <c r="AF321" s="160"/>
    </row>
    <row r="322" spans="31:32" x14ac:dyDescent="0.4">
      <c r="AE322" s="160"/>
      <c r="AF322" s="160"/>
    </row>
    <row r="323" spans="31:32" x14ac:dyDescent="0.4">
      <c r="AE323" s="160"/>
      <c r="AF323" s="160"/>
    </row>
  </sheetData>
  <mergeCells count="5">
    <mergeCell ref="AD1:AF1"/>
    <mergeCell ref="A2:G2"/>
    <mergeCell ref="H2:L2"/>
    <mergeCell ref="M2:T2"/>
    <mergeCell ref="V2:AB2"/>
  </mergeCells>
  <pageMargins left="0.7" right="0.7" top="0.75" bottom="0.75" header="0.3" footer="0.3"/>
  <pageSetup paperSize="9" orientation="portrait" r:id="rId1"/>
  <tableParts count="2">
    <tablePart r:id="rId2"/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F1EDF9-CAC9-4FE2-882F-088B175BE488}">
  <sheetPr codeName="Sheet5"/>
  <dimension ref="A1:AI323"/>
  <sheetViews>
    <sheetView topLeftCell="A2" zoomScale="40" zoomScaleNormal="40" workbookViewId="0">
      <selection activeCell="N7" sqref="N7"/>
    </sheetView>
  </sheetViews>
  <sheetFormatPr defaultColWidth="35.7109375" defaultRowHeight="30.75" x14ac:dyDescent="0.4"/>
  <cols>
    <col min="1" max="1" width="40.42578125" style="138" customWidth="1"/>
    <col min="2" max="2" width="35.7109375" style="138"/>
    <col min="3" max="5" width="35.7109375" style="138" customWidth="1"/>
    <col min="6" max="6" width="35.7109375" style="139"/>
    <col min="7" max="7" width="35.7109375" style="138" customWidth="1"/>
    <col min="8" max="8" width="35.7109375" style="138"/>
    <col min="9" max="10" width="35.7109375" style="138" customWidth="1"/>
    <col min="11" max="11" width="35.7109375" style="139"/>
    <col min="12" max="12" width="35.7109375" style="138" customWidth="1"/>
    <col min="13" max="13" width="42.5703125" style="138" customWidth="1"/>
    <col min="14" max="15" width="35.7109375" style="138" customWidth="1"/>
    <col min="16" max="16" width="35.7109375" style="138"/>
    <col min="17" max="17" width="35.7109375" style="138" customWidth="1"/>
    <col min="18" max="18" width="35.7109375" style="138"/>
    <col min="19" max="19" width="36.42578125" style="139" customWidth="1"/>
    <col min="20" max="20" width="35.7109375" style="138"/>
    <col min="21" max="21" width="35.7109375" style="138" customWidth="1"/>
    <col min="22" max="22" width="35.7109375" style="139"/>
    <col min="23" max="23" width="43.5703125" style="138" customWidth="1"/>
    <col min="24" max="24" width="35.7109375" style="157" customWidth="1"/>
    <col min="25" max="25" width="36.85546875" style="138" customWidth="1"/>
    <col min="26" max="26" width="35.7109375" style="157"/>
    <col min="27" max="30" width="35.7109375" style="138"/>
    <col min="31" max="32" width="35.7109375" style="157"/>
    <col min="33" max="16384" width="35.7109375" style="138"/>
  </cols>
  <sheetData>
    <row r="1" spans="1:35" s="1" customFormat="1" ht="31.5" hidden="1" thickBot="1" x14ac:dyDescent="0.25">
      <c r="F1" s="2"/>
      <c r="K1" s="2"/>
      <c r="S1" s="2"/>
      <c r="V1" s="49"/>
      <c r="W1" s="50"/>
      <c r="X1" s="50"/>
      <c r="Y1" s="50"/>
      <c r="Z1" s="50"/>
      <c r="AA1" s="50"/>
      <c r="AB1" s="50"/>
      <c r="AC1" s="137"/>
      <c r="AD1" s="288"/>
      <c r="AE1" s="288"/>
      <c r="AF1" s="288"/>
      <c r="AG1" s="137"/>
    </row>
    <row r="2" spans="1:35" s="1" customFormat="1" ht="31.5" thickBot="1" x14ac:dyDescent="0.25">
      <c r="A2" s="285" t="s">
        <v>0</v>
      </c>
      <c r="B2" s="286"/>
      <c r="C2" s="286"/>
      <c r="D2" s="286"/>
      <c r="E2" s="286"/>
      <c r="F2" s="286"/>
      <c r="G2" s="287"/>
      <c r="H2" s="295" t="s">
        <v>4</v>
      </c>
      <c r="I2" s="296"/>
      <c r="J2" s="296"/>
      <c r="K2" s="296"/>
      <c r="L2" s="297"/>
      <c r="M2" s="298" t="s">
        <v>14</v>
      </c>
      <c r="N2" s="299"/>
      <c r="O2" s="299"/>
      <c r="P2" s="299"/>
      <c r="Q2" s="299"/>
      <c r="R2" s="299"/>
      <c r="S2" s="299"/>
      <c r="T2" s="300"/>
      <c r="V2" s="290" t="s">
        <v>73</v>
      </c>
      <c r="W2" s="291"/>
      <c r="X2" s="292"/>
      <c r="Y2" s="292"/>
      <c r="Z2" s="293"/>
      <c r="AA2" s="293"/>
      <c r="AB2" s="294"/>
      <c r="AC2" s="138"/>
      <c r="AD2" s="139"/>
      <c r="AE2" s="139"/>
      <c r="AF2" s="139"/>
      <c r="AG2" s="138"/>
      <c r="AH2" s="50"/>
      <c r="AI2" s="50"/>
    </row>
    <row r="3" spans="1:35" s="1" customFormat="1" ht="80.099999999999994" customHeight="1" x14ac:dyDescent="0.2">
      <c r="A3" s="144" t="s">
        <v>86</v>
      </c>
      <c r="B3" s="145" t="s">
        <v>136</v>
      </c>
      <c r="C3" s="145" t="s">
        <v>87</v>
      </c>
      <c r="D3" s="145" t="s">
        <v>88</v>
      </c>
      <c r="E3" s="145" t="s">
        <v>89</v>
      </c>
      <c r="F3" s="145" t="s">
        <v>90</v>
      </c>
      <c r="G3" s="146" t="s">
        <v>3</v>
      </c>
      <c r="H3" s="147" t="s">
        <v>9</v>
      </c>
      <c r="I3" s="148" t="s">
        <v>10</v>
      </c>
      <c r="J3" s="148" t="s">
        <v>1</v>
      </c>
      <c r="K3" s="148" t="s">
        <v>2</v>
      </c>
      <c r="L3" s="149" t="s">
        <v>3</v>
      </c>
      <c r="M3" s="7" t="s">
        <v>9</v>
      </c>
      <c r="N3" s="8" t="s">
        <v>10</v>
      </c>
      <c r="O3" s="9" t="s">
        <v>11</v>
      </c>
      <c r="P3" s="9" t="s">
        <v>12</v>
      </c>
      <c r="Q3" s="8" t="s">
        <v>3</v>
      </c>
      <c r="R3" s="9" t="s">
        <v>100</v>
      </c>
      <c r="S3" s="9" t="s">
        <v>95</v>
      </c>
      <c r="T3" s="10" t="s">
        <v>13</v>
      </c>
      <c r="V3" s="40" t="s">
        <v>60</v>
      </c>
      <c r="W3" s="143" t="s">
        <v>91</v>
      </c>
      <c r="X3" s="52" t="s">
        <v>92</v>
      </c>
      <c r="Y3" s="53" t="s">
        <v>93</v>
      </c>
      <c r="Z3" s="150" t="s">
        <v>94</v>
      </c>
      <c r="AA3" s="151" t="s">
        <v>117</v>
      </c>
      <c r="AB3" s="152" t="s">
        <v>118</v>
      </c>
      <c r="AC3" s="138"/>
      <c r="AD3" s="138"/>
      <c r="AE3" s="138"/>
      <c r="AF3" s="138"/>
      <c r="AG3" s="138"/>
      <c r="AH3" s="50"/>
      <c r="AI3" s="50"/>
    </row>
    <row r="4" spans="1:35" s="1" customFormat="1" x14ac:dyDescent="0.2">
      <c r="A4" s="11" t="s">
        <v>5</v>
      </c>
      <c r="B4" s="12" t="s">
        <v>21</v>
      </c>
      <c r="C4" s="12" t="s">
        <v>23</v>
      </c>
      <c r="D4" s="12" t="s">
        <v>15</v>
      </c>
      <c r="E4" s="12">
        <v>6283205</v>
      </c>
      <c r="F4" s="13">
        <v>2760</v>
      </c>
      <c r="G4" s="14">
        <v>45485</v>
      </c>
      <c r="H4" s="29" t="s">
        <v>7</v>
      </c>
      <c r="I4" s="16" t="s">
        <v>16</v>
      </c>
      <c r="J4" s="16">
        <v>2684748</v>
      </c>
      <c r="K4" s="17">
        <v>2760</v>
      </c>
      <c r="L4" s="18">
        <v>45489</v>
      </c>
      <c r="M4" s="19" t="s">
        <v>17</v>
      </c>
      <c r="N4" s="20" t="s">
        <v>18</v>
      </c>
      <c r="O4" s="20"/>
      <c r="P4" s="20">
        <v>9</v>
      </c>
      <c r="Q4" s="21">
        <v>45489</v>
      </c>
      <c r="R4" s="20">
        <v>310</v>
      </c>
      <c r="S4" s="22">
        <v>2740</v>
      </c>
      <c r="T4" s="23">
        <v>10</v>
      </c>
      <c r="V4" s="37">
        <f t="shared" ref="V4:V16" si="0">IF(RIGHT(C4, 1)="1",
    IF(O4&lt;&gt;"", 500*O4 + T4 + IF(R4&lt;=110, R4, 0), IF(P4&lt;&gt;"", 305*P4 + T4 + IF(R4&lt;=110, R4, 0), "")),
    IF(O4&lt;&gt;"", 500*O4 + T4, IF(P4&lt;&gt;"", 305*P4 + T4, ""))
)</f>
        <v>2755</v>
      </c>
      <c r="W4" s="24">
        <f t="shared" ref="W4:W16" si="1">IF(OR(ISBLANK(V4), ISBLANK(S4), NOT(ISNUMBER(V4)), NOT(ISNUMBER(S4))), "", V4-S4)</f>
        <v>15</v>
      </c>
      <c r="X4" s="27">
        <f t="shared" ref="X4:X16" si="2">IF(OR(ISBLANK(V4), ISBLANK(K4), NOT(ISNUMBER(V4)), NOT(ISNUMBER(K4))), "", V4-K4)</f>
        <v>-5</v>
      </c>
      <c r="Y4" s="200">
        <f t="shared" ref="Y4:Y16" si="3">IF(OR(ISBLANK(V4), ISBLANK(F4), NOT(ISNUMBER(V4)), NOT(ISNUMBER(F4))), "", V4-F4)</f>
        <v>-5</v>
      </c>
      <c r="Z4" s="38">
        <f t="shared" ref="Z4:Z16" si="4">IF(OR(ISBLANK(F4), ISBLANK(K4)), "",K4-F4)</f>
        <v>0</v>
      </c>
      <c r="AA4" s="39">
        <f t="shared" ref="AA4:AA16" si="5">IF(OR(ISBLANK(K4), ISBLANK(S4)), "",S4-K4)</f>
        <v>-20</v>
      </c>
      <c r="AB4" s="58">
        <f t="shared" ref="AB4:AB16" si="6">IF(OR(ISBLANK(F4), ISBLANK(S4)), "",S4-F4)</f>
        <v>-20</v>
      </c>
      <c r="AC4" s="209"/>
      <c r="AD4" s="213"/>
      <c r="AE4" s="213"/>
      <c r="AF4" s="213"/>
      <c r="AG4" s="209"/>
      <c r="AH4" s="50"/>
      <c r="AI4" s="50"/>
    </row>
    <row r="5" spans="1:35" s="1" customFormat="1" x14ac:dyDescent="0.2">
      <c r="A5" s="11" t="s">
        <v>5</v>
      </c>
      <c r="B5" s="12" t="s">
        <v>20</v>
      </c>
      <c r="C5" s="12" t="s">
        <v>22</v>
      </c>
      <c r="D5" s="12" t="s">
        <v>62</v>
      </c>
      <c r="E5" s="12">
        <v>6282834</v>
      </c>
      <c r="F5" s="13">
        <v>3180</v>
      </c>
      <c r="G5" s="14">
        <v>45485</v>
      </c>
      <c r="H5" s="15" t="s">
        <v>7</v>
      </c>
      <c r="I5" s="16" t="s">
        <v>16</v>
      </c>
      <c r="J5" s="16">
        <v>6283991</v>
      </c>
      <c r="K5" s="17">
        <v>3145</v>
      </c>
      <c r="L5" s="18">
        <v>45486</v>
      </c>
      <c r="M5" s="19" t="s">
        <v>17</v>
      </c>
      <c r="N5" s="20" t="s">
        <v>18</v>
      </c>
      <c r="O5" s="20"/>
      <c r="P5" s="20">
        <v>10</v>
      </c>
      <c r="Q5" s="21">
        <v>45486</v>
      </c>
      <c r="R5" s="20">
        <v>310</v>
      </c>
      <c r="S5" s="22">
        <v>3135</v>
      </c>
      <c r="T5" s="23">
        <v>80</v>
      </c>
      <c r="V5" s="37">
        <f t="shared" si="0"/>
        <v>3130</v>
      </c>
      <c r="W5" s="28">
        <f t="shared" si="1"/>
        <v>-5</v>
      </c>
      <c r="X5" s="45">
        <f t="shared" si="2"/>
        <v>-15</v>
      </c>
      <c r="Y5" s="199">
        <f t="shared" si="3"/>
        <v>-50</v>
      </c>
      <c r="Z5" s="38">
        <f t="shared" si="4"/>
        <v>-35</v>
      </c>
      <c r="AA5" s="39">
        <f t="shared" si="5"/>
        <v>-10</v>
      </c>
      <c r="AB5" s="58">
        <f t="shared" si="6"/>
        <v>-45</v>
      </c>
      <c r="AC5" s="50"/>
      <c r="AD5" s="50"/>
      <c r="AE5" s="50"/>
      <c r="AF5" s="50"/>
      <c r="AG5" s="50"/>
      <c r="AH5" s="50"/>
      <c r="AI5" s="50"/>
    </row>
    <row r="6" spans="1:35" s="1" customFormat="1" x14ac:dyDescent="0.2">
      <c r="A6" s="11" t="s">
        <v>28</v>
      </c>
      <c r="B6" s="12" t="s">
        <v>24</v>
      </c>
      <c r="C6" s="12" t="s">
        <v>57</v>
      </c>
      <c r="D6" s="12" t="s">
        <v>6</v>
      </c>
      <c r="E6" s="12">
        <v>6283269</v>
      </c>
      <c r="F6" s="13">
        <v>5900</v>
      </c>
      <c r="G6" s="14">
        <v>45485</v>
      </c>
      <c r="H6" s="15" t="s">
        <v>31</v>
      </c>
      <c r="I6" s="16" t="s">
        <v>27</v>
      </c>
      <c r="J6" s="16">
        <v>6283903</v>
      </c>
      <c r="K6" s="17">
        <v>5930</v>
      </c>
      <c r="L6" s="18">
        <v>45486</v>
      </c>
      <c r="M6" s="19" t="s">
        <v>44</v>
      </c>
      <c r="N6" s="20" t="s">
        <v>18</v>
      </c>
      <c r="O6" s="20"/>
      <c r="P6" s="20">
        <v>19</v>
      </c>
      <c r="Q6" s="21">
        <v>45489</v>
      </c>
      <c r="R6" s="20">
        <v>310</v>
      </c>
      <c r="S6" s="22">
        <v>5886</v>
      </c>
      <c r="T6" s="23">
        <v>86</v>
      </c>
      <c r="V6" s="37">
        <f t="shared" si="0"/>
        <v>5881</v>
      </c>
      <c r="W6" s="28">
        <f t="shared" si="1"/>
        <v>-5</v>
      </c>
      <c r="X6" s="26">
        <f t="shared" si="2"/>
        <v>-49</v>
      </c>
      <c r="Y6" s="200">
        <f t="shared" si="3"/>
        <v>-19</v>
      </c>
      <c r="Z6" s="38">
        <f t="shared" si="4"/>
        <v>30</v>
      </c>
      <c r="AA6" s="39">
        <f t="shared" si="5"/>
        <v>-44</v>
      </c>
      <c r="AB6" s="58">
        <f t="shared" si="6"/>
        <v>-14</v>
      </c>
      <c r="AC6" s="50"/>
      <c r="AD6" s="50"/>
      <c r="AE6" s="50"/>
      <c r="AF6" s="50"/>
      <c r="AG6" s="50"/>
      <c r="AH6" s="50"/>
      <c r="AI6" s="50"/>
    </row>
    <row r="7" spans="1:35" s="1" customFormat="1" x14ac:dyDescent="0.2">
      <c r="A7" s="11" t="s">
        <v>5</v>
      </c>
      <c r="B7" s="12" t="s">
        <v>19</v>
      </c>
      <c r="C7" s="12" t="s">
        <v>54</v>
      </c>
      <c r="D7" s="12" t="s">
        <v>15</v>
      </c>
      <c r="E7" s="12">
        <v>6283121</v>
      </c>
      <c r="F7" s="13">
        <v>6830</v>
      </c>
      <c r="G7" s="14">
        <v>45485</v>
      </c>
      <c r="H7" s="15" t="s">
        <v>7</v>
      </c>
      <c r="I7" s="16" t="s">
        <v>27</v>
      </c>
      <c r="J7" s="16">
        <v>6285512</v>
      </c>
      <c r="K7" s="17">
        <v>6830</v>
      </c>
      <c r="L7" s="18">
        <v>45490</v>
      </c>
      <c r="M7" s="19" t="s">
        <v>17</v>
      </c>
      <c r="N7" s="20" t="s">
        <v>25</v>
      </c>
      <c r="O7" s="20"/>
      <c r="P7" s="20">
        <v>22</v>
      </c>
      <c r="Q7" s="21">
        <v>45490</v>
      </c>
      <c r="R7" s="20">
        <v>310</v>
      </c>
      <c r="S7" s="22">
        <v>6845</v>
      </c>
      <c r="T7" s="23">
        <v>130</v>
      </c>
      <c r="V7" s="37">
        <f t="shared" si="0"/>
        <v>6840</v>
      </c>
      <c r="W7" s="28">
        <f t="shared" si="1"/>
        <v>-5</v>
      </c>
      <c r="X7" s="26">
        <f t="shared" si="2"/>
        <v>10</v>
      </c>
      <c r="Y7" s="200">
        <f t="shared" si="3"/>
        <v>10</v>
      </c>
      <c r="Z7" s="38">
        <f t="shared" si="4"/>
        <v>0</v>
      </c>
      <c r="AA7" s="39">
        <f t="shared" si="5"/>
        <v>15</v>
      </c>
      <c r="AB7" s="58">
        <f t="shared" si="6"/>
        <v>15</v>
      </c>
      <c r="AC7" s="50"/>
      <c r="AD7" s="50"/>
      <c r="AE7" s="50"/>
      <c r="AF7" s="50"/>
      <c r="AG7" s="50"/>
      <c r="AH7" s="50"/>
      <c r="AI7" s="50"/>
    </row>
    <row r="8" spans="1:35" s="1" customFormat="1" x14ac:dyDescent="0.2">
      <c r="A8" s="11" t="s">
        <v>5</v>
      </c>
      <c r="B8" s="12" t="s">
        <v>21</v>
      </c>
      <c r="C8" s="12" t="s">
        <v>55</v>
      </c>
      <c r="D8" s="12" t="s">
        <v>30</v>
      </c>
      <c r="E8" s="12">
        <v>6282439</v>
      </c>
      <c r="F8" s="13">
        <v>3100</v>
      </c>
      <c r="G8" s="14">
        <v>45485</v>
      </c>
      <c r="H8" s="15" t="s">
        <v>7</v>
      </c>
      <c r="I8" s="16" t="s">
        <v>27</v>
      </c>
      <c r="J8" s="16">
        <v>6284536</v>
      </c>
      <c r="K8" s="17">
        <v>3100</v>
      </c>
      <c r="L8" s="18">
        <v>45489</v>
      </c>
      <c r="M8" s="19" t="s">
        <v>17</v>
      </c>
      <c r="N8" s="20" t="s">
        <v>18</v>
      </c>
      <c r="O8" s="20"/>
      <c r="P8" s="20">
        <v>10</v>
      </c>
      <c r="Q8" s="21">
        <v>45489</v>
      </c>
      <c r="R8" s="20">
        <v>310</v>
      </c>
      <c r="S8" s="22">
        <v>3100</v>
      </c>
      <c r="T8" s="23">
        <v>40</v>
      </c>
      <c r="V8" s="37">
        <f t="shared" si="0"/>
        <v>3090</v>
      </c>
      <c r="W8" s="24">
        <f t="shared" si="1"/>
        <v>-10</v>
      </c>
      <c r="X8" s="45">
        <f t="shared" si="2"/>
        <v>-10</v>
      </c>
      <c r="Y8" s="200">
        <f t="shared" si="3"/>
        <v>-10</v>
      </c>
      <c r="Z8" s="38">
        <f t="shared" si="4"/>
        <v>0</v>
      </c>
      <c r="AA8" s="39">
        <f t="shared" si="5"/>
        <v>0</v>
      </c>
      <c r="AB8" s="58">
        <f t="shared" si="6"/>
        <v>0</v>
      </c>
      <c r="AC8" s="50"/>
      <c r="AD8" s="50"/>
      <c r="AE8" s="50"/>
      <c r="AF8" s="50"/>
      <c r="AG8" s="50"/>
      <c r="AH8" s="50"/>
      <c r="AI8" s="50"/>
    </row>
    <row r="9" spans="1:35" s="1" customFormat="1" x14ac:dyDescent="0.2">
      <c r="A9" s="11" t="s">
        <v>5</v>
      </c>
      <c r="B9" s="12" t="s">
        <v>19</v>
      </c>
      <c r="C9" s="12" t="s">
        <v>82</v>
      </c>
      <c r="D9" s="12" t="s">
        <v>6</v>
      </c>
      <c r="E9" s="12">
        <v>6287157</v>
      </c>
      <c r="F9" s="13">
        <v>2300</v>
      </c>
      <c r="G9" s="14">
        <v>45491</v>
      </c>
      <c r="H9" s="15" t="s">
        <v>7</v>
      </c>
      <c r="I9" s="16" t="s">
        <v>16</v>
      </c>
      <c r="J9" s="16">
        <v>6287295</v>
      </c>
      <c r="K9" s="17">
        <v>2300</v>
      </c>
      <c r="L9" s="18">
        <v>45491</v>
      </c>
      <c r="M9" s="19" t="s">
        <v>44</v>
      </c>
      <c r="N9" s="20" t="s">
        <v>74</v>
      </c>
      <c r="O9" s="20">
        <v>4</v>
      </c>
      <c r="P9" s="20"/>
      <c r="Q9" s="21">
        <v>45491</v>
      </c>
      <c r="R9" s="20">
        <v>110</v>
      </c>
      <c r="S9" s="22">
        <v>2000</v>
      </c>
      <c r="T9" s="23">
        <v>150</v>
      </c>
      <c r="V9" s="37">
        <f t="shared" si="0"/>
        <v>2260</v>
      </c>
      <c r="W9" s="24">
        <f t="shared" si="1"/>
        <v>260</v>
      </c>
      <c r="X9" s="27">
        <f t="shared" si="2"/>
        <v>-40</v>
      </c>
      <c r="Y9" s="200">
        <f t="shared" si="3"/>
        <v>-40</v>
      </c>
      <c r="Z9" s="38">
        <f t="shared" si="4"/>
        <v>0</v>
      </c>
      <c r="AA9" s="39">
        <f t="shared" si="5"/>
        <v>-300</v>
      </c>
      <c r="AB9" s="58">
        <f t="shared" si="6"/>
        <v>-300</v>
      </c>
    </row>
    <row r="10" spans="1:35" s="1" customFormat="1" x14ac:dyDescent="0.2">
      <c r="A10" s="11" t="s">
        <v>5</v>
      </c>
      <c r="B10" s="12" t="s">
        <v>24</v>
      </c>
      <c r="C10" s="12" t="s">
        <v>111</v>
      </c>
      <c r="D10" s="12" t="s">
        <v>6</v>
      </c>
      <c r="E10" s="12">
        <v>6287310</v>
      </c>
      <c r="F10" s="13">
        <v>4250</v>
      </c>
      <c r="G10" s="14">
        <v>45491</v>
      </c>
      <c r="H10" s="15" t="s">
        <v>7</v>
      </c>
      <c r="I10" s="16" t="s">
        <v>16</v>
      </c>
      <c r="J10" s="16">
        <v>6288077</v>
      </c>
      <c r="K10" s="17">
        <v>4250</v>
      </c>
      <c r="L10" s="18">
        <v>45492</v>
      </c>
      <c r="M10" s="19"/>
      <c r="N10" s="20"/>
      <c r="O10" s="20"/>
      <c r="P10" s="20">
        <v>13</v>
      </c>
      <c r="Q10" s="21">
        <v>45492</v>
      </c>
      <c r="R10" s="20">
        <v>55</v>
      </c>
      <c r="S10" s="22">
        <v>4241</v>
      </c>
      <c r="T10" s="23">
        <v>217</v>
      </c>
      <c r="V10" s="37">
        <f t="shared" si="0"/>
        <v>4237</v>
      </c>
      <c r="W10" s="28">
        <f t="shared" si="1"/>
        <v>-4</v>
      </c>
      <c r="X10" s="26">
        <f t="shared" si="2"/>
        <v>-13</v>
      </c>
      <c r="Y10" s="200">
        <f t="shared" si="3"/>
        <v>-13</v>
      </c>
      <c r="Z10" s="38">
        <f t="shared" si="4"/>
        <v>0</v>
      </c>
      <c r="AA10" s="39">
        <f t="shared" si="5"/>
        <v>-9</v>
      </c>
      <c r="AB10" s="58">
        <f t="shared" si="6"/>
        <v>-9</v>
      </c>
    </row>
    <row r="11" spans="1:35" s="1" customFormat="1" x14ac:dyDescent="0.2">
      <c r="A11" s="11" t="s">
        <v>5</v>
      </c>
      <c r="B11" s="12" t="s">
        <v>19</v>
      </c>
      <c r="C11" s="12" t="s">
        <v>155</v>
      </c>
      <c r="D11" s="12" t="s">
        <v>127</v>
      </c>
      <c r="E11" s="12">
        <v>6291912</v>
      </c>
      <c r="F11" s="13">
        <v>5200</v>
      </c>
      <c r="G11" s="14">
        <v>45497</v>
      </c>
      <c r="H11" s="15" t="s">
        <v>31</v>
      </c>
      <c r="I11" s="16" t="s">
        <v>16</v>
      </c>
      <c r="J11" s="16">
        <v>6292107</v>
      </c>
      <c r="K11" s="17">
        <v>5200</v>
      </c>
      <c r="L11" s="18">
        <v>45497</v>
      </c>
      <c r="M11" s="19" t="s">
        <v>35</v>
      </c>
      <c r="N11" s="20" t="s">
        <v>79</v>
      </c>
      <c r="O11" s="20">
        <v>10</v>
      </c>
      <c r="P11" s="20"/>
      <c r="Q11" s="21">
        <v>45497</v>
      </c>
      <c r="R11" s="20">
        <v>55</v>
      </c>
      <c r="S11" s="22">
        <v>5163</v>
      </c>
      <c r="T11" s="23">
        <v>110</v>
      </c>
      <c r="V11" s="37">
        <f t="shared" si="0"/>
        <v>5165</v>
      </c>
      <c r="W11" s="28">
        <f t="shared" si="1"/>
        <v>2</v>
      </c>
      <c r="X11" s="26">
        <f t="shared" si="2"/>
        <v>-35</v>
      </c>
      <c r="Y11" s="200">
        <f t="shared" si="3"/>
        <v>-35</v>
      </c>
      <c r="Z11" s="38">
        <f t="shared" si="4"/>
        <v>0</v>
      </c>
      <c r="AA11" s="39">
        <f t="shared" si="5"/>
        <v>-37</v>
      </c>
      <c r="AB11" s="58">
        <f t="shared" si="6"/>
        <v>-37</v>
      </c>
    </row>
    <row r="12" spans="1:35" s="1" customFormat="1" x14ac:dyDescent="0.2">
      <c r="A12" s="11" t="s">
        <v>5</v>
      </c>
      <c r="B12" s="12" t="s">
        <v>19</v>
      </c>
      <c r="C12" s="12" t="s">
        <v>169</v>
      </c>
      <c r="D12" s="12" t="s">
        <v>127</v>
      </c>
      <c r="E12" s="12">
        <v>6291929</v>
      </c>
      <c r="F12" s="13">
        <v>2580</v>
      </c>
      <c r="G12" s="14">
        <v>45497</v>
      </c>
      <c r="H12" s="15" t="s">
        <v>7</v>
      </c>
      <c r="I12" s="16" t="s">
        <v>63</v>
      </c>
      <c r="J12" s="16">
        <v>6292690</v>
      </c>
      <c r="K12" s="17">
        <v>2570</v>
      </c>
      <c r="L12" s="18">
        <v>45497</v>
      </c>
      <c r="M12" s="19" t="s">
        <v>39</v>
      </c>
      <c r="N12" s="20" t="s">
        <v>18</v>
      </c>
      <c r="O12" s="20">
        <v>5</v>
      </c>
      <c r="P12" s="20"/>
      <c r="Q12" s="21">
        <v>45498</v>
      </c>
      <c r="R12" s="20">
        <v>502</v>
      </c>
      <c r="S12" s="22">
        <v>2563</v>
      </c>
      <c r="T12" s="23">
        <v>61</v>
      </c>
      <c r="V12" s="37">
        <f t="shared" si="0"/>
        <v>2561</v>
      </c>
      <c r="W12" s="28">
        <f t="shared" si="1"/>
        <v>-2</v>
      </c>
      <c r="X12" s="45">
        <f t="shared" si="2"/>
        <v>-9</v>
      </c>
      <c r="Y12" s="199">
        <f t="shared" si="3"/>
        <v>-19</v>
      </c>
      <c r="Z12" s="38">
        <f t="shared" si="4"/>
        <v>-10</v>
      </c>
      <c r="AA12" s="39">
        <f t="shared" si="5"/>
        <v>-7</v>
      </c>
      <c r="AB12" s="58">
        <f t="shared" si="6"/>
        <v>-17</v>
      </c>
    </row>
    <row r="13" spans="1:35" s="1" customFormat="1" x14ac:dyDescent="0.2">
      <c r="A13" s="11" t="s">
        <v>5</v>
      </c>
      <c r="B13" s="12" t="s">
        <v>19</v>
      </c>
      <c r="C13" s="12" t="s">
        <v>185</v>
      </c>
      <c r="D13" s="12" t="s">
        <v>62</v>
      </c>
      <c r="E13" s="12">
        <v>6294987</v>
      </c>
      <c r="F13" s="13">
        <v>3650</v>
      </c>
      <c r="G13" s="14">
        <v>45499</v>
      </c>
      <c r="H13" s="15" t="s">
        <v>7</v>
      </c>
      <c r="I13" s="16" t="s">
        <v>8</v>
      </c>
      <c r="J13" s="16">
        <v>6295647</v>
      </c>
      <c r="K13" s="17">
        <v>3645</v>
      </c>
      <c r="L13" s="18">
        <v>45500</v>
      </c>
      <c r="M13" s="19" t="s">
        <v>35</v>
      </c>
      <c r="N13" s="20" t="s">
        <v>115</v>
      </c>
      <c r="O13" s="20">
        <v>4</v>
      </c>
      <c r="P13" s="20"/>
      <c r="Q13" s="21">
        <v>45500</v>
      </c>
      <c r="R13" s="20">
        <v>500</v>
      </c>
      <c r="S13" s="22">
        <v>2988</v>
      </c>
      <c r="T13" s="23">
        <v>36</v>
      </c>
      <c r="V13" s="37">
        <f t="shared" si="0"/>
        <v>2036</v>
      </c>
      <c r="W13" s="28">
        <f t="shared" si="1"/>
        <v>-952</v>
      </c>
      <c r="X13" s="45">
        <f t="shared" si="2"/>
        <v>-1609</v>
      </c>
      <c r="Y13" s="199">
        <f t="shared" si="3"/>
        <v>-1614</v>
      </c>
      <c r="Z13" s="38">
        <f t="shared" si="4"/>
        <v>-5</v>
      </c>
      <c r="AA13" s="39">
        <f t="shared" si="5"/>
        <v>-657</v>
      </c>
      <c r="AB13" s="58">
        <f t="shared" si="6"/>
        <v>-662</v>
      </c>
    </row>
    <row r="14" spans="1:35" s="1" customFormat="1" x14ac:dyDescent="0.2">
      <c r="A14" s="11" t="s">
        <v>5</v>
      </c>
      <c r="B14" s="12" t="s">
        <v>19</v>
      </c>
      <c r="C14" s="12" t="s">
        <v>186</v>
      </c>
      <c r="D14" s="12" t="s">
        <v>62</v>
      </c>
      <c r="E14" s="12">
        <v>6294932</v>
      </c>
      <c r="F14" s="13">
        <v>1820</v>
      </c>
      <c r="G14" s="14">
        <v>45499</v>
      </c>
      <c r="H14" s="15" t="s">
        <v>7</v>
      </c>
      <c r="I14" s="16" t="s">
        <v>27</v>
      </c>
      <c r="J14" s="16">
        <v>6295010</v>
      </c>
      <c r="K14" s="17">
        <v>1830</v>
      </c>
      <c r="L14" s="18">
        <v>45499</v>
      </c>
      <c r="M14" s="19" t="s">
        <v>39</v>
      </c>
      <c r="N14" s="20" t="s">
        <v>25</v>
      </c>
      <c r="O14" s="20">
        <v>3</v>
      </c>
      <c r="P14" s="20"/>
      <c r="Q14" s="21">
        <v>45499</v>
      </c>
      <c r="R14" s="20">
        <v>500</v>
      </c>
      <c r="S14" s="22">
        <v>1800</v>
      </c>
      <c r="T14" s="23">
        <v>300</v>
      </c>
      <c r="V14" s="37">
        <f t="shared" si="0"/>
        <v>1800</v>
      </c>
      <c r="W14" s="28">
        <f t="shared" si="1"/>
        <v>0</v>
      </c>
      <c r="X14" s="26">
        <f t="shared" si="2"/>
        <v>-30</v>
      </c>
      <c r="Y14" s="200">
        <f t="shared" si="3"/>
        <v>-20</v>
      </c>
      <c r="Z14" s="38">
        <f t="shared" si="4"/>
        <v>10</v>
      </c>
      <c r="AA14" s="39">
        <f t="shared" si="5"/>
        <v>-30</v>
      </c>
      <c r="AB14" s="58">
        <f t="shared" si="6"/>
        <v>-20</v>
      </c>
    </row>
    <row r="15" spans="1:35" s="1" customFormat="1" x14ac:dyDescent="0.2">
      <c r="A15" s="11" t="s">
        <v>5</v>
      </c>
      <c r="B15" s="12" t="s">
        <v>19</v>
      </c>
      <c r="C15" s="12" t="s">
        <v>188</v>
      </c>
      <c r="D15" s="12" t="s">
        <v>62</v>
      </c>
      <c r="E15" s="12">
        <v>6294989</v>
      </c>
      <c r="F15" s="13">
        <v>1900</v>
      </c>
      <c r="G15" s="14">
        <v>45499</v>
      </c>
      <c r="H15" s="15" t="s">
        <v>7</v>
      </c>
      <c r="I15" s="16" t="s">
        <v>8</v>
      </c>
      <c r="J15" s="16">
        <v>6295873</v>
      </c>
      <c r="K15" s="17">
        <v>1905</v>
      </c>
      <c r="L15" s="18">
        <v>45500</v>
      </c>
      <c r="M15" s="19" t="s">
        <v>39</v>
      </c>
      <c r="N15" s="20" t="s">
        <v>25</v>
      </c>
      <c r="O15" s="20">
        <v>3</v>
      </c>
      <c r="P15" s="20"/>
      <c r="Q15" s="21">
        <v>45500</v>
      </c>
      <c r="R15" s="20">
        <v>500</v>
      </c>
      <c r="S15" s="22">
        <v>1908</v>
      </c>
      <c r="T15" s="23">
        <v>385</v>
      </c>
      <c r="V15" s="37">
        <f t="shared" si="0"/>
        <v>1885</v>
      </c>
      <c r="W15" s="24">
        <f t="shared" si="1"/>
        <v>-23</v>
      </c>
      <c r="X15" s="45">
        <f t="shared" si="2"/>
        <v>-20</v>
      </c>
      <c r="Y15" s="25">
        <f t="shared" si="3"/>
        <v>-15</v>
      </c>
      <c r="Z15" s="38">
        <f t="shared" si="4"/>
        <v>5</v>
      </c>
      <c r="AA15" s="39">
        <f t="shared" si="5"/>
        <v>3</v>
      </c>
      <c r="AB15" s="58">
        <f t="shared" si="6"/>
        <v>8</v>
      </c>
    </row>
    <row r="16" spans="1:35" s="1" customFormat="1" x14ac:dyDescent="0.2">
      <c r="A16" s="11" t="s">
        <v>5</v>
      </c>
      <c r="B16" s="12" t="s">
        <v>19</v>
      </c>
      <c r="C16" s="12" t="s">
        <v>198</v>
      </c>
      <c r="D16" s="12" t="s">
        <v>62</v>
      </c>
      <c r="E16" s="12">
        <v>6296127</v>
      </c>
      <c r="F16" s="13">
        <v>1800</v>
      </c>
      <c r="G16" s="14">
        <v>45499</v>
      </c>
      <c r="H16" s="15" t="s">
        <v>7</v>
      </c>
      <c r="I16" s="16" t="s">
        <v>66</v>
      </c>
      <c r="J16" s="16">
        <v>6296566</v>
      </c>
      <c r="K16" s="17">
        <v>1775</v>
      </c>
      <c r="L16" s="18">
        <v>45502</v>
      </c>
      <c r="M16" s="19" t="s">
        <v>35</v>
      </c>
      <c r="N16" s="20" t="s">
        <v>115</v>
      </c>
      <c r="O16" s="20">
        <v>3</v>
      </c>
      <c r="P16" s="20"/>
      <c r="Q16" s="21">
        <v>45502</v>
      </c>
      <c r="R16" s="20">
        <v>500</v>
      </c>
      <c r="S16" s="22">
        <v>1760</v>
      </c>
      <c r="T16" s="23">
        <v>250</v>
      </c>
      <c r="V16" s="37">
        <f t="shared" si="0"/>
        <v>1750</v>
      </c>
      <c r="W16" s="28">
        <f t="shared" si="1"/>
        <v>-10</v>
      </c>
      <c r="X16" s="45">
        <f t="shared" si="2"/>
        <v>-25</v>
      </c>
      <c r="Y16" s="199">
        <f t="shared" si="3"/>
        <v>-50</v>
      </c>
      <c r="Z16" s="38">
        <f t="shared" si="4"/>
        <v>-25</v>
      </c>
      <c r="AA16" s="39">
        <f t="shared" si="5"/>
        <v>-15</v>
      </c>
      <c r="AB16" s="58">
        <f t="shared" si="6"/>
        <v>-40</v>
      </c>
    </row>
    <row r="17" spans="7:32" x14ac:dyDescent="0.2">
      <c r="G17" s="153"/>
      <c r="L17" s="153"/>
      <c r="Q17" s="153"/>
      <c r="X17" s="139"/>
      <c r="Y17" s="154"/>
      <c r="Z17" s="138"/>
      <c r="AE17" s="138"/>
      <c r="AF17" s="138"/>
    </row>
    <row r="18" spans="7:32" x14ac:dyDescent="0.2">
      <c r="G18" s="153"/>
      <c r="L18" s="153"/>
      <c r="Q18" s="153"/>
      <c r="W18" s="139"/>
      <c r="X18" s="138"/>
      <c r="Y18" s="154"/>
      <c r="Z18" s="138"/>
      <c r="AE18" s="138"/>
      <c r="AF18" s="138"/>
    </row>
    <row r="19" spans="7:32" x14ac:dyDescent="0.2">
      <c r="G19" s="153"/>
      <c r="L19" s="153"/>
      <c r="Q19" s="153"/>
      <c r="W19" s="139"/>
      <c r="X19" s="138"/>
      <c r="Y19" s="154"/>
      <c r="Z19" s="138"/>
      <c r="AE19" s="138"/>
      <c r="AF19" s="138"/>
    </row>
    <row r="20" spans="7:32" x14ac:dyDescent="0.2">
      <c r="G20" s="153"/>
      <c r="L20" s="153"/>
      <c r="Q20" s="153"/>
      <c r="W20" s="139"/>
      <c r="X20" s="138"/>
      <c r="Y20" s="154"/>
      <c r="Z20" s="138"/>
      <c r="AE20" s="138"/>
      <c r="AF20" s="138"/>
    </row>
    <row r="21" spans="7:32" x14ac:dyDescent="0.2">
      <c r="G21" s="153"/>
      <c r="L21" s="153"/>
      <c r="Q21" s="153"/>
      <c r="X21" s="139"/>
      <c r="Y21" s="154"/>
      <c r="Z21" s="138"/>
      <c r="AE21" s="138"/>
      <c r="AF21" s="138"/>
    </row>
    <row r="22" spans="7:32" x14ac:dyDescent="0.2">
      <c r="G22" s="153"/>
      <c r="L22" s="153"/>
      <c r="Q22" s="153"/>
      <c r="W22" s="139"/>
      <c r="X22" s="139"/>
      <c r="Y22" s="155"/>
      <c r="Z22" s="138"/>
      <c r="AE22" s="138"/>
      <c r="AF22" s="138"/>
    </row>
    <row r="23" spans="7:32" x14ac:dyDescent="0.2">
      <c r="G23" s="153"/>
      <c r="L23" s="153"/>
      <c r="Q23" s="153"/>
      <c r="W23" s="139"/>
      <c r="X23" s="138"/>
      <c r="Y23" s="154"/>
      <c r="Z23" s="138"/>
      <c r="AE23" s="138"/>
      <c r="AF23" s="138"/>
    </row>
    <row r="24" spans="7:32" x14ac:dyDescent="0.2">
      <c r="G24" s="153"/>
      <c r="L24" s="153"/>
      <c r="Q24" s="153"/>
      <c r="W24" s="139"/>
      <c r="X24" s="139"/>
      <c r="Y24" s="155"/>
      <c r="Z24" s="138"/>
      <c r="AE24" s="138"/>
      <c r="AF24" s="138"/>
    </row>
    <row r="25" spans="7:32" x14ac:dyDescent="0.2">
      <c r="G25" s="153"/>
      <c r="L25" s="153"/>
      <c r="Q25" s="153"/>
      <c r="W25" s="139"/>
      <c r="X25" s="138"/>
      <c r="Y25" s="155"/>
      <c r="Z25" s="138"/>
      <c r="AE25" s="138"/>
      <c r="AF25" s="138"/>
    </row>
    <row r="26" spans="7:32" x14ac:dyDescent="0.2">
      <c r="G26" s="153"/>
      <c r="L26" s="153"/>
      <c r="Q26" s="153"/>
      <c r="W26" s="139"/>
      <c r="X26" s="139"/>
      <c r="Y26" s="155"/>
      <c r="Z26" s="138"/>
      <c r="AE26" s="138"/>
      <c r="AF26" s="138"/>
    </row>
    <row r="27" spans="7:32" x14ac:dyDescent="0.2">
      <c r="G27" s="153"/>
      <c r="L27" s="153"/>
      <c r="Q27" s="153"/>
      <c r="W27" s="139"/>
      <c r="X27" s="138"/>
      <c r="Y27" s="155"/>
      <c r="Z27" s="138"/>
      <c r="AE27" s="138"/>
      <c r="AF27" s="138"/>
    </row>
    <row r="28" spans="7:32" x14ac:dyDescent="0.2">
      <c r="G28" s="153"/>
      <c r="L28" s="153"/>
      <c r="Q28" s="153"/>
      <c r="X28" s="138"/>
      <c r="Y28" s="155"/>
      <c r="Z28" s="138"/>
      <c r="AE28" s="138"/>
      <c r="AF28" s="138"/>
    </row>
    <row r="29" spans="7:32" x14ac:dyDescent="0.2">
      <c r="G29" s="153"/>
      <c r="L29" s="153"/>
      <c r="Q29" s="153"/>
      <c r="X29" s="138"/>
      <c r="Y29" s="155"/>
      <c r="Z29" s="138"/>
      <c r="AE29" s="138"/>
      <c r="AF29" s="138"/>
    </row>
    <row r="30" spans="7:32" x14ac:dyDescent="0.2">
      <c r="G30" s="153"/>
      <c r="L30" s="153"/>
      <c r="Q30" s="153"/>
      <c r="W30" s="139"/>
      <c r="X30" s="138"/>
      <c r="Y30" s="154"/>
      <c r="Z30" s="138"/>
      <c r="AE30" s="138"/>
      <c r="AF30" s="138"/>
    </row>
    <row r="31" spans="7:32" x14ac:dyDescent="0.2">
      <c r="G31" s="153"/>
      <c r="L31" s="153"/>
      <c r="Q31" s="153"/>
      <c r="X31" s="139"/>
      <c r="Y31" s="154"/>
      <c r="Z31" s="138"/>
      <c r="AE31" s="138"/>
      <c r="AF31" s="138"/>
    </row>
    <row r="32" spans="7:32" x14ac:dyDescent="0.2">
      <c r="G32" s="153"/>
      <c r="L32" s="153"/>
      <c r="Q32" s="153"/>
      <c r="W32" s="139"/>
      <c r="X32" s="138"/>
      <c r="Y32" s="154"/>
      <c r="Z32" s="138"/>
      <c r="AE32" s="138"/>
      <c r="AF32" s="138"/>
    </row>
    <row r="33" spans="7:32" x14ac:dyDescent="0.2">
      <c r="G33" s="153"/>
      <c r="L33" s="153"/>
      <c r="Q33" s="153"/>
      <c r="X33" s="139"/>
      <c r="Y33" s="154"/>
      <c r="Z33" s="138"/>
      <c r="AE33" s="138"/>
      <c r="AF33" s="138"/>
    </row>
    <row r="34" spans="7:32" x14ac:dyDescent="0.2">
      <c r="G34" s="153"/>
      <c r="L34" s="153"/>
      <c r="Q34" s="153"/>
      <c r="W34" s="139"/>
      <c r="X34" s="138"/>
      <c r="Y34" s="154"/>
      <c r="Z34" s="138"/>
      <c r="AE34" s="138"/>
      <c r="AF34" s="138"/>
    </row>
    <row r="35" spans="7:32" x14ac:dyDescent="0.2">
      <c r="G35" s="153"/>
      <c r="L35" s="153"/>
      <c r="W35" s="139"/>
      <c r="X35" s="139"/>
      <c r="Y35" s="155"/>
      <c r="Z35" s="138"/>
      <c r="AE35" s="138"/>
      <c r="AF35" s="138"/>
    </row>
    <row r="36" spans="7:32" x14ac:dyDescent="0.2">
      <c r="G36" s="153"/>
      <c r="L36" s="153"/>
      <c r="Q36" s="153"/>
      <c r="W36" s="139"/>
      <c r="X36" s="139"/>
      <c r="Y36" s="155"/>
      <c r="Z36" s="138"/>
      <c r="AE36" s="138"/>
      <c r="AF36" s="138"/>
    </row>
    <row r="37" spans="7:32" x14ac:dyDescent="0.2">
      <c r="G37" s="153"/>
      <c r="L37" s="153"/>
      <c r="Q37" s="153"/>
      <c r="W37" s="139"/>
      <c r="X37" s="139"/>
      <c r="Y37" s="155"/>
      <c r="Z37" s="138"/>
      <c r="AE37" s="138"/>
      <c r="AF37" s="138"/>
    </row>
    <row r="38" spans="7:32" x14ac:dyDescent="0.2">
      <c r="G38" s="153"/>
      <c r="L38" s="153"/>
      <c r="Q38" s="153"/>
      <c r="W38" s="139"/>
      <c r="X38" s="138"/>
      <c r="Y38" s="154"/>
      <c r="Z38" s="138"/>
      <c r="AE38" s="138"/>
      <c r="AF38" s="138"/>
    </row>
    <row r="39" spans="7:32" x14ac:dyDescent="0.2">
      <c r="G39" s="153"/>
      <c r="L39" s="153"/>
      <c r="Q39" s="153"/>
      <c r="W39" s="139"/>
      <c r="X39" s="138"/>
      <c r="Y39" s="154"/>
      <c r="Z39" s="138"/>
      <c r="AE39" s="138"/>
      <c r="AF39" s="138"/>
    </row>
    <row r="40" spans="7:32" x14ac:dyDescent="0.2">
      <c r="G40" s="153"/>
      <c r="L40" s="153"/>
      <c r="Q40" s="153"/>
      <c r="X40" s="139"/>
      <c r="Y40" s="154"/>
      <c r="Z40" s="138"/>
      <c r="AE40" s="138"/>
      <c r="AF40" s="138"/>
    </row>
    <row r="41" spans="7:32" x14ac:dyDescent="0.2">
      <c r="G41" s="153"/>
      <c r="L41" s="153"/>
      <c r="Q41" s="153"/>
      <c r="W41" s="139"/>
      <c r="X41" s="138"/>
      <c r="Y41" s="154"/>
      <c r="Z41" s="138"/>
      <c r="AE41" s="138"/>
      <c r="AF41" s="138"/>
    </row>
    <row r="42" spans="7:32" x14ac:dyDescent="0.2">
      <c r="G42" s="153"/>
      <c r="L42" s="153"/>
      <c r="Q42" s="153"/>
      <c r="W42" s="139"/>
      <c r="X42" s="139"/>
      <c r="Y42" s="155"/>
      <c r="Z42" s="138"/>
      <c r="AE42" s="138"/>
      <c r="AF42" s="138"/>
    </row>
    <row r="43" spans="7:32" x14ac:dyDescent="0.2">
      <c r="G43" s="153"/>
      <c r="L43" s="153"/>
      <c r="Q43" s="153"/>
      <c r="W43" s="139"/>
      <c r="X43" s="138"/>
      <c r="Y43" s="154"/>
      <c r="Z43" s="138"/>
      <c r="AE43" s="138"/>
      <c r="AF43" s="138"/>
    </row>
    <row r="44" spans="7:32" x14ac:dyDescent="0.2">
      <c r="G44" s="153"/>
      <c r="L44" s="153"/>
      <c r="Q44" s="153"/>
      <c r="X44" s="139"/>
      <c r="Y44" s="154"/>
      <c r="Z44" s="138"/>
      <c r="AE44" s="138"/>
      <c r="AF44" s="138"/>
    </row>
    <row r="45" spans="7:32" x14ac:dyDescent="0.2">
      <c r="G45" s="153"/>
      <c r="L45" s="153"/>
      <c r="Q45" s="153"/>
      <c r="W45" s="139"/>
      <c r="X45" s="138"/>
      <c r="Y45" s="154"/>
      <c r="Z45" s="138"/>
      <c r="AE45" s="138"/>
      <c r="AF45" s="138"/>
    </row>
    <row r="46" spans="7:32" x14ac:dyDescent="0.2">
      <c r="G46" s="153"/>
      <c r="L46" s="153"/>
      <c r="Q46" s="153"/>
      <c r="W46" s="139"/>
      <c r="X46" s="138"/>
      <c r="Y46" s="154"/>
      <c r="Z46" s="138"/>
      <c r="AE46" s="138"/>
      <c r="AF46" s="138"/>
    </row>
    <row r="47" spans="7:32" x14ac:dyDescent="0.2">
      <c r="G47" s="153"/>
      <c r="L47" s="153"/>
      <c r="Q47" s="153"/>
      <c r="W47" s="139"/>
      <c r="X47" s="138"/>
      <c r="Y47" s="154"/>
      <c r="Z47" s="138"/>
      <c r="AE47" s="138"/>
      <c r="AF47" s="138"/>
    </row>
    <row r="48" spans="7:32" x14ac:dyDescent="0.2">
      <c r="G48" s="153"/>
      <c r="L48" s="153"/>
      <c r="Q48" s="153"/>
      <c r="W48" s="139"/>
      <c r="X48" s="138"/>
      <c r="Y48" s="154"/>
      <c r="Z48" s="138"/>
      <c r="AE48" s="138"/>
      <c r="AF48" s="138"/>
    </row>
    <row r="49" spans="7:32" x14ac:dyDescent="0.2">
      <c r="G49" s="153"/>
      <c r="L49" s="153"/>
      <c r="Q49" s="153"/>
      <c r="X49" s="139"/>
      <c r="Y49" s="154"/>
      <c r="Z49" s="138"/>
      <c r="AE49" s="138"/>
      <c r="AF49" s="138"/>
    </row>
    <row r="50" spans="7:32" x14ac:dyDescent="0.2">
      <c r="G50" s="153"/>
      <c r="L50" s="153"/>
      <c r="Q50" s="153"/>
      <c r="W50" s="139"/>
      <c r="X50" s="139"/>
      <c r="Y50" s="155"/>
      <c r="Z50" s="138"/>
      <c r="AE50" s="138"/>
      <c r="AF50" s="138"/>
    </row>
    <row r="51" spans="7:32" x14ac:dyDescent="0.2">
      <c r="G51" s="153"/>
      <c r="L51" s="153"/>
      <c r="W51" s="139"/>
      <c r="X51" s="138"/>
      <c r="Y51" s="154"/>
      <c r="Z51" s="138"/>
      <c r="AE51" s="138"/>
      <c r="AF51" s="138"/>
    </row>
    <row r="52" spans="7:32" x14ac:dyDescent="0.2">
      <c r="G52" s="153"/>
      <c r="L52" s="153"/>
      <c r="Q52" s="153"/>
      <c r="W52" s="139"/>
      <c r="X52" s="139"/>
      <c r="Y52" s="155"/>
      <c r="Z52" s="138"/>
      <c r="AE52" s="138"/>
      <c r="AF52" s="138"/>
    </row>
    <row r="53" spans="7:32" x14ac:dyDescent="0.2">
      <c r="G53" s="153"/>
      <c r="L53" s="153"/>
      <c r="Q53" s="153"/>
      <c r="W53" s="139"/>
      <c r="X53" s="139"/>
      <c r="Y53" s="155"/>
      <c r="Z53" s="138"/>
      <c r="AE53" s="138"/>
      <c r="AF53" s="138"/>
    </row>
    <row r="54" spans="7:32" x14ac:dyDescent="0.2">
      <c r="G54" s="153"/>
      <c r="L54" s="153"/>
      <c r="Q54" s="153"/>
      <c r="W54" s="139"/>
      <c r="X54" s="139"/>
      <c r="Y54" s="155"/>
      <c r="Z54" s="138"/>
      <c r="AE54" s="138"/>
      <c r="AF54" s="138"/>
    </row>
    <row r="55" spans="7:32" x14ac:dyDescent="0.2">
      <c r="G55" s="153"/>
      <c r="L55" s="153"/>
      <c r="Q55" s="153"/>
      <c r="W55" s="139"/>
      <c r="X55" s="139"/>
      <c r="Y55" s="155"/>
      <c r="Z55" s="138"/>
      <c r="AE55" s="138"/>
      <c r="AF55" s="138"/>
    </row>
    <row r="56" spans="7:32" x14ac:dyDescent="0.2">
      <c r="G56" s="153"/>
      <c r="L56" s="153"/>
      <c r="Q56" s="153"/>
      <c r="W56" s="139"/>
      <c r="X56" s="138"/>
      <c r="Y56" s="154"/>
      <c r="Z56" s="138"/>
      <c r="AE56" s="138"/>
      <c r="AF56" s="138"/>
    </row>
    <row r="57" spans="7:32" x14ac:dyDescent="0.2">
      <c r="G57" s="153"/>
      <c r="L57" s="153"/>
      <c r="Q57" s="153"/>
      <c r="X57" s="139"/>
      <c r="Y57" s="154"/>
      <c r="Z57" s="138"/>
      <c r="AE57" s="138"/>
      <c r="AF57" s="138"/>
    </row>
    <row r="58" spans="7:32" x14ac:dyDescent="0.2">
      <c r="G58" s="153"/>
      <c r="L58" s="153"/>
      <c r="Q58" s="153"/>
      <c r="X58" s="139"/>
      <c r="Y58" s="154"/>
      <c r="Z58" s="138"/>
      <c r="AE58" s="138"/>
      <c r="AF58" s="138"/>
    </row>
    <row r="59" spans="7:32" x14ac:dyDescent="0.2">
      <c r="G59" s="153"/>
      <c r="L59" s="153"/>
      <c r="Q59" s="153"/>
      <c r="W59" s="139"/>
      <c r="X59" s="138"/>
      <c r="Y59" s="154"/>
      <c r="Z59" s="138"/>
      <c r="AE59" s="138"/>
      <c r="AF59" s="138"/>
    </row>
    <row r="60" spans="7:32" x14ac:dyDescent="0.2">
      <c r="G60" s="153"/>
      <c r="L60" s="153"/>
      <c r="Q60" s="153"/>
      <c r="W60" s="139"/>
      <c r="X60" s="138"/>
      <c r="Y60" s="154"/>
      <c r="Z60" s="138"/>
      <c r="AE60" s="138"/>
      <c r="AF60" s="138"/>
    </row>
    <row r="61" spans="7:32" x14ac:dyDescent="0.2">
      <c r="G61" s="153"/>
      <c r="L61" s="153"/>
      <c r="Q61" s="153"/>
      <c r="W61" s="139"/>
      <c r="X61" s="139"/>
      <c r="Y61" s="155"/>
      <c r="Z61" s="138"/>
      <c r="AE61" s="138"/>
      <c r="AF61" s="138"/>
    </row>
    <row r="62" spans="7:32" x14ac:dyDescent="0.2">
      <c r="G62" s="153"/>
      <c r="L62" s="153"/>
      <c r="Q62" s="153"/>
      <c r="W62" s="139"/>
      <c r="X62" s="138"/>
      <c r="Y62" s="154"/>
      <c r="Z62" s="138"/>
      <c r="AE62" s="138"/>
      <c r="AF62" s="138"/>
    </row>
    <row r="63" spans="7:32" x14ac:dyDescent="0.2">
      <c r="G63" s="153"/>
      <c r="L63" s="153"/>
      <c r="Q63" s="153"/>
      <c r="W63" s="139"/>
      <c r="X63" s="139"/>
      <c r="Y63" s="155"/>
      <c r="Z63" s="138"/>
      <c r="AE63" s="138"/>
      <c r="AF63" s="138"/>
    </row>
    <row r="64" spans="7:32" x14ac:dyDescent="0.2">
      <c r="G64" s="153"/>
      <c r="L64" s="153"/>
      <c r="Q64" s="153"/>
      <c r="W64" s="139"/>
      <c r="X64" s="138"/>
      <c r="Y64" s="154"/>
      <c r="Z64" s="138"/>
      <c r="AE64" s="138"/>
      <c r="AF64" s="138"/>
    </row>
    <row r="65" spans="7:32" x14ac:dyDescent="0.2">
      <c r="G65" s="153"/>
      <c r="L65" s="153"/>
      <c r="Q65" s="153"/>
      <c r="W65" s="139"/>
      <c r="X65" s="138"/>
      <c r="Y65" s="154"/>
      <c r="Z65" s="138"/>
      <c r="AE65" s="138"/>
      <c r="AF65" s="138"/>
    </row>
    <row r="66" spans="7:32" x14ac:dyDescent="0.2">
      <c r="G66" s="153"/>
      <c r="L66" s="153"/>
      <c r="Q66" s="153"/>
      <c r="W66" s="139"/>
      <c r="X66" s="138"/>
      <c r="Y66" s="154"/>
      <c r="Z66" s="138"/>
      <c r="AE66" s="138"/>
      <c r="AF66" s="138"/>
    </row>
    <row r="67" spans="7:32" x14ac:dyDescent="0.2">
      <c r="G67" s="153"/>
      <c r="L67" s="153"/>
      <c r="Q67" s="153"/>
      <c r="W67" s="139"/>
      <c r="X67" s="139"/>
      <c r="Y67" s="155"/>
      <c r="Z67" s="138"/>
      <c r="AE67" s="138"/>
      <c r="AF67" s="138"/>
    </row>
    <row r="68" spans="7:32" x14ac:dyDescent="0.2">
      <c r="G68" s="153"/>
      <c r="L68" s="153"/>
      <c r="Q68" s="153"/>
      <c r="X68" s="139"/>
      <c r="Y68" s="154"/>
      <c r="Z68" s="138"/>
      <c r="AE68" s="138"/>
      <c r="AF68" s="138"/>
    </row>
    <row r="69" spans="7:32" x14ac:dyDescent="0.2">
      <c r="G69" s="153"/>
      <c r="L69" s="153"/>
      <c r="Q69" s="153"/>
      <c r="W69" s="139"/>
      <c r="X69" s="139"/>
      <c r="Y69" s="155"/>
      <c r="Z69" s="138"/>
      <c r="AE69" s="138"/>
      <c r="AF69" s="138"/>
    </row>
    <row r="70" spans="7:32" x14ac:dyDescent="0.2">
      <c r="G70" s="153"/>
      <c r="L70" s="153"/>
      <c r="Q70" s="153"/>
      <c r="W70" s="139"/>
      <c r="X70" s="138"/>
      <c r="Y70" s="154"/>
      <c r="Z70" s="138"/>
      <c r="AE70" s="138"/>
      <c r="AF70" s="138"/>
    </row>
    <row r="71" spans="7:32" x14ac:dyDescent="0.2">
      <c r="G71" s="153"/>
      <c r="L71" s="153"/>
      <c r="Q71" s="153"/>
      <c r="W71" s="139"/>
      <c r="X71" s="138"/>
      <c r="Y71" s="154"/>
      <c r="Z71" s="138"/>
      <c r="AE71" s="138"/>
      <c r="AF71" s="138"/>
    </row>
    <row r="72" spans="7:32" x14ac:dyDescent="0.2">
      <c r="G72" s="153"/>
      <c r="L72" s="153"/>
      <c r="Q72" s="153"/>
      <c r="W72" s="139"/>
      <c r="X72" s="138"/>
      <c r="Y72" s="154"/>
      <c r="Z72" s="138"/>
      <c r="AE72" s="138"/>
      <c r="AF72" s="138"/>
    </row>
    <row r="73" spans="7:32" x14ac:dyDescent="0.4">
      <c r="G73" s="153"/>
      <c r="J73" s="156"/>
      <c r="L73" s="153"/>
      <c r="Q73" s="153"/>
      <c r="W73" s="139"/>
      <c r="X73" s="138"/>
      <c r="Y73" s="154"/>
      <c r="Z73" s="138"/>
      <c r="AE73" s="138"/>
      <c r="AF73" s="138"/>
    </row>
    <row r="74" spans="7:32" x14ac:dyDescent="0.2">
      <c r="G74" s="153"/>
      <c r="L74" s="153"/>
      <c r="Q74" s="153"/>
      <c r="W74" s="139"/>
      <c r="X74" s="138"/>
      <c r="Y74" s="154"/>
      <c r="Z74" s="138"/>
      <c r="AE74" s="138"/>
      <c r="AF74" s="138"/>
    </row>
    <row r="75" spans="7:32" x14ac:dyDescent="0.2">
      <c r="G75" s="153"/>
      <c r="L75" s="153"/>
      <c r="Q75" s="153"/>
      <c r="W75" s="139"/>
      <c r="X75" s="138"/>
      <c r="Y75" s="154"/>
      <c r="Z75" s="138"/>
      <c r="AE75" s="138"/>
      <c r="AF75" s="138"/>
    </row>
    <row r="76" spans="7:32" x14ac:dyDescent="0.2">
      <c r="G76" s="153"/>
      <c r="L76" s="153"/>
      <c r="Q76" s="153"/>
      <c r="W76" s="139"/>
      <c r="X76" s="139"/>
      <c r="Y76" s="155"/>
      <c r="Z76" s="138"/>
      <c r="AE76" s="138"/>
      <c r="AF76" s="138"/>
    </row>
    <row r="77" spans="7:32" x14ac:dyDescent="0.2">
      <c r="G77" s="153"/>
      <c r="L77" s="153"/>
      <c r="Q77" s="153"/>
      <c r="X77" s="139"/>
      <c r="Y77" s="154"/>
      <c r="Z77" s="138"/>
      <c r="AE77" s="138"/>
      <c r="AF77" s="138"/>
    </row>
    <row r="78" spans="7:32" x14ac:dyDescent="0.2">
      <c r="X78" s="138"/>
      <c r="Y78" s="155"/>
      <c r="Z78" s="138"/>
      <c r="AE78" s="138"/>
      <c r="AF78" s="138"/>
    </row>
    <row r="79" spans="7:32" x14ac:dyDescent="0.2">
      <c r="X79" s="138"/>
      <c r="Y79" s="155"/>
      <c r="Z79" s="138"/>
      <c r="AE79" s="138"/>
      <c r="AF79" s="138"/>
    </row>
    <row r="80" spans="7:32" x14ac:dyDescent="0.2">
      <c r="X80" s="138"/>
      <c r="Y80" s="155"/>
      <c r="Z80" s="138"/>
      <c r="AE80" s="138"/>
      <c r="AF80" s="138"/>
    </row>
    <row r="81" spans="24:32" x14ac:dyDescent="0.2">
      <c r="X81" s="138"/>
      <c r="Y81" s="155"/>
      <c r="Z81" s="138"/>
      <c r="AE81" s="138"/>
      <c r="AF81" s="138"/>
    </row>
    <row r="82" spans="24:32" x14ac:dyDescent="0.2">
      <c r="X82" s="138"/>
      <c r="Y82" s="155"/>
      <c r="Z82" s="138"/>
      <c r="AE82" s="138"/>
      <c r="AF82" s="138"/>
    </row>
    <row r="83" spans="24:32" x14ac:dyDescent="0.2">
      <c r="X83" s="138"/>
      <c r="Y83" s="155"/>
      <c r="Z83" s="138"/>
      <c r="AE83" s="138"/>
      <c r="AF83" s="138"/>
    </row>
    <row r="84" spans="24:32" x14ac:dyDescent="0.2">
      <c r="X84" s="138"/>
      <c r="Y84" s="155"/>
      <c r="Z84" s="138"/>
      <c r="AE84" s="138"/>
      <c r="AF84" s="138"/>
    </row>
    <row r="85" spans="24:32" x14ac:dyDescent="0.2">
      <c r="X85" s="138"/>
      <c r="Y85" s="155"/>
      <c r="Z85" s="138"/>
      <c r="AE85" s="138"/>
      <c r="AF85" s="138"/>
    </row>
    <row r="86" spans="24:32" x14ac:dyDescent="0.2">
      <c r="X86" s="138"/>
      <c r="Y86" s="155"/>
      <c r="Z86" s="138"/>
      <c r="AE86" s="138"/>
      <c r="AF86" s="138"/>
    </row>
    <row r="87" spans="24:32" x14ac:dyDescent="0.2">
      <c r="X87" s="138"/>
      <c r="Y87" s="155"/>
      <c r="Z87" s="138"/>
      <c r="AE87" s="138"/>
      <c r="AF87" s="138"/>
    </row>
    <row r="88" spans="24:32" x14ac:dyDescent="0.2">
      <c r="X88" s="138"/>
      <c r="Y88" s="155"/>
      <c r="Z88" s="138"/>
      <c r="AE88" s="138"/>
      <c r="AF88" s="138"/>
    </row>
    <row r="89" spans="24:32" x14ac:dyDescent="0.2">
      <c r="X89" s="138"/>
      <c r="Y89" s="155"/>
      <c r="Z89" s="138"/>
      <c r="AE89" s="138"/>
      <c r="AF89" s="138"/>
    </row>
    <row r="90" spans="24:32" x14ac:dyDescent="0.2">
      <c r="X90" s="138"/>
      <c r="Y90" s="155"/>
      <c r="Z90" s="138"/>
      <c r="AE90" s="138"/>
      <c r="AF90" s="138"/>
    </row>
    <row r="91" spans="24:32" x14ac:dyDescent="0.2">
      <c r="X91" s="138"/>
      <c r="Y91" s="155"/>
      <c r="Z91" s="138"/>
      <c r="AE91" s="138"/>
      <c r="AF91" s="138"/>
    </row>
    <row r="92" spans="24:32" x14ac:dyDescent="0.2">
      <c r="X92" s="138"/>
      <c r="Y92" s="155"/>
      <c r="Z92" s="138"/>
      <c r="AE92" s="138"/>
      <c r="AF92" s="138"/>
    </row>
    <row r="93" spans="24:32" x14ac:dyDescent="0.2">
      <c r="X93" s="138"/>
      <c r="Y93" s="155"/>
      <c r="Z93" s="138"/>
      <c r="AE93" s="138"/>
      <c r="AF93" s="138"/>
    </row>
    <row r="94" spans="24:32" x14ac:dyDescent="0.2">
      <c r="X94" s="138"/>
      <c r="Y94" s="155"/>
      <c r="Z94" s="138"/>
      <c r="AE94" s="138"/>
      <c r="AF94" s="138"/>
    </row>
    <row r="95" spans="24:32" x14ac:dyDescent="0.2">
      <c r="X95" s="138"/>
      <c r="Y95" s="155"/>
      <c r="Z95" s="138"/>
      <c r="AE95" s="138"/>
      <c r="AF95" s="138"/>
    </row>
    <row r="96" spans="24:32" x14ac:dyDescent="0.2">
      <c r="X96" s="138"/>
      <c r="Y96" s="155"/>
      <c r="Z96" s="138"/>
      <c r="AE96" s="138"/>
      <c r="AF96" s="138"/>
    </row>
    <row r="97" spans="24:32" x14ac:dyDescent="0.2">
      <c r="X97" s="138"/>
      <c r="Y97" s="155"/>
      <c r="Z97" s="138"/>
      <c r="AE97" s="138"/>
      <c r="AF97" s="138"/>
    </row>
    <row r="98" spans="24:32" x14ac:dyDescent="0.2">
      <c r="X98" s="138"/>
      <c r="Y98" s="155"/>
      <c r="Z98" s="138"/>
      <c r="AE98" s="138"/>
      <c r="AF98" s="138"/>
    </row>
    <row r="99" spans="24:32" x14ac:dyDescent="0.2">
      <c r="X99" s="138"/>
      <c r="Y99" s="155"/>
      <c r="Z99" s="138"/>
      <c r="AE99" s="138"/>
      <c r="AF99" s="138"/>
    </row>
    <row r="100" spans="24:32" x14ac:dyDescent="0.2">
      <c r="X100" s="138"/>
      <c r="Y100" s="155"/>
      <c r="Z100" s="138"/>
      <c r="AE100" s="138"/>
      <c r="AF100" s="138"/>
    </row>
    <row r="101" spans="24:32" x14ac:dyDescent="0.2">
      <c r="X101" s="138"/>
      <c r="Y101" s="155"/>
      <c r="Z101" s="138"/>
      <c r="AE101" s="138"/>
      <c r="AF101" s="138"/>
    </row>
    <row r="102" spans="24:32" x14ac:dyDescent="0.2">
      <c r="X102" s="138"/>
      <c r="Y102" s="155"/>
      <c r="Z102" s="138"/>
      <c r="AE102" s="138"/>
      <c r="AF102" s="138"/>
    </row>
    <row r="103" spans="24:32" x14ac:dyDescent="0.2">
      <c r="X103" s="138"/>
      <c r="Y103" s="155"/>
      <c r="Z103" s="138"/>
      <c r="AE103" s="138"/>
      <c r="AF103" s="138"/>
    </row>
    <row r="104" spans="24:32" x14ac:dyDescent="0.2">
      <c r="X104" s="138"/>
      <c r="Y104" s="155"/>
      <c r="Z104" s="138"/>
      <c r="AE104" s="138"/>
      <c r="AF104" s="138"/>
    </row>
    <row r="105" spans="24:32" x14ac:dyDescent="0.2">
      <c r="X105" s="138"/>
      <c r="Y105" s="155"/>
      <c r="Z105" s="138"/>
      <c r="AE105" s="138"/>
      <c r="AF105" s="138"/>
    </row>
    <row r="106" spans="24:32" x14ac:dyDescent="0.2">
      <c r="X106" s="138"/>
      <c r="Y106" s="155"/>
      <c r="Z106" s="138"/>
      <c r="AE106" s="138"/>
      <c r="AF106" s="138"/>
    </row>
    <row r="107" spans="24:32" x14ac:dyDescent="0.2">
      <c r="X107" s="138"/>
      <c r="Y107" s="155"/>
      <c r="Z107" s="138"/>
      <c r="AE107" s="138"/>
      <c r="AF107" s="138"/>
    </row>
    <row r="108" spans="24:32" x14ac:dyDescent="0.2">
      <c r="X108" s="138"/>
      <c r="Y108" s="155"/>
      <c r="Z108" s="138"/>
      <c r="AE108" s="138"/>
      <c r="AF108" s="138"/>
    </row>
    <row r="109" spans="24:32" x14ac:dyDescent="0.2">
      <c r="X109" s="138"/>
      <c r="Y109" s="155"/>
      <c r="Z109" s="138"/>
      <c r="AE109" s="138"/>
      <c r="AF109" s="138"/>
    </row>
    <row r="110" spans="24:32" x14ac:dyDescent="0.2">
      <c r="X110" s="138"/>
      <c r="Y110" s="155"/>
      <c r="Z110" s="138"/>
      <c r="AE110" s="138"/>
      <c r="AF110" s="138"/>
    </row>
    <row r="111" spans="24:32" x14ac:dyDescent="0.2">
      <c r="X111" s="138"/>
      <c r="Y111" s="155"/>
      <c r="Z111" s="138"/>
      <c r="AE111" s="138"/>
      <c r="AF111" s="138"/>
    </row>
    <row r="112" spans="24:32" x14ac:dyDescent="0.2">
      <c r="X112" s="138"/>
      <c r="Y112" s="155"/>
      <c r="Z112" s="138"/>
      <c r="AE112" s="138"/>
      <c r="AF112" s="138"/>
    </row>
    <row r="113" spans="24:32" x14ac:dyDescent="0.2">
      <c r="X113" s="138"/>
      <c r="Y113" s="155"/>
      <c r="Z113" s="138"/>
      <c r="AE113" s="138"/>
      <c r="AF113" s="138"/>
    </row>
    <row r="114" spans="24:32" x14ac:dyDescent="0.2">
      <c r="X114" s="138"/>
      <c r="Y114" s="155"/>
      <c r="Z114" s="138"/>
      <c r="AE114" s="138"/>
      <c r="AF114" s="138"/>
    </row>
    <row r="115" spans="24:32" x14ac:dyDescent="0.2">
      <c r="X115" s="138"/>
      <c r="Y115" s="155"/>
      <c r="Z115" s="138"/>
      <c r="AE115" s="138"/>
      <c r="AF115" s="138"/>
    </row>
    <row r="116" spans="24:32" x14ac:dyDescent="0.2">
      <c r="X116" s="138"/>
      <c r="Y116" s="155"/>
      <c r="Z116" s="138"/>
      <c r="AE116" s="138"/>
      <c r="AF116" s="138"/>
    </row>
    <row r="117" spans="24:32" x14ac:dyDescent="0.2">
      <c r="X117" s="138"/>
      <c r="Y117" s="155"/>
      <c r="Z117" s="138"/>
      <c r="AE117" s="138"/>
      <c r="AF117" s="138"/>
    </row>
    <row r="118" spans="24:32" x14ac:dyDescent="0.2">
      <c r="X118" s="138"/>
      <c r="Y118" s="155"/>
      <c r="Z118" s="138"/>
      <c r="AE118" s="138"/>
      <c r="AF118" s="138"/>
    </row>
    <row r="119" spans="24:32" x14ac:dyDescent="0.2">
      <c r="X119" s="138"/>
      <c r="Y119" s="155"/>
      <c r="Z119" s="138"/>
      <c r="AE119" s="138"/>
      <c r="AF119" s="138"/>
    </row>
    <row r="120" spans="24:32" x14ac:dyDescent="0.2">
      <c r="X120" s="138"/>
      <c r="Y120" s="155"/>
      <c r="Z120" s="138"/>
      <c r="AE120" s="138"/>
      <c r="AF120" s="138"/>
    </row>
    <row r="121" spans="24:32" x14ac:dyDescent="0.2">
      <c r="X121" s="138"/>
      <c r="Y121" s="155"/>
      <c r="Z121" s="138"/>
      <c r="AE121" s="138"/>
      <c r="AF121" s="138"/>
    </row>
    <row r="122" spans="24:32" x14ac:dyDescent="0.2">
      <c r="X122" s="138"/>
      <c r="Y122" s="155"/>
      <c r="Z122" s="138"/>
      <c r="AE122" s="138"/>
      <c r="AF122" s="138"/>
    </row>
    <row r="123" spans="24:32" x14ac:dyDescent="0.2">
      <c r="X123" s="138"/>
      <c r="Y123" s="155"/>
      <c r="Z123" s="138"/>
      <c r="AE123" s="138"/>
      <c r="AF123" s="138"/>
    </row>
    <row r="124" spans="24:32" x14ac:dyDescent="0.2">
      <c r="X124" s="138"/>
      <c r="Y124" s="155"/>
      <c r="Z124" s="138"/>
      <c r="AE124" s="138"/>
      <c r="AF124" s="138"/>
    </row>
    <row r="125" spans="24:32" x14ac:dyDescent="0.2">
      <c r="X125" s="138"/>
      <c r="Y125" s="155"/>
      <c r="Z125" s="138"/>
      <c r="AE125" s="138"/>
      <c r="AF125" s="138"/>
    </row>
    <row r="126" spans="24:32" x14ac:dyDescent="0.2">
      <c r="X126" s="138"/>
      <c r="Y126" s="155"/>
      <c r="Z126" s="138"/>
      <c r="AE126" s="138"/>
      <c r="AF126" s="138"/>
    </row>
    <row r="127" spans="24:32" x14ac:dyDescent="0.2">
      <c r="X127" s="138"/>
      <c r="Y127" s="155"/>
      <c r="Z127" s="138"/>
      <c r="AE127" s="138"/>
      <c r="AF127" s="138"/>
    </row>
    <row r="128" spans="24:32" x14ac:dyDescent="0.2">
      <c r="X128" s="138"/>
      <c r="Y128" s="155"/>
      <c r="Z128" s="138"/>
      <c r="AE128" s="138"/>
      <c r="AF128" s="138"/>
    </row>
    <row r="129" spans="24:32" x14ac:dyDescent="0.2">
      <c r="X129" s="138"/>
      <c r="Y129" s="155"/>
      <c r="Z129" s="138"/>
      <c r="AE129" s="138"/>
      <c r="AF129" s="138"/>
    </row>
    <row r="130" spans="24:32" x14ac:dyDescent="0.2">
      <c r="X130" s="138"/>
      <c r="Y130" s="155"/>
      <c r="Z130" s="138"/>
      <c r="AE130" s="138"/>
      <c r="AF130" s="138"/>
    </row>
    <row r="131" spans="24:32" x14ac:dyDescent="0.2">
      <c r="X131" s="138"/>
      <c r="Y131" s="155"/>
      <c r="Z131" s="138"/>
      <c r="AE131" s="138"/>
      <c r="AF131" s="138"/>
    </row>
    <row r="132" spans="24:32" x14ac:dyDescent="0.2">
      <c r="X132" s="138"/>
      <c r="Y132" s="155"/>
      <c r="Z132" s="138"/>
      <c r="AE132" s="138"/>
      <c r="AF132" s="138"/>
    </row>
    <row r="133" spans="24:32" x14ac:dyDescent="0.2">
      <c r="X133" s="138"/>
      <c r="Y133" s="155"/>
      <c r="Z133" s="138"/>
      <c r="AE133" s="138"/>
      <c r="AF133" s="138"/>
    </row>
    <row r="134" spans="24:32" x14ac:dyDescent="0.2">
      <c r="X134" s="138"/>
      <c r="Y134" s="155"/>
      <c r="Z134" s="138"/>
      <c r="AE134" s="138"/>
      <c r="AF134" s="138"/>
    </row>
    <row r="135" spans="24:32" x14ac:dyDescent="0.2">
      <c r="X135" s="138"/>
      <c r="Y135" s="155"/>
      <c r="Z135" s="138"/>
      <c r="AE135" s="138"/>
      <c r="AF135" s="138"/>
    </row>
    <row r="136" spans="24:32" x14ac:dyDescent="0.2">
      <c r="X136" s="138"/>
      <c r="Y136" s="155"/>
      <c r="Z136" s="138"/>
      <c r="AE136" s="138"/>
      <c r="AF136" s="138"/>
    </row>
    <row r="137" spans="24:32" x14ac:dyDescent="0.2">
      <c r="X137" s="138"/>
      <c r="Y137" s="155"/>
      <c r="Z137" s="138"/>
      <c r="AE137" s="138"/>
      <c r="AF137" s="138"/>
    </row>
    <row r="138" spans="24:32" x14ac:dyDescent="0.2">
      <c r="X138" s="138"/>
      <c r="Y138" s="155"/>
      <c r="Z138" s="138"/>
      <c r="AE138" s="138"/>
      <c r="AF138" s="138"/>
    </row>
    <row r="139" spans="24:32" x14ac:dyDescent="0.2">
      <c r="X139" s="138"/>
      <c r="Y139" s="155"/>
      <c r="Z139" s="138"/>
      <c r="AE139" s="138"/>
      <c r="AF139" s="138"/>
    </row>
    <row r="140" spans="24:32" x14ac:dyDescent="0.2">
      <c r="X140" s="138"/>
      <c r="Y140" s="155"/>
      <c r="Z140" s="138"/>
      <c r="AE140" s="138"/>
      <c r="AF140" s="138"/>
    </row>
    <row r="141" spans="24:32" x14ac:dyDescent="0.2">
      <c r="X141" s="138"/>
      <c r="Y141" s="155"/>
      <c r="Z141" s="138"/>
      <c r="AE141" s="138"/>
      <c r="AF141" s="138"/>
    </row>
    <row r="142" spans="24:32" x14ac:dyDescent="0.2">
      <c r="X142" s="138"/>
      <c r="Y142" s="155"/>
      <c r="Z142" s="138"/>
      <c r="AE142" s="138"/>
      <c r="AF142" s="138"/>
    </row>
    <row r="143" spans="24:32" x14ac:dyDescent="0.2">
      <c r="X143" s="138"/>
      <c r="Y143" s="155"/>
      <c r="Z143" s="138"/>
      <c r="AE143" s="138"/>
      <c r="AF143" s="138"/>
    </row>
    <row r="144" spans="24:32" x14ac:dyDescent="0.2">
      <c r="X144" s="138"/>
      <c r="Y144" s="155"/>
      <c r="Z144" s="138"/>
      <c r="AE144" s="138"/>
      <c r="AF144" s="138"/>
    </row>
    <row r="145" spans="24:32" x14ac:dyDescent="0.2">
      <c r="X145" s="138"/>
      <c r="Y145" s="155"/>
      <c r="Z145" s="138"/>
      <c r="AE145" s="138"/>
      <c r="AF145" s="138"/>
    </row>
    <row r="146" spans="24:32" x14ac:dyDescent="0.2">
      <c r="X146" s="138"/>
      <c r="Y146" s="155"/>
      <c r="Z146" s="138"/>
      <c r="AE146" s="138"/>
      <c r="AF146" s="138"/>
    </row>
    <row r="147" spans="24:32" x14ac:dyDescent="0.2">
      <c r="X147" s="138"/>
      <c r="Y147" s="155"/>
      <c r="Z147" s="138"/>
      <c r="AE147" s="138"/>
      <c r="AF147" s="138"/>
    </row>
    <row r="148" spans="24:32" x14ac:dyDescent="0.2">
      <c r="X148" s="138"/>
      <c r="Y148" s="155"/>
      <c r="Z148" s="138"/>
      <c r="AE148" s="138"/>
      <c r="AF148" s="138"/>
    </row>
    <row r="149" spans="24:32" x14ac:dyDescent="0.2">
      <c r="X149" s="138"/>
      <c r="Y149" s="155"/>
      <c r="Z149" s="138"/>
      <c r="AE149" s="138"/>
      <c r="AF149" s="138"/>
    </row>
    <row r="150" spans="24:32" x14ac:dyDescent="0.2">
      <c r="X150" s="138"/>
      <c r="Y150" s="155"/>
      <c r="Z150" s="138"/>
      <c r="AE150" s="138"/>
      <c r="AF150" s="138"/>
    </row>
    <row r="151" spans="24:32" x14ac:dyDescent="0.2">
      <c r="X151" s="138"/>
      <c r="Z151" s="138"/>
      <c r="AE151" s="138"/>
      <c r="AF151" s="138"/>
    </row>
    <row r="152" spans="24:32" x14ac:dyDescent="0.2">
      <c r="X152" s="138"/>
      <c r="Z152" s="138"/>
      <c r="AE152" s="138"/>
      <c r="AF152" s="138"/>
    </row>
    <row r="153" spans="24:32" x14ac:dyDescent="0.2">
      <c r="X153" s="138"/>
      <c r="Z153" s="138"/>
      <c r="AE153" s="138"/>
      <c r="AF153" s="138"/>
    </row>
    <row r="154" spans="24:32" x14ac:dyDescent="0.2">
      <c r="X154" s="138"/>
      <c r="Z154" s="138"/>
      <c r="AE154" s="138"/>
      <c r="AF154" s="138"/>
    </row>
    <row r="155" spans="24:32" x14ac:dyDescent="0.2">
      <c r="X155" s="138"/>
      <c r="Z155" s="138"/>
      <c r="AE155" s="138"/>
      <c r="AF155" s="138"/>
    </row>
    <row r="156" spans="24:32" x14ac:dyDescent="0.2">
      <c r="X156" s="138"/>
      <c r="Z156" s="138"/>
      <c r="AE156" s="138"/>
      <c r="AF156" s="138"/>
    </row>
    <row r="157" spans="24:32" x14ac:dyDescent="0.2">
      <c r="X157" s="138"/>
      <c r="Z157" s="138"/>
      <c r="AE157" s="138"/>
      <c r="AF157" s="138"/>
    </row>
    <row r="158" spans="24:32" x14ac:dyDescent="0.2">
      <c r="X158" s="138"/>
      <c r="Z158" s="138"/>
      <c r="AE158" s="138"/>
      <c r="AF158" s="138"/>
    </row>
    <row r="159" spans="24:32" x14ac:dyDescent="0.2">
      <c r="X159" s="138"/>
      <c r="Z159" s="138"/>
      <c r="AE159" s="138"/>
      <c r="AF159" s="138"/>
    </row>
    <row r="160" spans="24:32" x14ac:dyDescent="0.2">
      <c r="X160" s="138"/>
      <c r="Z160" s="138"/>
      <c r="AE160" s="138"/>
      <c r="AF160" s="138"/>
    </row>
    <row r="161" spans="24:32" x14ac:dyDescent="0.2">
      <c r="X161" s="138"/>
      <c r="Z161" s="138"/>
      <c r="AE161" s="138"/>
      <c r="AF161" s="138"/>
    </row>
    <row r="162" spans="24:32" x14ac:dyDescent="0.2">
      <c r="X162" s="138"/>
      <c r="Z162" s="138"/>
      <c r="AE162" s="138"/>
      <c r="AF162" s="138"/>
    </row>
    <row r="163" spans="24:32" x14ac:dyDescent="0.2">
      <c r="X163" s="138"/>
      <c r="Z163" s="138"/>
      <c r="AE163" s="138"/>
      <c r="AF163" s="138"/>
    </row>
    <row r="164" spans="24:32" x14ac:dyDescent="0.2">
      <c r="X164" s="138"/>
      <c r="Z164" s="138"/>
      <c r="AE164" s="138"/>
      <c r="AF164" s="138"/>
    </row>
    <row r="165" spans="24:32" x14ac:dyDescent="0.2">
      <c r="X165" s="138"/>
      <c r="Z165" s="138"/>
      <c r="AE165" s="138"/>
      <c r="AF165" s="138"/>
    </row>
    <row r="166" spans="24:32" x14ac:dyDescent="0.2">
      <c r="X166" s="138"/>
      <c r="Z166" s="138"/>
      <c r="AE166" s="138"/>
      <c r="AF166" s="138"/>
    </row>
    <row r="167" spans="24:32" x14ac:dyDescent="0.2">
      <c r="X167" s="138"/>
      <c r="Z167" s="138"/>
      <c r="AE167" s="138"/>
      <c r="AF167" s="138"/>
    </row>
    <row r="168" spans="24:32" x14ac:dyDescent="0.2">
      <c r="X168" s="138"/>
      <c r="Z168" s="138"/>
      <c r="AE168" s="138"/>
      <c r="AF168" s="138"/>
    </row>
    <row r="169" spans="24:32" x14ac:dyDescent="0.2">
      <c r="X169" s="138"/>
      <c r="Z169" s="138"/>
      <c r="AE169" s="138"/>
      <c r="AF169" s="138"/>
    </row>
    <row r="170" spans="24:32" x14ac:dyDescent="0.2">
      <c r="X170" s="138"/>
      <c r="Z170" s="138"/>
      <c r="AE170" s="138"/>
      <c r="AF170" s="138"/>
    </row>
    <row r="171" spans="24:32" x14ac:dyDescent="0.2">
      <c r="X171" s="138"/>
      <c r="Z171" s="138"/>
      <c r="AE171" s="138"/>
      <c r="AF171" s="138"/>
    </row>
    <row r="172" spans="24:32" x14ac:dyDescent="0.2">
      <c r="X172" s="138"/>
      <c r="Z172" s="138"/>
      <c r="AE172" s="138"/>
      <c r="AF172" s="138"/>
    </row>
    <row r="173" spans="24:32" x14ac:dyDescent="0.2">
      <c r="X173" s="138"/>
      <c r="Z173" s="138"/>
      <c r="AE173" s="138"/>
      <c r="AF173" s="138"/>
    </row>
    <row r="174" spans="24:32" x14ac:dyDescent="0.2">
      <c r="X174" s="138"/>
      <c r="Z174" s="138"/>
      <c r="AE174" s="138"/>
      <c r="AF174" s="138"/>
    </row>
    <row r="175" spans="24:32" x14ac:dyDescent="0.4">
      <c r="AE175" s="138"/>
      <c r="AF175" s="138"/>
    </row>
    <row r="176" spans="24:32" x14ac:dyDescent="0.4">
      <c r="AE176" s="138"/>
      <c r="AF176" s="138"/>
    </row>
    <row r="177" spans="31:32" x14ac:dyDescent="0.4">
      <c r="AE177" s="138"/>
      <c r="AF177" s="138"/>
    </row>
    <row r="178" spans="31:32" x14ac:dyDescent="0.4">
      <c r="AE178" s="138"/>
      <c r="AF178" s="138"/>
    </row>
    <row r="179" spans="31:32" x14ac:dyDescent="0.4">
      <c r="AE179" s="138"/>
      <c r="AF179" s="138"/>
    </row>
    <row r="180" spans="31:32" x14ac:dyDescent="0.4">
      <c r="AE180" s="138"/>
      <c r="AF180" s="138"/>
    </row>
    <row r="181" spans="31:32" x14ac:dyDescent="0.4">
      <c r="AE181" s="138"/>
      <c r="AF181" s="138"/>
    </row>
    <row r="182" spans="31:32" x14ac:dyDescent="0.4">
      <c r="AE182" s="138"/>
      <c r="AF182" s="138"/>
    </row>
    <row r="183" spans="31:32" x14ac:dyDescent="0.4">
      <c r="AE183" s="138"/>
      <c r="AF183" s="138"/>
    </row>
    <row r="184" spans="31:32" x14ac:dyDescent="0.4">
      <c r="AE184" s="138"/>
      <c r="AF184" s="138"/>
    </row>
    <row r="185" spans="31:32" x14ac:dyDescent="0.4">
      <c r="AE185" s="138"/>
      <c r="AF185" s="138"/>
    </row>
    <row r="186" spans="31:32" x14ac:dyDescent="0.4">
      <c r="AE186" s="138"/>
      <c r="AF186" s="138"/>
    </row>
    <row r="187" spans="31:32" x14ac:dyDescent="0.4">
      <c r="AE187" s="138"/>
      <c r="AF187" s="138"/>
    </row>
    <row r="188" spans="31:32" x14ac:dyDescent="0.4">
      <c r="AE188" s="138"/>
      <c r="AF188" s="138"/>
    </row>
    <row r="189" spans="31:32" x14ac:dyDescent="0.4">
      <c r="AE189" s="138"/>
      <c r="AF189" s="138"/>
    </row>
    <row r="190" spans="31:32" x14ac:dyDescent="0.4">
      <c r="AE190" s="138"/>
      <c r="AF190" s="138"/>
    </row>
    <row r="191" spans="31:32" x14ac:dyDescent="0.4">
      <c r="AE191" s="138"/>
      <c r="AF191" s="138"/>
    </row>
    <row r="192" spans="31:32" x14ac:dyDescent="0.4">
      <c r="AE192" s="138"/>
      <c r="AF192" s="138"/>
    </row>
    <row r="193" spans="31:32" x14ac:dyDescent="0.4">
      <c r="AE193" s="138"/>
      <c r="AF193" s="138"/>
    </row>
    <row r="194" spans="31:32" x14ac:dyDescent="0.4">
      <c r="AE194" s="138"/>
      <c r="AF194" s="138"/>
    </row>
    <row r="195" spans="31:32" x14ac:dyDescent="0.4">
      <c r="AE195" s="138"/>
      <c r="AF195" s="138"/>
    </row>
    <row r="196" spans="31:32" x14ac:dyDescent="0.4">
      <c r="AE196" s="138"/>
      <c r="AF196" s="138"/>
    </row>
    <row r="197" spans="31:32" x14ac:dyDescent="0.4">
      <c r="AE197" s="138"/>
      <c r="AF197" s="138"/>
    </row>
    <row r="198" spans="31:32" x14ac:dyDescent="0.4">
      <c r="AE198" s="138"/>
      <c r="AF198" s="138"/>
    </row>
    <row r="199" spans="31:32" x14ac:dyDescent="0.4">
      <c r="AE199" s="138"/>
      <c r="AF199" s="138"/>
    </row>
    <row r="200" spans="31:32" x14ac:dyDescent="0.4">
      <c r="AE200" s="138"/>
      <c r="AF200" s="138"/>
    </row>
    <row r="201" spans="31:32" x14ac:dyDescent="0.4">
      <c r="AE201" s="138"/>
      <c r="AF201" s="138"/>
    </row>
    <row r="202" spans="31:32" x14ac:dyDescent="0.4">
      <c r="AE202" s="138"/>
      <c r="AF202" s="138"/>
    </row>
    <row r="203" spans="31:32" x14ac:dyDescent="0.4">
      <c r="AE203" s="138"/>
      <c r="AF203" s="138"/>
    </row>
    <row r="204" spans="31:32" x14ac:dyDescent="0.4">
      <c r="AE204" s="138"/>
      <c r="AF204" s="138"/>
    </row>
    <row r="205" spans="31:32" x14ac:dyDescent="0.4">
      <c r="AE205" s="138"/>
      <c r="AF205" s="138"/>
    </row>
    <row r="206" spans="31:32" x14ac:dyDescent="0.4">
      <c r="AE206" s="138"/>
      <c r="AF206" s="138"/>
    </row>
    <row r="207" spans="31:32" x14ac:dyDescent="0.4">
      <c r="AE207" s="138"/>
      <c r="AF207" s="138"/>
    </row>
    <row r="208" spans="31:32" x14ac:dyDescent="0.4">
      <c r="AE208" s="138"/>
      <c r="AF208" s="138"/>
    </row>
    <row r="209" spans="31:32" x14ac:dyDescent="0.4">
      <c r="AE209" s="138"/>
      <c r="AF209" s="138"/>
    </row>
    <row r="210" spans="31:32" x14ac:dyDescent="0.4">
      <c r="AE210" s="138"/>
      <c r="AF210" s="138"/>
    </row>
    <row r="211" spans="31:32" x14ac:dyDescent="0.4">
      <c r="AE211" s="138"/>
      <c r="AF211" s="138"/>
    </row>
    <row r="212" spans="31:32" x14ac:dyDescent="0.4">
      <c r="AE212" s="138"/>
      <c r="AF212" s="138"/>
    </row>
    <row r="213" spans="31:32" x14ac:dyDescent="0.4">
      <c r="AE213" s="138"/>
      <c r="AF213" s="138"/>
    </row>
    <row r="214" spans="31:32" x14ac:dyDescent="0.4">
      <c r="AE214" s="138"/>
      <c r="AF214" s="138"/>
    </row>
    <row r="215" spans="31:32" x14ac:dyDescent="0.4">
      <c r="AE215" s="138"/>
      <c r="AF215" s="138"/>
    </row>
    <row r="216" spans="31:32" x14ac:dyDescent="0.4">
      <c r="AE216" s="138"/>
      <c r="AF216" s="138"/>
    </row>
    <row r="217" spans="31:32" x14ac:dyDescent="0.4">
      <c r="AE217" s="138"/>
      <c r="AF217" s="138"/>
    </row>
    <row r="218" spans="31:32" x14ac:dyDescent="0.4">
      <c r="AE218" s="138"/>
      <c r="AF218" s="138"/>
    </row>
    <row r="219" spans="31:32" x14ac:dyDescent="0.4">
      <c r="AE219" s="138"/>
      <c r="AF219" s="138"/>
    </row>
    <row r="220" spans="31:32" x14ac:dyDescent="0.4">
      <c r="AE220" s="138"/>
      <c r="AF220" s="138"/>
    </row>
    <row r="221" spans="31:32" x14ac:dyDescent="0.4">
      <c r="AE221" s="138"/>
      <c r="AF221" s="138"/>
    </row>
    <row r="222" spans="31:32" x14ac:dyDescent="0.4">
      <c r="AE222" s="138"/>
      <c r="AF222" s="138"/>
    </row>
    <row r="223" spans="31:32" x14ac:dyDescent="0.4">
      <c r="AE223" s="138"/>
      <c r="AF223" s="138"/>
    </row>
    <row r="224" spans="31:32" x14ac:dyDescent="0.4">
      <c r="AE224" s="138"/>
      <c r="AF224" s="138"/>
    </row>
    <row r="225" spans="31:32" x14ac:dyDescent="0.4">
      <c r="AE225" s="138"/>
      <c r="AF225" s="138"/>
    </row>
    <row r="226" spans="31:32" x14ac:dyDescent="0.4">
      <c r="AE226" s="138"/>
      <c r="AF226" s="138"/>
    </row>
    <row r="227" spans="31:32" x14ac:dyDescent="0.4">
      <c r="AE227" s="138"/>
      <c r="AF227" s="138"/>
    </row>
    <row r="228" spans="31:32" x14ac:dyDescent="0.4">
      <c r="AE228" s="138"/>
      <c r="AF228" s="138"/>
    </row>
    <row r="229" spans="31:32" x14ac:dyDescent="0.4">
      <c r="AE229" s="138"/>
      <c r="AF229" s="138"/>
    </row>
    <row r="230" spans="31:32" x14ac:dyDescent="0.4">
      <c r="AE230" s="138"/>
      <c r="AF230" s="138"/>
    </row>
    <row r="231" spans="31:32" x14ac:dyDescent="0.4">
      <c r="AE231" s="138"/>
      <c r="AF231" s="138"/>
    </row>
    <row r="232" spans="31:32" x14ac:dyDescent="0.4">
      <c r="AE232" s="138"/>
      <c r="AF232" s="138"/>
    </row>
    <row r="233" spans="31:32" x14ac:dyDescent="0.4">
      <c r="AE233" s="138"/>
      <c r="AF233" s="138"/>
    </row>
    <row r="234" spans="31:32" x14ac:dyDescent="0.4">
      <c r="AE234" s="138"/>
      <c r="AF234" s="138"/>
    </row>
    <row r="235" spans="31:32" x14ac:dyDescent="0.4">
      <c r="AE235" s="138"/>
      <c r="AF235" s="138"/>
    </row>
    <row r="236" spans="31:32" x14ac:dyDescent="0.4">
      <c r="AE236" s="138"/>
      <c r="AF236" s="138"/>
    </row>
    <row r="237" spans="31:32" x14ac:dyDescent="0.4">
      <c r="AE237" s="138"/>
      <c r="AF237" s="138"/>
    </row>
    <row r="238" spans="31:32" x14ac:dyDescent="0.4">
      <c r="AE238" s="138"/>
      <c r="AF238" s="138"/>
    </row>
    <row r="239" spans="31:32" x14ac:dyDescent="0.4">
      <c r="AE239" s="138"/>
      <c r="AF239" s="138"/>
    </row>
    <row r="240" spans="31:32" x14ac:dyDescent="0.4">
      <c r="AE240" s="138"/>
      <c r="AF240" s="138"/>
    </row>
    <row r="241" spans="31:32" x14ac:dyDescent="0.4">
      <c r="AE241" s="138"/>
      <c r="AF241" s="138"/>
    </row>
    <row r="242" spans="31:32" x14ac:dyDescent="0.4">
      <c r="AE242" s="138"/>
      <c r="AF242" s="138"/>
    </row>
    <row r="243" spans="31:32" x14ac:dyDescent="0.4">
      <c r="AE243" s="138"/>
      <c r="AF243" s="138"/>
    </row>
    <row r="244" spans="31:32" x14ac:dyDescent="0.4">
      <c r="AE244" s="138"/>
      <c r="AF244" s="138"/>
    </row>
    <row r="245" spans="31:32" x14ac:dyDescent="0.4">
      <c r="AE245" s="138"/>
      <c r="AF245" s="138"/>
    </row>
    <row r="246" spans="31:32" x14ac:dyDescent="0.4">
      <c r="AE246" s="138"/>
      <c r="AF246" s="138"/>
    </row>
    <row r="247" spans="31:32" x14ac:dyDescent="0.4">
      <c r="AE247" s="138"/>
      <c r="AF247" s="138"/>
    </row>
    <row r="248" spans="31:32" x14ac:dyDescent="0.4">
      <c r="AE248" s="138"/>
      <c r="AF248" s="138"/>
    </row>
    <row r="249" spans="31:32" x14ac:dyDescent="0.4">
      <c r="AE249" s="138"/>
      <c r="AF249" s="138"/>
    </row>
    <row r="250" spans="31:32" x14ac:dyDescent="0.4">
      <c r="AE250" s="138"/>
      <c r="AF250" s="138"/>
    </row>
    <row r="251" spans="31:32" x14ac:dyDescent="0.4">
      <c r="AE251" s="138"/>
      <c r="AF251" s="138"/>
    </row>
    <row r="252" spans="31:32" x14ac:dyDescent="0.4">
      <c r="AE252" s="138"/>
      <c r="AF252" s="138"/>
    </row>
    <row r="253" spans="31:32" x14ac:dyDescent="0.4">
      <c r="AE253" s="138"/>
      <c r="AF253" s="138"/>
    </row>
    <row r="254" spans="31:32" x14ac:dyDescent="0.4">
      <c r="AE254" s="138"/>
      <c r="AF254" s="138"/>
    </row>
    <row r="255" spans="31:32" x14ac:dyDescent="0.4">
      <c r="AE255" s="138"/>
      <c r="AF255" s="138"/>
    </row>
    <row r="256" spans="31:32" x14ac:dyDescent="0.4">
      <c r="AE256" s="138"/>
      <c r="AF256" s="138"/>
    </row>
    <row r="257" spans="31:32" x14ac:dyDescent="0.4">
      <c r="AE257" s="138"/>
      <c r="AF257" s="138"/>
    </row>
    <row r="258" spans="31:32" x14ac:dyDescent="0.4">
      <c r="AE258" s="138"/>
      <c r="AF258" s="138"/>
    </row>
    <row r="259" spans="31:32" x14ac:dyDescent="0.4">
      <c r="AE259" s="138"/>
      <c r="AF259" s="138"/>
    </row>
    <row r="260" spans="31:32" x14ac:dyDescent="0.4">
      <c r="AE260" s="138"/>
      <c r="AF260" s="138"/>
    </row>
    <row r="261" spans="31:32" x14ac:dyDescent="0.4">
      <c r="AE261" s="138"/>
      <c r="AF261" s="138"/>
    </row>
    <row r="262" spans="31:32" x14ac:dyDescent="0.4">
      <c r="AE262" s="138"/>
      <c r="AF262" s="138"/>
    </row>
    <row r="263" spans="31:32" x14ac:dyDescent="0.4">
      <c r="AE263" s="138"/>
      <c r="AF263" s="138"/>
    </row>
    <row r="264" spans="31:32" x14ac:dyDescent="0.4">
      <c r="AE264" s="138"/>
      <c r="AF264" s="138"/>
    </row>
    <row r="265" spans="31:32" x14ac:dyDescent="0.4">
      <c r="AE265" s="138"/>
      <c r="AF265" s="138"/>
    </row>
    <row r="266" spans="31:32" x14ac:dyDescent="0.4">
      <c r="AE266" s="138"/>
      <c r="AF266" s="138"/>
    </row>
    <row r="267" spans="31:32" x14ac:dyDescent="0.4">
      <c r="AE267" s="138"/>
      <c r="AF267" s="138"/>
    </row>
    <row r="268" spans="31:32" x14ac:dyDescent="0.4">
      <c r="AE268" s="138"/>
      <c r="AF268" s="138"/>
    </row>
    <row r="269" spans="31:32" x14ac:dyDescent="0.4">
      <c r="AE269" s="138"/>
      <c r="AF269" s="138"/>
    </row>
    <row r="270" spans="31:32" x14ac:dyDescent="0.4">
      <c r="AE270" s="138"/>
      <c r="AF270" s="138"/>
    </row>
    <row r="271" spans="31:32" x14ac:dyDescent="0.4">
      <c r="AE271" s="138"/>
      <c r="AF271" s="138"/>
    </row>
    <row r="272" spans="31:32" x14ac:dyDescent="0.4">
      <c r="AE272" s="138"/>
      <c r="AF272" s="138"/>
    </row>
    <row r="273" spans="31:32" x14ac:dyDescent="0.4">
      <c r="AE273" s="138"/>
      <c r="AF273" s="138"/>
    </row>
    <row r="274" spans="31:32" x14ac:dyDescent="0.4">
      <c r="AE274" s="138"/>
      <c r="AF274" s="138"/>
    </row>
    <row r="275" spans="31:32" x14ac:dyDescent="0.4">
      <c r="AE275" s="138"/>
      <c r="AF275" s="138"/>
    </row>
    <row r="276" spans="31:32" x14ac:dyDescent="0.4">
      <c r="AE276" s="138"/>
      <c r="AF276" s="138"/>
    </row>
    <row r="277" spans="31:32" x14ac:dyDescent="0.4">
      <c r="AE277" s="138"/>
      <c r="AF277" s="138"/>
    </row>
    <row r="278" spans="31:32" x14ac:dyDescent="0.4">
      <c r="AE278" s="138"/>
      <c r="AF278" s="138"/>
    </row>
    <row r="279" spans="31:32" x14ac:dyDescent="0.4">
      <c r="AE279" s="138"/>
      <c r="AF279" s="138"/>
    </row>
    <row r="280" spans="31:32" x14ac:dyDescent="0.4">
      <c r="AE280" s="138"/>
      <c r="AF280" s="138"/>
    </row>
    <row r="281" spans="31:32" x14ac:dyDescent="0.4">
      <c r="AE281" s="138"/>
      <c r="AF281" s="138"/>
    </row>
    <row r="282" spans="31:32" x14ac:dyDescent="0.4">
      <c r="AE282" s="138"/>
      <c r="AF282" s="138"/>
    </row>
    <row r="283" spans="31:32" x14ac:dyDescent="0.4">
      <c r="AE283" s="138"/>
      <c r="AF283" s="138"/>
    </row>
    <row r="284" spans="31:32" x14ac:dyDescent="0.4">
      <c r="AE284" s="138"/>
      <c r="AF284" s="138"/>
    </row>
    <row r="285" spans="31:32" x14ac:dyDescent="0.4">
      <c r="AE285" s="138"/>
      <c r="AF285" s="138"/>
    </row>
    <row r="286" spans="31:32" x14ac:dyDescent="0.4">
      <c r="AE286" s="138"/>
      <c r="AF286" s="138"/>
    </row>
    <row r="287" spans="31:32" x14ac:dyDescent="0.4">
      <c r="AE287" s="138"/>
      <c r="AF287" s="138"/>
    </row>
    <row r="288" spans="31:32" x14ac:dyDescent="0.4">
      <c r="AE288" s="138"/>
      <c r="AF288" s="138"/>
    </row>
    <row r="289" spans="31:32" x14ac:dyDescent="0.4">
      <c r="AE289" s="138"/>
      <c r="AF289" s="138"/>
    </row>
    <row r="290" spans="31:32" x14ac:dyDescent="0.4">
      <c r="AE290" s="138"/>
      <c r="AF290" s="138"/>
    </row>
    <row r="291" spans="31:32" x14ac:dyDescent="0.4">
      <c r="AE291" s="138"/>
      <c r="AF291" s="138"/>
    </row>
    <row r="292" spans="31:32" x14ac:dyDescent="0.4">
      <c r="AE292" s="138"/>
      <c r="AF292" s="138"/>
    </row>
    <row r="293" spans="31:32" x14ac:dyDescent="0.4">
      <c r="AE293" s="138"/>
      <c r="AF293" s="138"/>
    </row>
    <row r="294" spans="31:32" x14ac:dyDescent="0.4">
      <c r="AE294" s="138"/>
      <c r="AF294" s="138"/>
    </row>
    <row r="295" spans="31:32" x14ac:dyDescent="0.4">
      <c r="AE295" s="138"/>
      <c r="AF295" s="138"/>
    </row>
    <row r="296" spans="31:32" x14ac:dyDescent="0.4">
      <c r="AE296" s="138"/>
      <c r="AF296" s="138"/>
    </row>
    <row r="297" spans="31:32" x14ac:dyDescent="0.4">
      <c r="AE297" s="138"/>
      <c r="AF297" s="138"/>
    </row>
    <row r="298" spans="31:32" x14ac:dyDescent="0.4">
      <c r="AE298" s="138"/>
      <c r="AF298" s="138"/>
    </row>
    <row r="299" spans="31:32" x14ac:dyDescent="0.4">
      <c r="AE299" s="138"/>
      <c r="AF299" s="138"/>
    </row>
    <row r="300" spans="31:32" x14ac:dyDescent="0.4">
      <c r="AE300" s="138"/>
      <c r="AF300" s="138"/>
    </row>
    <row r="301" spans="31:32" x14ac:dyDescent="0.4">
      <c r="AE301" s="138"/>
      <c r="AF301" s="138"/>
    </row>
    <row r="302" spans="31:32" x14ac:dyDescent="0.4">
      <c r="AE302" s="138"/>
      <c r="AF302" s="138"/>
    </row>
    <row r="303" spans="31:32" x14ac:dyDescent="0.4">
      <c r="AE303" s="138"/>
      <c r="AF303" s="138"/>
    </row>
    <row r="304" spans="31:32" x14ac:dyDescent="0.4">
      <c r="AE304" s="138"/>
      <c r="AF304" s="138"/>
    </row>
    <row r="305" spans="31:32" x14ac:dyDescent="0.4">
      <c r="AE305" s="138"/>
      <c r="AF305" s="138"/>
    </row>
    <row r="306" spans="31:32" x14ac:dyDescent="0.4">
      <c r="AE306" s="138"/>
      <c r="AF306" s="138"/>
    </row>
    <row r="307" spans="31:32" x14ac:dyDescent="0.4">
      <c r="AE307" s="138"/>
      <c r="AF307" s="138"/>
    </row>
    <row r="308" spans="31:32" x14ac:dyDescent="0.4">
      <c r="AE308" s="138"/>
      <c r="AF308" s="138"/>
    </row>
    <row r="309" spans="31:32" x14ac:dyDescent="0.4">
      <c r="AE309" s="138"/>
      <c r="AF309" s="138"/>
    </row>
    <row r="310" spans="31:32" x14ac:dyDescent="0.4">
      <c r="AE310" s="138"/>
      <c r="AF310" s="138"/>
    </row>
    <row r="311" spans="31:32" x14ac:dyDescent="0.4">
      <c r="AE311" s="138"/>
      <c r="AF311" s="138"/>
    </row>
    <row r="312" spans="31:32" x14ac:dyDescent="0.4">
      <c r="AE312" s="138"/>
      <c r="AF312" s="138"/>
    </row>
    <row r="313" spans="31:32" x14ac:dyDescent="0.4">
      <c r="AE313" s="138"/>
      <c r="AF313" s="138"/>
    </row>
    <row r="314" spans="31:32" x14ac:dyDescent="0.4">
      <c r="AE314" s="138"/>
      <c r="AF314" s="138"/>
    </row>
    <row r="315" spans="31:32" x14ac:dyDescent="0.4">
      <c r="AE315" s="138"/>
      <c r="AF315" s="138"/>
    </row>
    <row r="316" spans="31:32" x14ac:dyDescent="0.4">
      <c r="AE316" s="138"/>
      <c r="AF316" s="138"/>
    </row>
    <row r="317" spans="31:32" x14ac:dyDescent="0.4">
      <c r="AE317" s="138"/>
      <c r="AF317" s="138"/>
    </row>
    <row r="318" spans="31:32" x14ac:dyDescent="0.4">
      <c r="AE318" s="138"/>
      <c r="AF318" s="138"/>
    </row>
    <row r="319" spans="31:32" x14ac:dyDescent="0.4">
      <c r="AE319" s="138"/>
      <c r="AF319" s="138"/>
    </row>
    <row r="320" spans="31:32" x14ac:dyDescent="0.4">
      <c r="AE320" s="138"/>
      <c r="AF320" s="138"/>
    </row>
    <row r="321" spans="31:32" x14ac:dyDescent="0.4">
      <c r="AE321" s="138"/>
      <c r="AF321" s="138"/>
    </row>
    <row r="322" spans="31:32" x14ac:dyDescent="0.4">
      <c r="AE322" s="138"/>
      <c r="AF322" s="138"/>
    </row>
    <row r="323" spans="31:32" x14ac:dyDescent="0.4">
      <c r="AE323" s="138"/>
      <c r="AF323" s="138"/>
    </row>
  </sheetData>
  <autoFilter ref="A3:T42" xr:uid="{BE8BB781-C563-4C2C-A1B4-9F3C1BC1387C}">
    <sortState xmlns:xlrd2="http://schemas.microsoft.com/office/spreadsheetml/2017/richdata2" ref="A4:T32">
      <sortCondition ref="G3:G25"/>
    </sortState>
  </autoFilter>
  <mergeCells count="5">
    <mergeCell ref="AD1:AF1"/>
    <mergeCell ref="A2:G2"/>
    <mergeCell ref="H2:L2"/>
    <mergeCell ref="M2:T2"/>
    <mergeCell ref="V2:AB2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514D03-3CA0-4C69-9E2C-79AE48F93F5F}">
  <sheetPr codeName="Sheet7"/>
  <dimension ref="A1:AI323"/>
  <sheetViews>
    <sheetView topLeftCell="A2" zoomScale="40" zoomScaleNormal="40" workbookViewId="0">
      <selection activeCell="A22" sqref="A22"/>
    </sheetView>
  </sheetViews>
  <sheetFormatPr defaultColWidth="35.7109375" defaultRowHeight="30.75" x14ac:dyDescent="0.4"/>
  <cols>
    <col min="1" max="1" width="40.42578125" style="138" customWidth="1"/>
    <col min="2" max="2" width="35.7109375" style="138"/>
    <col min="3" max="5" width="35.7109375" style="138" customWidth="1"/>
    <col min="6" max="6" width="35.7109375" style="139"/>
    <col min="7" max="7" width="35.7109375" style="138" customWidth="1"/>
    <col min="8" max="8" width="35.7109375" style="138"/>
    <col min="9" max="10" width="35.7109375" style="138" customWidth="1"/>
    <col min="11" max="11" width="35.7109375" style="139"/>
    <col min="12" max="12" width="35.7109375" style="138" customWidth="1"/>
    <col min="13" max="13" width="42.5703125" style="138" customWidth="1"/>
    <col min="14" max="15" width="35.7109375" style="138" customWidth="1"/>
    <col min="16" max="16" width="35.7109375" style="138"/>
    <col min="17" max="17" width="35.7109375" style="138" customWidth="1"/>
    <col min="18" max="18" width="35.7109375" style="138"/>
    <col min="19" max="19" width="36.42578125" style="139" customWidth="1"/>
    <col min="20" max="20" width="35.7109375" style="138"/>
    <col min="21" max="21" width="0" style="138" hidden="1" customWidth="1"/>
    <col min="22" max="22" width="35.7109375" style="139"/>
    <col min="23" max="23" width="43.5703125" style="138" customWidth="1"/>
    <col min="24" max="24" width="35.7109375" style="157" customWidth="1"/>
    <col min="25" max="25" width="36.85546875" style="138" customWidth="1"/>
    <col min="26" max="26" width="35.7109375" style="157"/>
    <col min="27" max="30" width="35.7109375" style="138"/>
    <col min="31" max="32" width="35.7109375" style="157"/>
    <col min="33" max="16384" width="35.7109375" style="138"/>
  </cols>
  <sheetData>
    <row r="1" spans="1:35" s="1" customFormat="1" ht="31.5" hidden="1" thickBot="1" x14ac:dyDescent="0.25">
      <c r="F1" s="2"/>
      <c r="K1" s="2"/>
      <c r="S1" s="2"/>
      <c r="V1" s="49"/>
      <c r="W1" s="50"/>
      <c r="X1" s="50"/>
      <c r="Y1" s="50"/>
      <c r="Z1" s="50"/>
      <c r="AA1" s="50"/>
      <c r="AB1" s="50"/>
      <c r="AC1" s="137"/>
      <c r="AD1" s="288"/>
      <c r="AE1" s="288"/>
      <c r="AF1" s="288"/>
      <c r="AG1" s="137"/>
    </row>
    <row r="2" spans="1:35" s="1" customFormat="1" ht="31.5" thickBot="1" x14ac:dyDescent="0.25">
      <c r="A2" s="285" t="s">
        <v>0</v>
      </c>
      <c r="B2" s="286"/>
      <c r="C2" s="286"/>
      <c r="D2" s="286"/>
      <c r="E2" s="286"/>
      <c r="F2" s="286"/>
      <c r="G2" s="287"/>
      <c r="H2" s="295" t="s">
        <v>4</v>
      </c>
      <c r="I2" s="296"/>
      <c r="J2" s="296"/>
      <c r="K2" s="296"/>
      <c r="L2" s="297"/>
      <c r="M2" s="298" t="s">
        <v>14</v>
      </c>
      <c r="N2" s="299"/>
      <c r="O2" s="299"/>
      <c r="P2" s="299"/>
      <c r="Q2" s="299"/>
      <c r="R2" s="299"/>
      <c r="S2" s="299"/>
      <c r="T2" s="300"/>
      <c r="V2" s="290" t="s">
        <v>73</v>
      </c>
      <c r="W2" s="291"/>
      <c r="X2" s="292"/>
      <c r="Y2" s="292"/>
      <c r="Z2" s="293"/>
      <c r="AA2" s="293"/>
      <c r="AB2" s="294"/>
      <c r="AC2" s="138"/>
      <c r="AD2" s="139"/>
      <c r="AE2" s="139"/>
      <c r="AF2" s="139"/>
      <c r="AG2" s="138"/>
      <c r="AH2" s="50"/>
      <c r="AI2" s="50"/>
    </row>
    <row r="3" spans="1:35" s="1" customFormat="1" ht="80.099999999999994" customHeight="1" x14ac:dyDescent="0.2">
      <c r="A3" s="144" t="s">
        <v>86</v>
      </c>
      <c r="B3" s="145" t="s">
        <v>136</v>
      </c>
      <c r="C3" s="145" t="s">
        <v>87</v>
      </c>
      <c r="D3" s="145" t="s">
        <v>88</v>
      </c>
      <c r="E3" s="145" t="s">
        <v>89</v>
      </c>
      <c r="F3" s="145" t="s">
        <v>90</v>
      </c>
      <c r="G3" s="146" t="s">
        <v>3</v>
      </c>
      <c r="H3" s="147" t="s">
        <v>9</v>
      </c>
      <c r="I3" s="148" t="s">
        <v>10</v>
      </c>
      <c r="J3" s="148" t="s">
        <v>1</v>
      </c>
      <c r="K3" s="148" t="s">
        <v>2</v>
      </c>
      <c r="L3" s="149" t="s">
        <v>3</v>
      </c>
      <c r="M3" s="7" t="s">
        <v>9</v>
      </c>
      <c r="N3" s="8" t="s">
        <v>10</v>
      </c>
      <c r="O3" s="9" t="s">
        <v>11</v>
      </c>
      <c r="P3" s="9" t="s">
        <v>12</v>
      </c>
      <c r="Q3" s="8" t="s">
        <v>3</v>
      </c>
      <c r="R3" s="9" t="s">
        <v>100</v>
      </c>
      <c r="S3" s="9" t="s">
        <v>95</v>
      </c>
      <c r="T3" s="10" t="s">
        <v>13</v>
      </c>
      <c r="V3" s="40" t="s">
        <v>60</v>
      </c>
      <c r="W3" s="143" t="s">
        <v>91</v>
      </c>
      <c r="X3" s="52" t="s">
        <v>92</v>
      </c>
      <c r="Y3" s="53" t="s">
        <v>93</v>
      </c>
      <c r="Z3" s="150" t="s">
        <v>94</v>
      </c>
      <c r="AA3" s="151" t="s">
        <v>117</v>
      </c>
      <c r="AB3" s="152" t="s">
        <v>118</v>
      </c>
      <c r="AC3" s="138"/>
      <c r="AD3" s="138"/>
      <c r="AE3" s="138"/>
      <c r="AF3" s="138"/>
      <c r="AG3" s="138"/>
      <c r="AH3" s="50"/>
      <c r="AI3" s="50"/>
    </row>
    <row r="4" spans="1:35" s="1" customFormat="1" x14ac:dyDescent="0.2">
      <c r="A4" s="11" t="s">
        <v>5</v>
      </c>
      <c r="B4" s="12" t="s">
        <v>20</v>
      </c>
      <c r="C4" s="12" t="s">
        <v>58</v>
      </c>
      <c r="D4" s="12" t="s">
        <v>6</v>
      </c>
      <c r="E4" s="12">
        <v>6282989</v>
      </c>
      <c r="F4" s="13">
        <v>7880</v>
      </c>
      <c r="G4" s="14">
        <v>45485</v>
      </c>
      <c r="H4" s="15" t="s">
        <v>7</v>
      </c>
      <c r="I4" s="16" t="s">
        <v>8</v>
      </c>
      <c r="J4" s="16">
        <v>6283398</v>
      </c>
      <c r="K4" s="17">
        <v>7750</v>
      </c>
      <c r="L4" s="18">
        <v>45486</v>
      </c>
      <c r="M4" s="19" t="s">
        <v>35</v>
      </c>
      <c r="N4" s="20"/>
      <c r="O4" s="20"/>
      <c r="P4" s="20">
        <v>25</v>
      </c>
      <c r="Q4" s="21">
        <v>45486</v>
      </c>
      <c r="R4" s="20">
        <v>55</v>
      </c>
      <c r="S4" s="22">
        <v>7727</v>
      </c>
      <c r="T4" s="23">
        <v>30</v>
      </c>
      <c r="V4" s="37">
        <f t="shared" ref="V4:V21" si="0">IF(RIGHT(C4, 1)="1",
    IF(O4&lt;&gt;"", 500*O4 + T4 + IF(R4&lt;=110, R4, 0), IF(P4&lt;&gt;"", 305*P4 + T4 + IF(R4&lt;=110, R4, 0), "")),
    IF(O4&lt;&gt;"", 500*O4 + T4, IF(P4&lt;&gt;"", 305*P4 + T4, ""))
)</f>
        <v>7710</v>
      </c>
      <c r="W4" s="28">
        <f t="shared" ref="W4:W21" si="1">IF(OR(ISBLANK(V4), ISBLANK(S4), NOT(ISNUMBER(V4)), NOT(ISNUMBER(S4))), "", V4-S4)</f>
        <v>-17</v>
      </c>
      <c r="X4" s="45">
        <f t="shared" ref="X4:X21" si="2">IF(OR(ISBLANK(V4), ISBLANK(K4), NOT(ISNUMBER(V4)), NOT(ISNUMBER(K4))), "", V4-K4)</f>
        <v>-40</v>
      </c>
      <c r="Y4" s="199">
        <f t="shared" ref="Y4:Y21" si="3">IF(OR(ISBLANK(V4), ISBLANK(F4), NOT(ISNUMBER(V4)), NOT(ISNUMBER(F4))), "", V4-F4)</f>
        <v>-170</v>
      </c>
      <c r="Z4" s="38">
        <f t="shared" ref="Z4:Z21" si="4">IF(OR(ISBLANK(F4), ISBLANK(K4)), "",K4-F4)</f>
        <v>-130</v>
      </c>
      <c r="AA4" s="39">
        <f t="shared" ref="AA4:AA21" si="5">IF(OR(ISBLANK(K4), ISBLANK(S4)), "",S4-K4)</f>
        <v>-23</v>
      </c>
      <c r="AB4" s="58">
        <f t="shared" ref="AB4:AB21" si="6">IF(OR(ISBLANK(F4), ISBLANK(S4)), "",S4-F4)</f>
        <v>-153</v>
      </c>
      <c r="AC4" s="209"/>
      <c r="AD4" s="289"/>
      <c r="AE4" s="289"/>
      <c r="AF4" s="289"/>
      <c r="AG4" s="209"/>
      <c r="AH4" s="50"/>
      <c r="AI4" s="50"/>
    </row>
    <row r="5" spans="1:35" s="1" customFormat="1" x14ac:dyDescent="0.2">
      <c r="A5" s="11" t="s">
        <v>5</v>
      </c>
      <c r="B5" s="12" t="s">
        <v>21</v>
      </c>
      <c r="C5" s="12" t="s">
        <v>38</v>
      </c>
      <c r="D5" s="12" t="s">
        <v>15</v>
      </c>
      <c r="E5" s="12">
        <v>6283040</v>
      </c>
      <c r="F5" s="13">
        <v>7780</v>
      </c>
      <c r="G5" s="14">
        <v>45485</v>
      </c>
      <c r="H5" s="15" t="s">
        <v>7</v>
      </c>
      <c r="I5" s="16" t="s">
        <v>8</v>
      </c>
      <c r="J5" s="16">
        <v>6283568</v>
      </c>
      <c r="K5" s="17">
        <v>7712</v>
      </c>
      <c r="L5" s="18">
        <v>45486</v>
      </c>
      <c r="M5" s="19"/>
      <c r="N5" s="20"/>
      <c r="O5" s="20"/>
      <c r="P5" s="20">
        <v>24</v>
      </c>
      <c r="Q5" s="21">
        <v>45486</v>
      </c>
      <c r="R5" s="20">
        <v>55</v>
      </c>
      <c r="S5" s="22">
        <v>7580</v>
      </c>
      <c r="T5" s="23">
        <v>200</v>
      </c>
      <c r="V5" s="37">
        <f t="shared" si="0"/>
        <v>7575</v>
      </c>
      <c r="W5" s="28">
        <f t="shared" si="1"/>
        <v>-5</v>
      </c>
      <c r="X5" s="45">
        <f t="shared" si="2"/>
        <v>-137</v>
      </c>
      <c r="Y5" s="199">
        <f t="shared" si="3"/>
        <v>-205</v>
      </c>
      <c r="Z5" s="38">
        <f t="shared" si="4"/>
        <v>-68</v>
      </c>
      <c r="AA5" s="39">
        <f t="shared" si="5"/>
        <v>-132</v>
      </c>
      <c r="AB5" s="58">
        <f t="shared" si="6"/>
        <v>-200</v>
      </c>
      <c r="AC5" s="50"/>
      <c r="AD5" s="50"/>
      <c r="AE5" s="50"/>
      <c r="AF5" s="50"/>
      <c r="AG5" s="50"/>
      <c r="AH5" s="50"/>
      <c r="AI5" s="50"/>
    </row>
    <row r="6" spans="1:35" s="1" customFormat="1" x14ac:dyDescent="0.2">
      <c r="A6" s="11" t="s">
        <v>5</v>
      </c>
      <c r="B6" s="12" t="s">
        <v>21</v>
      </c>
      <c r="C6" s="12" t="s">
        <v>76</v>
      </c>
      <c r="D6" s="12" t="s">
        <v>62</v>
      </c>
      <c r="E6" s="12">
        <v>6285559</v>
      </c>
      <c r="F6" s="13">
        <v>7250</v>
      </c>
      <c r="G6" s="14">
        <v>45490</v>
      </c>
      <c r="H6" s="15" t="s">
        <v>7</v>
      </c>
      <c r="I6" s="16" t="s">
        <v>66</v>
      </c>
      <c r="J6" s="16">
        <v>6286355</v>
      </c>
      <c r="K6" s="17">
        <v>7240</v>
      </c>
      <c r="L6" s="18">
        <v>45490</v>
      </c>
      <c r="M6" s="19"/>
      <c r="N6" s="20"/>
      <c r="O6" s="20"/>
      <c r="P6" s="20">
        <v>23</v>
      </c>
      <c r="Q6" s="21">
        <v>45491</v>
      </c>
      <c r="R6" s="20">
        <v>310</v>
      </c>
      <c r="S6" s="22">
        <v>7020</v>
      </c>
      <c r="T6" s="23">
        <v>180</v>
      </c>
      <c r="V6" s="37">
        <f t="shared" si="0"/>
        <v>7195</v>
      </c>
      <c r="W6" s="24">
        <f t="shared" si="1"/>
        <v>175</v>
      </c>
      <c r="X6" s="27">
        <f t="shared" si="2"/>
        <v>-45</v>
      </c>
      <c r="Y6" s="200">
        <f t="shared" si="3"/>
        <v>-55</v>
      </c>
      <c r="Z6" s="38">
        <f t="shared" si="4"/>
        <v>-10</v>
      </c>
      <c r="AA6" s="39">
        <f t="shared" si="5"/>
        <v>-220</v>
      </c>
      <c r="AB6" s="58">
        <f t="shared" si="6"/>
        <v>-230</v>
      </c>
    </row>
    <row r="7" spans="1:35" s="1" customFormat="1" x14ac:dyDescent="0.2">
      <c r="A7" s="11" t="s">
        <v>5</v>
      </c>
      <c r="B7" s="12" t="s">
        <v>21</v>
      </c>
      <c r="C7" s="12" t="s">
        <v>102</v>
      </c>
      <c r="D7" s="12" t="s">
        <v>62</v>
      </c>
      <c r="E7" s="12">
        <v>6288850</v>
      </c>
      <c r="F7" s="13">
        <v>7780</v>
      </c>
      <c r="G7" s="14">
        <v>45493</v>
      </c>
      <c r="H7" s="15" t="s">
        <v>7</v>
      </c>
      <c r="I7" s="16" t="s">
        <v>16</v>
      </c>
      <c r="J7" s="16">
        <v>6289634</v>
      </c>
      <c r="K7" s="17">
        <v>7470</v>
      </c>
      <c r="L7" s="18">
        <v>45495</v>
      </c>
      <c r="M7" s="19" t="s">
        <v>44</v>
      </c>
      <c r="N7" s="20" t="s">
        <v>74</v>
      </c>
      <c r="O7" s="20"/>
      <c r="P7" s="20">
        <v>24</v>
      </c>
      <c r="Q7" s="21">
        <v>45495</v>
      </c>
      <c r="R7" s="20">
        <v>55</v>
      </c>
      <c r="S7" s="22">
        <v>7345</v>
      </c>
      <c r="T7" s="23">
        <v>25</v>
      </c>
      <c r="V7" s="37">
        <f t="shared" si="0"/>
        <v>7400</v>
      </c>
      <c r="W7" s="28">
        <f t="shared" si="1"/>
        <v>55</v>
      </c>
      <c r="X7" s="45">
        <f t="shared" si="2"/>
        <v>-70</v>
      </c>
      <c r="Y7" s="199">
        <f t="shared" si="3"/>
        <v>-380</v>
      </c>
      <c r="Z7" s="38">
        <f t="shared" si="4"/>
        <v>-310</v>
      </c>
      <c r="AA7" s="39">
        <f t="shared" si="5"/>
        <v>-125</v>
      </c>
      <c r="AB7" s="58">
        <f t="shared" si="6"/>
        <v>-435</v>
      </c>
    </row>
    <row r="8" spans="1:35" s="1" customFormat="1" x14ac:dyDescent="0.2">
      <c r="A8" s="11" t="s">
        <v>5</v>
      </c>
      <c r="B8" s="12" t="s">
        <v>19</v>
      </c>
      <c r="C8" s="12" t="s">
        <v>106</v>
      </c>
      <c r="D8" s="12" t="s">
        <v>6</v>
      </c>
      <c r="E8" s="12">
        <v>6288223</v>
      </c>
      <c r="F8" s="13">
        <v>7640</v>
      </c>
      <c r="G8" s="14">
        <v>45492</v>
      </c>
      <c r="H8" s="15" t="s">
        <v>7</v>
      </c>
      <c r="I8" s="16" t="s">
        <v>16</v>
      </c>
      <c r="J8" s="16">
        <v>6289600</v>
      </c>
      <c r="K8" s="17">
        <v>7600</v>
      </c>
      <c r="L8" s="18">
        <v>45495</v>
      </c>
      <c r="M8" s="19" t="s">
        <v>17</v>
      </c>
      <c r="N8" s="20" t="s">
        <v>18</v>
      </c>
      <c r="O8" s="20"/>
      <c r="P8" s="20">
        <v>22</v>
      </c>
      <c r="Q8" s="21">
        <v>45495</v>
      </c>
      <c r="R8" s="20">
        <v>310</v>
      </c>
      <c r="S8" s="22">
        <v>7200</v>
      </c>
      <c r="T8" s="23">
        <v>180</v>
      </c>
      <c r="V8" s="37">
        <f t="shared" si="0"/>
        <v>6890</v>
      </c>
      <c r="W8" s="28">
        <f t="shared" si="1"/>
        <v>-310</v>
      </c>
      <c r="X8" s="45">
        <f t="shared" si="2"/>
        <v>-710</v>
      </c>
      <c r="Y8" s="199">
        <f t="shared" si="3"/>
        <v>-750</v>
      </c>
      <c r="Z8" s="38">
        <f t="shared" si="4"/>
        <v>-40</v>
      </c>
      <c r="AA8" s="39">
        <f t="shared" si="5"/>
        <v>-400</v>
      </c>
      <c r="AB8" s="58">
        <f t="shared" si="6"/>
        <v>-440</v>
      </c>
    </row>
    <row r="9" spans="1:35" s="1" customFormat="1" x14ac:dyDescent="0.2">
      <c r="A9" s="11" t="s">
        <v>5</v>
      </c>
      <c r="B9" s="12" t="s">
        <v>19</v>
      </c>
      <c r="C9" s="12" t="s">
        <v>160</v>
      </c>
      <c r="D9" s="12" t="s">
        <v>62</v>
      </c>
      <c r="E9" s="12">
        <v>6291736</v>
      </c>
      <c r="F9" s="13">
        <v>7780</v>
      </c>
      <c r="G9" s="14">
        <v>45496</v>
      </c>
      <c r="H9" s="15" t="s">
        <v>31</v>
      </c>
      <c r="I9" s="16" t="s">
        <v>16</v>
      </c>
      <c r="J9" s="16">
        <v>6291895</v>
      </c>
      <c r="K9" s="17">
        <v>7790</v>
      </c>
      <c r="L9" s="18">
        <v>45497</v>
      </c>
      <c r="M9" s="19" t="s">
        <v>35</v>
      </c>
      <c r="N9" s="20" t="s">
        <v>74</v>
      </c>
      <c r="O9" s="20">
        <v>15</v>
      </c>
      <c r="P9" s="20"/>
      <c r="Q9" s="21">
        <v>45497</v>
      </c>
      <c r="R9" s="20">
        <v>55</v>
      </c>
      <c r="S9" s="22">
        <v>7555</v>
      </c>
      <c r="T9" s="23">
        <v>200</v>
      </c>
      <c r="V9" s="37">
        <f t="shared" si="0"/>
        <v>7755</v>
      </c>
      <c r="W9" s="24">
        <f t="shared" si="1"/>
        <v>200</v>
      </c>
      <c r="X9" s="45">
        <f t="shared" si="2"/>
        <v>-35</v>
      </c>
      <c r="Y9" s="25">
        <f t="shared" si="3"/>
        <v>-25</v>
      </c>
      <c r="Z9" s="38">
        <f t="shared" si="4"/>
        <v>10</v>
      </c>
      <c r="AA9" s="39">
        <f t="shared" si="5"/>
        <v>-235</v>
      </c>
      <c r="AB9" s="58">
        <f t="shared" si="6"/>
        <v>-225</v>
      </c>
    </row>
    <row r="10" spans="1:35" s="1" customFormat="1" x14ac:dyDescent="0.2">
      <c r="A10" s="11" t="s">
        <v>5</v>
      </c>
      <c r="B10" s="12" t="s">
        <v>19</v>
      </c>
      <c r="C10" s="12" t="s">
        <v>154</v>
      </c>
      <c r="D10" s="12" t="s">
        <v>62</v>
      </c>
      <c r="E10" s="12">
        <v>6291649</v>
      </c>
      <c r="F10" s="13">
        <v>7780</v>
      </c>
      <c r="G10" s="14">
        <v>45496</v>
      </c>
      <c r="H10" s="15" t="s">
        <v>31</v>
      </c>
      <c r="I10" s="16" t="s">
        <v>16</v>
      </c>
      <c r="J10" s="16">
        <v>6291938</v>
      </c>
      <c r="K10" s="17">
        <v>7765</v>
      </c>
      <c r="L10" s="18">
        <v>45497</v>
      </c>
      <c r="M10" s="19" t="s">
        <v>35</v>
      </c>
      <c r="N10" s="20" t="s">
        <v>74</v>
      </c>
      <c r="O10" s="20">
        <v>14</v>
      </c>
      <c r="P10" s="20"/>
      <c r="Q10" s="21">
        <v>45497</v>
      </c>
      <c r="R10" s="20">
        <v>110</v>
      </c>
      <c r="S10" s="22">
        <v>7748</v>
      </c>
      <c r="T10" s="23">
        <v>155</v>
      </c>
      <c r="V10" s="37">
        <f t="shared" si="0"/>
        <v>7265</v>
      </c>
      <c r="W10" s="28">
        <f t="shared" si="1"/>
        <v>-483</v>
      </c>
      <c r="X10" s="45">
        <f t="shared" si="2"/>
        <v>-500</v>
      </c>
      <c r="Y10" s="199">
        <f t="shared" si="3"/>
        <v>-515</v>
      </c>
      <c r="Z10" s="38">
        <f t="shared" si="4"/>
        <v>-15</v>
      </c>
      <c r="AA10" s="39">
        <f t="shared" si="5"/>
        <v>-17</v>
      </c>
      <c r="AB10" s="58">
        <f t="shared" si="6"/>
        <v>-32</v>
      </c>
    </row>
    <row r="11" spans="1:35" s="1" customFormat="1" x14ac:dyDescent="0.2">
      <c r="A11" s="11" t="s">
        <v>5</v>
      </c>
      <c r="B11" s="12" t="s">
        <v>19</v>
      </c>
      <c r="C11" s="12" t="s">
        <v>162</v>
      </c>
      <c r="D11" s="12" t="s">
        <v>62</v>
      </c>
      <c r="E11" s="12">
        <v>6294186</v>
      </c>
      <c r="F11" s="13">
        <v>7780</v>
      </c>
      <c r="G11" s="14">
        <v>45496</v>
      </c>
      <c r="H11" s="15" t="s">
        <v>31</v>
      </c>
      <c r="I11" s="16" t="s">
        <v>121</v>
      </c>
      <c r="J11" s="16">
        <v>6292376</v>
      </c>
      <c r="K11" s="17">
        <v>7655</v>
      </c>
      <c r="L11" s="18">
        <v>45496</v>
      </c>
      <c r="M11" s="19" t="s">
        <v>17</v>
      </c>
      <c r="N11" s="20" t="s">
        <v>79</v>
      </c>
      <c r="O11" s="20"/>
      <c r="P11" s="20">
        <v>25</v>
      </c>
      <c r="Q11" s="21">
        <v>45497</v>
      </c>
      <c r="R11" s="20">
        <v>310</v>
      </c>
      <c r="S11" s="22">
        <v>6776</v>
      </c>
      <c r="T11" s="23">
        <v>50</v>
      </c>
      <c r="V11" s="37">
        <f t="shared" si="0"/>
        <v>7675</v>
      </c>
      <c r="W11" s="24">
        <f t="shared" si="1"/>
        <v>899</v>
      </c>
      <c r="X11" s="27">
        <f t="shared" si="2"/>
        <v>20</v>
      </c>
      <c r="Y11" s="200">
        <f t="shared" si="3"/>
        <v>-105</v>
      </c>
      <c r="Z11" s="38">
        <f t="shared" si="4"/>
        <v>-125</v>
      </c>
      <c r="AA11" s="39">
        <f t="shared" si="5"/>
        <v>-879</v>
      </c>
      <c r="AB11" s="58">
        <f t="shared" si="6"/>
        <v>-1004</v>
      </c>
    </row>
    <row r="12" spans="1:35" s="1" customFormat="1" x14ac:dyDescent="0.2">
      <c r="A12" s="11" t="s">
        <v>5</v>
      </c>
      <c r="B12" s="12" t="s">
        <v>19</v>
      </c>
      <c r="C12" s="12" t="s">
        <v>164</v>
      </c>
      <c r="D12" s="12" t="s">
        <v>15</v>
      </c>
      <c r="E12" s="12">
        <v>6283273</v>
      </c>
      <c r="F12" s="13">
        <v>7680</v>
      </c>
      <c r="G12" s="14">
        <v>45485</v>
      </c>
      <c r="H12" s="15" t="s">
        <v>163</v>
      </c>
      <c r="I12" s="16" t="s">
        <v>8</v>
      </c>
      <c r="J12" s="16">
        <v>6292277</v>
      </c>
      <c r="K12" s="17">
        <v>7725</v>
      </c>
      <c r="L12" s="18">
        <v>45497</v>
      </c>
      <c r="M12" s="19" t="s">
        <v>39</v>
      </c>
      <c r="N12" s="20" t="s">
        <v>51</v>
      </c>
      <c r="O12" s="20">
        <v>15</v>
      </c>
      <c r="P12" s="20"/>
      <c r="Q12" s="21">
        <v>45497</v>
      </c>
      <c r="R12" s="20">
        <v>502</v>
      </c>
      <c r="S12" s="22">
        <v>7510</v>
      </c>
      <c r="T12" s="23">
        <v>215</v>
      </c>
      <c r="V12" s="37">
        <f t="shared" si="0"/>
        <v>7715</v>
      </c>
      <c r="W12" s="24">
        <f t="shared" si="1"/>
        <v>205</v>
      </c>
      <c r="X12" s="27">
        <f t="shared" si="2"/>
        <v>-10</v>
      </c>
      <c r="Y12" s="200">
        <f t="shared" si="3"/>
        <v>35</v>
      </c>
      <c r="Z12" s="38">
        <f t="shared" si="4"/>
        <v>45</v>
      </c>
      <c r="AA12" s="39">
        <f t="shared" si="5"/>
        <v>-215</v>
      </c>
      <c r="AB12" s="58">
        <f t="shared" si="6"/>
        <v>-170</v>
      </c>
    </row>
    <row r="13" spans="1:35" s="1" customFormat="1" x14ac:dyDescent="0.2">
      <c r="A13" s="11" t="s">
        <v>5</v>
      </c>
      <c r="B13" s="12" t="s">
        <v>24</v>
      </c>
      <c r="C13" s="12" t="s">
        <v>177</v>
      </c>
      <c r="D13" s="12" t="s">
        <v>46</v>
      </c>
      <c r="E13" s="12">
        <v>6292260</v>
      </c>
      <c r="F13" s="13">
        <v>7780</v>
      </c>
      <c r="G13" s="14">
        <v>45497</v>
      </c>
      <c r="H13" s="15" t="s">
        <v>7</v>
      </c>
      <c r="I13" s="16" t="s">
        <v>63</v>
      </c>
      <c r="J13" s="16">
        <v>6292601</v>
      </c>
      <c r="K13" s="17">
        <v>7789</v>
      </c>
      <c r="L13" s="18">
        <v>45497</v>
      </c>
      <c r="M13" s="19" t="s">
        <v>35</v>
      </c>
      <c r="N13" s="20" t="s">
        <v>36</v>
      </c>
      <c r="O13" s="20">
        <v>15</v>
      </c>
      <c r="P13" s="20"/>
      <c r="Q13" s="21">
        <v>45497</v>
      </c>
      <c r="R13" s="20">
        <v>55</v>
      </c>
      <c r="S13" s="22">
        <v>7780</v>
      </c>
      <c r="T13" s="23">
        <v>55</v>
      </c>
      <c r="V13" s="37">
        <f t="shared" si="0"/>
        <v>7610</v>
      </c>
      <c r="W13" s="28">
        <f t="shared" si="1"/>
        <v>-170</v>
      </c>
      <c r="X13" s="26">
        <f t="shared" si="2"/>
        <v>-179</v>
      </c>
      <c r="Y13" s="200">
        <f t="shared" si="3"/>
        <v>-170</v>
      </c>
      <c r="Z13" s="38">
        <f t="shared" si="4"/>
        <v>9</v>
      </c>
      <c r="AA13" s="39">
        <f t="shared" si="5"/>
        <v>-9</v>
      </c>
      <c r="AB13" s="58">
        <f t="shared" si="6"/>
        <v>0</v>
      </c>
    </row>
    <row r="14" spans="1:35" s="1" customFormat="1" x14ac:dyDescent="0.2">
      <c r="A14" s="11" t="s">
        <v>5</v>
      </c>
      <c r="B14" s="12" t="s">
        <v>21</v>
      </c>
      <c r="C14" s="12" t="s">
        <v>192</v>
      </c>
      <c r="D14" s="12" t="s">
        <v>62</v>
      </c>
      <c r="E14" s="12">
        <v>6295043</v>
      </c>
      <c r="F14" s="13">
        <v>7840</v>
      </c>
      <c r="G14" s="14">
        <v>45499</v>
      </c>
      <c r="H14" s="15" t="s">
        <v>7</v>
      </c>
      <c r="I14" s="16" t="s">
        <v>27</v>
      </c>
      <c r="J14" s="16">
        <v>6295208</v>
      </c>
      <c r="K14" s="17">
        <v>7720</v>
      </c>
      <c r="L14" s="18">
        <v>45499</v>
      </c>
      <c r="M14" s="19" t="s">
        <v>35</v>
      </c>
      <c r="N14" s="20" t="s">
        <v>74</v>
      </c>
      <c r="O14" s="20">
        <v>15</v>
      </c>
      <c r="P14" s="20"/>
      <c r="Q14" s="21">
        <v>45499</v>
      </c>
      <c r="R14" s="20">
        <v>55</v>
      </c>
      <c r="S14" s="22">
        <v>7555</v>
      </c>
      <c r="T14" s="23">
        <v>205</v>
      </c>
      <c r="V14" s="37">
        <f t="shared" si="0"/>
        <v>7760</v>
      </c>
      <c r="W14" s="24">
        <f t="shared" si="1"/>
        <v>205</v>
      </c>
      <c r="X14" s="27">
        <f t="shared" si="2"/>
        <v>40</v>
      </c>
      <c r="Y14" s="200">
        <f t="shared" si="3"/>
        <v>-80</v>
      </c>
      <c r="Z14" s="38">
        <f t="shared" si="4"/>
        <v>-120</v>
      </c>
      <c r="AA14" s="39">
        <f t="shared" si="5"/>
        <v>-165</v>
      </c>
      <c r="AB14" s="58">
        <f t="shared" si="6"/>
        <v>-285</v>
      </c>
    </row>
    <row r="15" spans="1:35" s="1" customFormat="1" x14ac:dyDescent="0.2">
      <c r="A15" s="11" t="s">
        <v>5</v>
      </c>
      <c r="B15" s="12" t="s">
        <v>21</v>
      </c>
      <c r="C15" s="12" t="s">
        <v>225</v>
      </c>
      <c r="D15" s="12" t="s">
        <v>127</v>
      </c>
      <c r="E15" s="12">
        <v>6303034</v>
      </c>
      <c r="F15" s="13">
        <v>7900</v>
      </c>
      <c r="G15" s="14">
        <v>45505</v>
      </c>
      <c r="H15" s="15" t="s">
        <v>163</v>
      </c>
      <c r="I15" s="16" t="s">
        <v>27</v>
      </c>
      <c r="J15" s="16">
        <v>6305517</v>
      </c>
      <c r="K15" s="17">
        <v>7810</v>
      </c>
      <c r="L15" s="18">
        <v>45507</v>
      </c>
      <c r="M15" s="19" t="s">
        <v>44</v>
      </c>
      <c r="N15" s="20" t="s">
        <v>18</v>
      </c>
      <c r="O15" s="20"/>
      <c r="P15" s="20">
        <v>25</v>
      </c>
      <c r="Q15" s="21">
        <v>45507</v>
      </c>
      <c r="R15" s="20">
        <v>110</v>
      </c>
      <c r="S15" s="22">
        <v>7825</v>
      </c>
      <c r="T15" s="23">
        <v>90</v>
      </c>
      <c r="V15" s="37">
        <f t="shared" si="0"/>
        <v>7715</v>
      </c>
      <c r="W15" s="46">
        <f t="shared" si="1"/>
        <v>-110</v>
      </c>
      <c r="X15" s="27">
        <f t="shared" si="2"/>
        <v>-95</v>
      </c>
      <c r="Y15" s="199">
        <f t="shared" si="3"/>
        <v>-185</v>
      </c>
      <c r="Z15" s="38">
        <f t="shared" si="4"/>
        <v>-90</v>
      </c>
      <c r="AA15" s="39">
        <f t="shared" si="5"/>
        <v>15</v>
      </c>
      <c r="AB15" s="58">
        <f t="shared" si="6"/>
        <v>-75</v>
      </c>
    </row>
    <row r="16" spans="1:35" s="1" customFormat="1" x14ac:dyDescent="0.2">
      <c r="A16" s="11" t="s">
        <v>5</v>
      </c>
      <c r="B16" s="12" t="s">
        <v>21</v>
      </c>
      <c r="C16" s="12" t="s">
        <v>226</v>
      </c>
      <c r="D16" s="12" t="s">
        <v>15</v>
      </c>
      <c r="E16" s="12">
        <v>6303354</v>
      </c>
      <c r="F16" s="13">
        <v>7920</v>
      </c>
      <c r="G16" s="14">
        <v>45506</v>
      </c>
      <c r="H16" s="15" t="s">
        <v>7</v>
      </c>
      <c r="I16" s="16" t="s">
        <v>8</v>
      </c>
      <c r="J16" s="16">
        <v>6304908</v>
      </c>
      <c r="K16" s="17">
        <v>7620</v>
      </c>
      <c r="L16" s="18">
        <v>45507</v>
      </c>
      <c r="M16" s="19" t="s">
        <v>44</v>
      </c>
      <c r="N16" s="20" t="s">
        <v>18</v>
      </c>
      <c r="O16" s="20">
        <v>15</v>
      </c>
      <c r="P16" s="20"/>
      <c r="Q16" s="21">
        <v>45507</v>
      </c>
      <c r="R16" s="20">
        <v>500</v>
      </c>
      <c r="S16" s="22">
        <v>7500</v>
      </c>
      <c r="T16" s="23">
        <v>150</v>
      </c>
      <c r="V16" s="37">
        <f t="shared" si="0"/>
        <v>7650</v>
      </c>
      <c r="W16" s="46">
        <f t="shared" si="1"/>
        <v>150</v>
      </c>
      <c r="X16" s="27">
        <f t="shared" si="2"/>
        <v>30</v>
      </c>
      <c r="Y16" s="199">
        <f t="shared" si="3"/>
        <v>-270</v>
      </c>
      <c r="Z16" s="38">
        <f t="shared" si="4"/>
        <v>-300</v>
      </c>
      <c r="AA16" s="39">
        <f t="shared" si="5"/>
        <v>-120</v>
      </c>
      <c r="AB16" s="58">
        <f t="shared" si="6"/>
        <v>-420</v>
      </c>
    </row>
    <row r="17" spans="1:32" s="1" customFormat="1" x14ac:dyDescent="0.2">
      <c r="A17" s="11" t="s">
        <v>5</v>
      </c>
      <c r="B17" s="12" t="s">
        <v>21</v>
      </c>
      <c r="C17" s="12" t="s">
        <v>240</v>
      </c>
      <c r="D17" s="12" t="s">
        <v>231</v>
      </c>
      <c r="E17" s="12">
        <v>6305922</v>
      </c>
      <c r="F17" s="13">
        <v>7870</v>
      </c>
      <c r="G17" s="14">
        <v>414401</v>
      </c>
      <c r="H17" s="15" t="s">
        <v>48</v>
      </c>
      <c r="I17" s="16" t="s">
        <v>63</v>
      </c>
      <c r="J17" s="16">
        <v>6309334</v>
      </c>
      <c r="K17" s="17">
        <v>7800</v>
      </c>
      <c r="L17" s="18">
        <v>45511</v>
      </c>
      <c r="M17" s="19" t="s">
        <v>44</v>
      </c>
      <c r="N17" s="20" t="s">
        <v>115</v>
      </c>
      <c r="O17" s="20"/>
      <c r="P17" s="20">
        <v>24</v>
      </c>
      <c r="Q17" s="21">
        <v>45511</v>
      </c>
      <c r="R17" s="20">
        <v>110</v>
      </c>
      <c r="S17" s="22">
        <v>7749</v>
      </c>
      <c r="T17" s="23">
        <v>51</v>
      </c>
      <c r="V17" s="37">
        <f t="shared" si="0"/>
        <v>7371</v>
      </c>
      <c r="W17" s="28">
        <f t="shared" si="1"/>
        <v>-378</v>
      </c>
      <c r="X17" s="45">
        <f t="shared" si="2"/>
        <v>-429</v>
      </c>
      <c r="Y17" s="199">
        <f t="shared" si="3"/>
        <v>-499</v>
      </c>
      <c r="Z17" s="38">
        <f t="shared" si="4"/>
        <v>-70</v>
      </c>
      <c r="AA17" s="39">
        <f t="shared" si="5"/>
        <v>-51</v>
      </c>
      <c r="AB17" s="58">
        <f t="shared" si="6"/>
        <v>-121</v>
      </c>
    </row>
    <row r="18" spans="1:32" s="1" customFormat="1" x14ac:dyDescent="0.2">
      <c r="A18" s="11" t="s">
        <v>5</v>
      </c>
      <c r="B18" s="12" t="s">
        <v>24</v>
      </c>
      <c r="C18" s="12" t="s">
        <v>244</v>
      </c>
      <c r="D18" s="12" t="s">
        <v>62</v>
      </c>
      <c r="E18" s="12">
        <v>6305567</v>
      </c>
      <c r="F18" s="13">
        <v>7720</v>
      </c>
      <c r="G18" s="14">
        <v>45507</v>
      </c>
      <c r="H18" s="15" t="s">
        <v>48</v>
      </c>
      <c r="I18" s="16" t="s">
        <v>32</v>
      </c>
      <c r="J18" s="16">
        <v>6309541</v>
      </c>
      <c r="K18" s="17">
        <v>7740</v>
      </c>
      <c r="L18" s="18">
        <v>45511</v>
      </c>
      <c r="M18" s="19" t="s">
        <v>44</v>
      </c>
      <c r="N18" s="20" t="s">
        <v>51</v>
      </c>
      <c r="O18" s="20"/>
      <c r="P18" s="20">
        <v>25</v>
      </c>
      <c r="Q18" s="21">
        <v>45511</v>
      </c>
      <c r="R18" s="20">
        <v>310</v>
      </c>
      <c r="S18" s="22">
        <v>7700</v>
      </c>
      <c r="T18" s="23">
        <v>270</v>
      </c>
      <c r="V18" s="37">
        <f t="shared" si="0"/>
        <v>7895</v>
      </c>
      <c r="W18" s="24">
        <f t="shared" si="1"/>
        <v>195</v>
      </c>
      <c r="X18" s="27">
        <f t="shared" si="2"/>
        <v>155</v>
      </c>
      <c r="Y18" s="47">
        <f t="shared" si="3"/>
        <v>175</v>
      </c>
      <c r="Z18" s="38">
        <f t="shared" si="4"/>
        <v>20</v>
      </c>
      <c r="AA18" s="39">
        <f t="shared" si="5"/>
        <v>-40</v>
      </c>
      <c r="AB18" s="39">
        <f t="shared" si="6"/>
        <v>-20</v>
      </c>
    </row>
    <row r="19" spans="1:32" s="1" customFormat="1" x14ac:dyDescent="0.2">
      <c r="A19" s="11" t="s">
        <v>5</v>
      </c>
      <c r="B19" s="12" t="s">
        <v>21</v>
      </c>
      <c r="C19" s="12" t="s">
        <v>249</v>
      </c>
      <c r="D19" s="12" t="s">
        <v>15</v>
      </c>
      <c r="E19" s="12">
        <v>6310568</v>
      </c>
      <c r="F19" s="13">
        <v>7760</v>
      </c>
      <c r="G19" s="14">
        <v>45511</v>
      </c>
      <c r="H19" s="15" t="s">
        <v>31</v>
      </c>
      <c r="I19" s="16" t="s">
        <v>27</v>
      </c>
      <c r="J19" s="16">
        <v>6310781</v>
      </c>
      <c r="K19" s="17">
        <v>7560</v>
      </c>
      <c r="L19" s="18">
        <v>45512</v>
      </c>
      <c r="M19" s="19" t="s">
        <v>44</v>
      </c>
      <c r="N19" s="20" t="s">
        <v>18</v>
      </c>
      <c r="O19" s="20">
        <v>14</v>
      </c>
      <c r="P19" s="20"/>
      <c r="Q19" s="21">
        <v>45512</v>
      </c>
      <c r="R19" s="20">
        <v>110</v>
      </c>
      <c r="S19" s="22">
        <v>7570</v>
      </c>
      <c r="T19" s="23">
        <v>450</v>
      </c>
      <c r="V19" s="37">
        <f t="shared" si="0"/>
        <v>7560</v>
      </c>
      <c r="W19" s="46">
        <f t="shared" si="1"/>
        <v>-10</v>
      </c>
      <c r="X19" s="27">
        <f t="shared" si="2"/>
        <v>0</v>
      </c>
      <c r="Y19" s="204">
        <f t="shared" si="3"/>
        <v>-200</v>
      </c>
      <c r="Z19" s="38">
        <f t="shared" si="4"/>
        <v>-200</v>
      </c>
      <c r="AA19" s="39">
        <f t="shared" si="5"/>
        <v>10</v>
      </c>
      <c r="AB19" s="39">
        <f t="shared" si="6"/>
        <v>-190</v>
      </c>
    </row>
    <row r="20" spans="1:32" s="1" customFormat="1" x14ac:dyDescent="0.2">
      <c r="A20" s="11" t="s">
        <v>5</v>
      </c>
      <c r="B20" s="12" t="s">
        <v>21</v>
      </c>
      <c r="C20" s="12" t="s">
        <v>257</v>
      </c>
      <c r="D20" s="12" t="s">
        <v>218</v>
      </c>
      <c r="E20" s="12">
        <v>6309587</v>
      </c>
      <c r="F20" s="13">
        <v>7660</v>
      </c>
      <c r="G20" s="14">
        <v>45511</v>
      </c>
      <c r="H20" s="15" t="s">
        <v>31</v>
      </c>
      <c r="I20" s="16" t="s">
        <v>101</v>
      </c>
      <c r="J20" s="16">
        <v>6310368</v>
      </c>
      <c r="K20" s="17">
        <v>7550</v>
      </c>
      <c r="L20" s="18">
        <v>45511</v>
      </c>
      <c r="M20" s="19" t="s">
        <v>39</v>
      </c>
      <c r="N20" s="20" t="s">
        <v>51</v>
      </c>
      <c r="O20" s="20">
        <v>14</v>
      </c>
      <c r="P20" s="20"/>
      <c r="Q20" s="21">
        <v>45511</v>
      </c>
      <c r="R20" s="20">
        <v>110</v>
      </c>
      <c r="S20" s="22">
        <v>7520</v>
      </c>
      <c r="T20" s="23">
        <v>350</v>
      </c>
      <c r="V20" s="37">
        <f t="shared" si="0"/>
        <v>7460</v>
      </c>
      <c r="W20" s="28">
        <f t="shared" si="1"/>
        <v>-60</v>
      </c>
      <c r="X20" s="45">
        <f t="shared" si="2"/>
        <v>-90</v>
      </c>
      <c r="Y20" s="204">
        <f t="shared" si="3"/>
        <v>-200</v>
      </c>
      <c r="Z20" s="38">
        <f t="shared" si="4"/>
        <v>-110</v>
      </c>
      <c r="AA20" s="39">
        <f t="shared" si="5"/>
        <v>-30</v>
      </c>
      <c r="AB20" s="39">
        <f t="shared" si="6"/>
        <v>-140</v>
      </c>
      <c r="AC20" s="209"/>
    </row>
    <row r="21" spans="1:32" s="1" customFormat="1" x14ac:dyDescent="0.2">
      <c r="A21" s="11" t="s">
        <v>5</v>
      </c>
      <c r="B21" s="12" t="s">
        <v>21</v>
      </c>
      <c r="C21" s="12" t="s">
        <v>261</v>
      </c>
      <c r="D21" s="12" t="s">
        <v>15</v>
      </c>
      <c r="E21" s="12">
        <v>6310479</v>
      </c>
      <c r="F21" s="13">
        <v>7668</v>
      </c>
      <c r="G21" s="14">
        <v>45511</v>
      </c>
      <c r="H21" s="15" t="s">
        <v>163</v>
      </c>
      <c r="I21" s="16" t="s">
        <v>8</v>
      </c>
      <c r="J21" s="16">
        <v>6312095</v>
      </c>
      <c r="K21" s="17">
        <v>7540</v>
      </c>
      <c r="L21" s="18">
        <v>45512</v>
      </c>
      <c r="M21" s="19" t="s">
        <v>39</v>
      </c>
      <c r="N21" s="20" t="s">
        <v>51</v>
      </c>
      <c r="O21" s="20">
        <v>15</v>
      </c>
      <c r="P21" s="20"/>
      <c r="Q21" s="21">
        <v>45512</v>
      </c>
      <c r="R21" s="20">
        <v>500</v>
      </c>
      <c r="S21" s="22">
        <v>7528</v>
      </c>
      <c r="T21" s="23">
        <v>10</v>
      </c>
      <c r="V21" s="37">
        <f t="shared" si="0"/>
        <v>7510</v>
      </c>
      <c r="W21" s="28">
        <f t="shared" si="1"/>
        <v>-18</v>
      </c>
      <c r="X21" s="45">
        <f t="shared" si="2"/>
        <v>-30</v>
      </c>
      <c r="Y21" s="204">
        <f t="shared" si="3"/>
        <v>-158</v>
      </c>
      <c r="Z21" s="38">
        <f t="shared" si="4"/>
        <v>-128</v>
      </c>
      <c r="AA21" s="39">
        <f t="shared" si="5"/>
        <v>-12</v>
      </c>
      <c r="AB21" s="39">
        <f t="shared" si="6"/>
        <v>-140</v>
      </c>
      <c r="AC21" s="209"/>
    </row>
    <row r="22" spans="1:32" x14ac:dyDescent="0.2">
      <c r="G22" s="153"/>
      <c r="L22" s="153"/>
      <c r="Q22" s="153"/>
      <c r="W22" s="139"/>
      <c r="X22" s="139"/>
      <c r="Y22" s="155"/>
      <c r="Z22" s="138"/>
      <c r="AE22" s="138"/>
      <c r="AF22" s="138"/>
    </row>
    <row r="23" spans="1:32" x14ac:dyDescent="0.2">
      <c r="G23" s="153"/>
      <c r="L23" s="153"/>
      <c r="Q23" s="153"/>
      <c r="W23" s="139"/>
      <c r="X23" s="138"/>
      <c r="Y23" s="154"/>
      <c r="Z23" s="138"/>
      <c r="AE23" s="138"/>
      <c r="AF23" s="138"/>
    </row>
    <row r="24" spans="1:32" x14ac:dyDescent="0.2">
      <c r="G24" s="153"/>
      <c r="L24" s="153"/>
      <c r="Q24" s="153"/>
      <c r="W24" s="139"/>
      <c r="X24" s="139"/>
      <c r="Y24" s="155"/>
      <c r="Z24" s="138"/>
      <c r="AE24" s="138"/>
      <c r="AF24" s="138"/>
    </row>
    <row r="25" spans="1:32" x14ac:dyDescent="0.2">
      <c r="G25" s="153"/>
      <c r="L25" s="153"/>
      <c r="Q25" s="153"/>
      <c r="W25" s="139"/>
      <c r="X25" s="138"/>
      <c r="Y25" s="155"/>
      <c r="Z25" s="138"/>
      <c r="AE25" s="138"/>
      <c r="AF25" s="138"/>
    </row>
    <row r="26" spans="1:32" x14ac:dyDescent="0.2">
      <c r="G26" s="153"/>
      <c r="L26" s="153"/>
      <c r="Q26" s="153"/>
      <c r="W26" s="139"/>
      <c r="X26" s="139"/>
      <c r="Y26" s="155"/>
      <c r="Z26" s="138"/>
      <c r="AE26" s="138"/>
      <c r="AF26" s="138"/>
    </row>
    <row r="27" spans="1:32" x14ac:dyDescent="0.2">
      <c r="G27" s="153"/>
      <c r="L27" s="153"/>
      <c r="Q27" s="153"/>
      <c r="W27" s="139"/>
      <c r="X27" s="138"/>
      <c r="Y27" s="155"/>
      <c r="Z27" s="138"/>
      <c r="AE27" s="138"/>
      <c r="AF27" s="138"/>
    </row>
    <row r="28" spans="1:32" x14ac:dyDescent="0.2">
      <c r="G28" s="153"/>
      <c r="L28" s="153"/>
      <c r="Q28" s="153"/>
      <c r="X28" s="138"/>
      <c r="Y28" s="155"/>
      <c r="Z28" s="138"/>
      <c r="AE28" s="138"/>
      <c r="AF28" s="138"/>
    </row>
    <row r="29" spans="1:32" x14ac:dyDescent="0.2">
      <c r="G29" s="153"/>
      <c r="L29" s="153"/>
      <c r="Q29" s="153"/>
      <c r="X29" s="138"/>
      <c r="Y29" s="155"/>
      <c r="Z29" s="138"/>
      <c r="AE29" s="138"/>
      <c r="AF29" s="138"/>
    </row>
    <row r="30" spans="1:32" x14ac:dyDescent="0.2">
      <c r="G30" s="153"/>
      <c r="L30" s="153"/>
      <c r="Q30" s="153"/>
      <c r="W30" s="139"/>
      <c r="X30" s="138"/>
      <c r="Y30" s="154"/>
      <c r="Z30" s="138"/>
      <c r="AE30" s="138"/>
      <c r="AF30" s="138"/>
    </row>
    <row r="31" spans="1:32" x14ac:dyDescent="0.2">
      <c r="G31" s="153"/>
      <c r="L31" s="153"/>
      <c r="Q31" s="153"/>
      <c r="X31" s="139"/>
      <c r="Y31" s="154"/>
      <c r="Z31" s="138"/>
      <c r="AE31" s="138"/>
      <c r="AF31" s="138"/>
    </row>
    <row r="32" spans="1:32" x14ac:dyDescent="0.2">
      <c r="G32" s="153"/>
      <c r="L32" s="153"/>
      <c r="Q32" s="153"/>
      <c r="W32" s="139"/>
      <c r="X32" s="138"/>
      <c r="Y32" s="154"/>
      <c r="Z32" s="138"/>
      <c r="AE32" s="138"/>
      <c r="AF32" s="138"/>
    </row>
    <row r="33" spans="7:32" x14ac:dyDescent="0.2">
      <c r="G33" s="153"/>
      <c r="L33" s="153"/>
      <c r="Q33" s="153"/>
      <c r="X33" s="139"/>
      <c r="Y33" s="154"/>
      <c r="Z33" s="138"/>
      <c r="AE33" s="138"/>
      <c r="AF33" s="138"/>
    </row>
    <row r="34" spans="7:32" x14ac:dyDescent="0.2">
      <c r="G34" s="153"/>
      <c r="L34" s="153"/>
      <c r="Q34" s="153"/>
      <c r="W34" s="139"/>
      <c r="X34" s="138"/>
      <c r="Y34" s="154"/>
      <c r="Z34" s="138"/>
      <c r="AE34" s="138"/>
      <c r="AF34" s="138"/>
    </row>
    <row r="35" spans="7:32" x14ac:dyDescent="0.2">
      <c r="G35" s="153"/>
      <c r="L35" s="153"/>
      <c r="W35" s="139"/>
      <c r="X35" s="139"/>
      <c r="Y35" s="155"/>
      <c r="Z35" s="138"/>
      <c r="AE35" s="138"/>
      <c r="AF35" s="138"/>
    </row>
    <row r="36" spans="7:32" x14ac:dyDescent="0.2">
      <c r="G36" s="153"/>
      <c r="L36" s="153"/>
      <c r="Q36" s="153"/>
      <c r="W36" s="139"/>
      <c r="X36" s="139"/>
      <c r="Y36" s="155"/>
      <c r="Z36" s="138"/>
      <c r="AE36" s="138"/>
      <c r="AF36" s="138"/>
    </row>
    <row r="37" spans="7:32" x14ac:dyDescent="0.2">
      <c r="G37" s="153"/>
      <c r="L37" s="153"/>
      <c r="Q37" s="153"/>
      <c r="W37" s="139"/>
      <c r="X37" s="139"/>
      <c r="Y37" s="155"/>
      <c r="Z37" s="138"/>
      <c r="AE37" s="138"/>
      <c r="AF37" s="138"/>
    </row>
    <row r="38" spans="7:32" x14ac:dyDescent="0.2">
      <c r="G38" s="153"/>
      <c r="L38" s="153"/>
      <c r="Q38" s="153"/>
      <c r="W38" s="139"/>
      <c r="X38" s="138"/>
      <c r="Y38" s="154"/>
      <c r="Z38" s="138"/>
      <c r="AE38" s="138"/>
      <c r="AF38" s="138"/>
    </row>
    <row r="39" spans="7:32" x14ac:dyDescent="0.2">
      <c r="G39" s="153"/>
      <c r="L39" s="153"/>
      <c r="Q39" s="153"/>
      <c r="W39" s="139"/>
      <c r="X39" s="138"/>
      <c r="Y39" s="154"/>
      <c r="Z39" s="138"/>
      <c r="AE39" s="138"/>
      <c r="AF39" s="138"/>
    </row>
    <row r="40" spans="7:32" x14ac:dyDescent="0.2">
      <c r="G40" s="153"/>
      <c r="L40" s="153"/>
      <c r="Q40" s="153"/>
      <c r="X40" s="139"/>
      <c r="Y40" s="154"/>
      <c r="Z40" s="138"/>
      <c r="AE40" s="138"/>
      <c r="AF40" s="138"/>
    </row>
    <row r="41" spans="7:32" x14ac:dyDescent="0.2">
      <c r="G41" s="153"/>
      <c r="L41" s="153"/>
      <c r="Q41" s="153"/>
      <c r="W41" s="139"/>
      <c r="X41" s="138"/>
      <c r="Y41" s="154"/>
      <c r="Z41" s="138"/>
      <c r="AE41" s="138"/>
      <c r="AF41" s="138"/>
    </row>
    <row r="42" spans="7:32" x14ac:dyDescent="0.2">
      <c r="G42" s="153"/>
      <c r="L42" s="153"/>
      <c r="Q42" s="153"/>
      <c r="W42" s="139"/>
      <c r="X42" s="139"/>
      <c r="Y42" s="155"/>
      <c r="Z42" s="138"/>
      <c r="AE42" s="138"/>
      <c r="AF42" s="138"/>
    </row>
    <row r="43" spans="7:32" x14ac:dyDescent="0.2">
      <c r="G43" s="153"/>
      <c r="L43" s="153"/>
      <c r="Q43" s="153"/>
      <c r="W43" s="139"/>
      <c r="X43" s="138"/>
      <c r="Y43" s="154"/>
      <c r="Z43" s="138"/>
      <c r="AE43" s="138"/>
      <c r="AF43" s="138"/>
    </row>
    <row r="44" spans="7:32" x14ac:dyDescent="0.2">
      <c r="G44" s="153"/>
      <c r="L44" s="153"/>
      <c r="Q44" s="153"/>
      <c r="X44" s="139"/>
      <c r="Y44" s="154"/>
      <c r="Z44" s="138"/>
      <c r="AE44" s="138"/>
      <c r="AF44" s="138"/>
    </row>
    <row r="45" spans="7:32" x14ac:dyDescent="0.2">
      <c r="G45" s="153"/>
      <c r="L45" s="153"/>
      <c r="Q45" s="153"/>
      <c r="W45" s="139"/>
      <c r="X45" s="138"/>
      <c r="Y45" s="154"/>
      <c r="Z45" s="138"/>
      <c r="AE45" s="138"/>
      <c r="AF45" s="138"/>
    </row>
    <row r="46" spans="7:32" x14ac:dyDescent="0.2">
      <c r="G46" s="153"/>
      <c r="L46" s="153"/>
      <c r="Q46" s="153"/>
      <c r="W46" s="139"/>
      <c r="X46" s="138"/>
      <c r="Y46" s="154"/>
      <c r="Z46" s="138"/>
      <c r="AE46" s="138"/>
      <c r="AF46" s="138"/>
    </row>
    <row r="47" spans="7:32" x14ac:dyDescent="0.2">
      <c r="G47" s="153"/>
      <c r="L47" s="153"/>
      <c r="Q47" s="153"/>
      <c r="W47" s="139"/>
      <c r="X47" s="138"/>
      <c r="Y47" s="154"/>
      <c r="Z47" s="138"/>
      <c r="AE47" s="138"/>
      <c r="AF47" s="138"/>
    </row>
    <row r="48" spans="7:32" x14ac:dyDescent="0.2">
      <c r="G48" s="153"/>
      <c r="L48" s="153"/>
      <c r="Q48" s="153"/>
      <c r="W48" s="139"/>
      <c r="X48" s="138"/>
      <c r="Y48" s="154"/>
      <c r="Z48" s="138"/>
      <c r="AE48" s="138"/>
      <c r="AF48" s="138"/>
    </row>
    <row r="49" spans="7:32" x14ac:dyDescent="0.2">
      <c r="G49" s="153"/>
      <c r="L49" s="153"/>
      <c r="Q49" s="153"/>
      <c r="X49" s="139"/>
      <c r="Y49" s="154"/>
      <c r="Z49" s="138"/>
      <c r="AE49" s="138"/>
      <c r="AF49" s="138"/>
    </row>
    <row r="50" spans="7:32" x14ac:dyDescent="0.2">
      <c r="G50" s="153"/>
      <c r="L50" s="153"/>
      <c r="Q50" s="153"/>
      <c r="W50" s="139"/>
      <c r="X50" s="139"/>
      <c r="Y50" s="155"/>
      <c r="Z50" s="138"/>
      <c r="AE50" s="138"/>
      <c r="AF50" s="138"/>
    </row>
    <row r="51" spans="7:32" x14ac:dyDescent="0.2">
      <c r="G51" s="153"/>
      <c r="L51" s="153"/>
      <c r="W51" s="139"/>
      <c r="X51" s="138"/>
      <c r="Y51" s="154"/>
      <c r="Z51" s="138"/>
      <c r="AE51" s="138"/>
      <c r="AF51" s="138"/>
    </row>
    <row r="52" spans="7:32" x14ac:dyDescent="0.2">
      <c r="G52" s="153"/>
      <c r="L52" s="153"/>
      <c r="Q52" s="153"/>
      <c r="W52" s="139"/>
      <c r="X52" s="139"/>
      <c r="Y52" s="155"/>
      <c r="Z52" s="138"/>
      <c r="AE52" s="138"/>
      <c r="AF52" s="138"/>
    </row>
    <row r="53" spans="7:32" x14ac:dyDescent="0.2">
      <c r="G53" s="153"/>
      <c r="L53" s="153"/>
      <c r="Q53" s="153"/>
      <c r="W53" s="139"/>
      <c r="X53" s="139"/>
      <c r="Y53" s="155"/>
      <c r="Z53" s="138"/>
      <c r="AE53" s="138"/>
      <c r="AF53" s="138"/>
    </row>
    <row r="54" spans="7:32" x14ac:dyDescent="0.2">
      <c r="G54" s="153"/>
      <c r="L54" s="153"/>
      <c r="Q54" s="153"/>
      <c r="W54" s="139"/>
      <c r="X54" s="139"/>
      <c r="Y54" s="155"/>
      <c r="Z54" s="138"/>
      <c r="AE54" s="138"/>
      <c r="AF54" s="138"/>
    </row>
    <row r="55" spans="7:32" x14ac:dyDescent="0.2">
      <c r="G55" s="153"/>
      <c r="L55" s="153"/>
      <c r="Q55" s="153"/>
      <c r="W55" s="139"/>
      <c r="X55" s="139"/>
      <c r="Y55" s="155"/>
      <c r="Z55" s="138"/>
      <c r="AE55" s="138"/>
      <c r="AF55" s="138"/>
    </row>
    <row r="56" spans="7:32" x14ac:dyDescent="0.2">
      <c r="G56" s="153"/>
      <c r="L56" s="153"/>
      <c r="Q56" s="153"/>
      <c r="W56" s="139"/>
      <c r="X56" s="138"/>
      <c r="Y56" s="154"/>
      <c r="Z56" s="138"/>
      <c r="AE56" s="138"/>
      <c r="AF56" s="138"/>
    </row>
    <row r="57" spans="7:32" x14ac:dyDescent="0.2">
      <c r="G57" s="153"/>
      <c r="L57" s="153"/>
      <c r="Q57" s="153"/>
      <c r="X57" s="139"/>
      <c r="Y57" s="154"/>
      <c r="Z57" s="138"/>
      <c r="AE57" s="138"/>
      <c r="AF57" s="138"/>
    </row>
    <row r="58" spans="7:32" x14ac:dyDescent="0.2">
      <c r="G58" s="153"/>
      <c r="L58" s="153"/>
      <c r="Q58" s="153"/>
      <c r="X58" s="139"/>
      <c r="Y58" s="154"/>
      <c r="Z58" s="138"/>
      <c r="AE58" s="138"/>
      <c r="AF58" s="138"/>
    </row>
    <row r="59" spans="7:32" x14ac:dyDescent="0.2">
      <c r="G59" s="153"/>
      <c r="L59" s="153"/>
      <c r="Q59" s="153"/>
      <c r="W59" s="139"/>
      <c r="X59" s="138"/>
      <c r="Y59" s="154"/>
      <c r="Z59" s="138"/>
      <c r="AE59" s="138"/>
      <c r="AF59" s="138"/>
    </row>
    <row r="60" spans="7:32" x14ac:dyDescent="0.2">
      <c r="G60" s="153"/>
      <c r="L60" s="153"/>
      <c r="Q60" s="153"/>
      <c r="W60" s="139"/>
      <c r="X60" s="138"/>
      <c r="Y60" s="154"/>
      <c r="Z60" s="138"/>
      <c r="AE60" s="138"/>
      <c r="AF60" s="138"/>
    </row>
    <row r="61" spans="7:32" x14ac:dyDescent="0.2">
      <c r="G61" s="153"/>
      <c r="L61" s="153"/>
      <c r="Q61" s="153"/>
      <c r="W61" s="139"/>
      <c r="X61" s="139"/>
      <c r="Y61" s="155"/>
      <c r="Z61" s="138"/>
      <c r="AE61" s="138"/>
      <c r="AF61" s="138"/>
    </row>
    <row r="62" spans="7:32" x14ac:dyDescent="0.2">
      <c r="G62" s="153"/>
      <c r="L62" s="153"/>
      <c r="Q62" s="153"/>
      <c r="W62" s="139"/>
      <c r="X62" s="138"/>
      <c r="Y62" s="154"/>
      <c r="Z62" s="138"/>
      <c r="AE62" s="138"/>
      <c r="AF62" s="138"/>
    </row>
    <row r="63" spans="7:32" x14ac:dyDescent="0.2">
      <c r="G63" s="153"/>
      <c r="L63" s="153"/>
      <c r="Q63" s="153"/>
      <c r="W63" s="139"/>
      <c r="X63" s="139"/>
      <c r="Y63" s="155"/>
      <c r="Z63" s="138"/>
      <c r="AE63" s="138"/>
      <c r="AF63" s="138"/>
    </row>
    <row r="64" spans="7:32" x14ac:dyDescent="0.2">
      <c r="G64" s="153"/>
      <c r="L64" s="153"/>
      <c r="Q64" s="153"/>
      <c r="W64" s="139"/>
      <c r="X64" s="138"/>
      <c r="Y64" s="154"/>
      <c r="Z64" s="138"/>
      <c r="AE64" s="138"/>
      <c r="AF64" s="138"/>
    </row>
    <row r="65" spans="7:32" x14ac:dyDescent="0.2">
      <c r="G65" s="153"/>
      <c r="L65" s="153"/>
      <c r="Q65" s="153"/>
      <c r="W65" s="139"/>
      <c r="X65" s="138"/>
      <c r="Y65" s="154"/>
      <c r="Z65" s="138"/>
      <c r="AE65" s="138"/>
      <c r="AF65" s="138"/>
    </row>
    <row r="66" spans="7:32" x14ac:dyDescent="0.2">
      <c r="G66" s="153"/>
      <c r="L66" s="153"/>
      <c r="Q66" s="153"/>
      <c r="W66" s="139"/>
      <c r="X66" s="138"/>
      <c r="Y66" s="154"/>
      <c r="Z66" s="138"/>
      <c r="AE66" s="138"/>
      <c r="AF66" s="138"/>
    </row>
    <row r="67" spans="7:32" x14ac:dyDescent="0.2">
      <c r="G67" s="153"/>
      <c r="L67" s="153"/>
      <c r="Q67" s="153"/>
      <c r="W67" s="139"/>
      <c r="X67" s="139"/>
      <c r="Y67" s="155"/>
      <c r="Z67" s="138"/>
      <c r="AE67" s="138"/>
      <c r="AF67" s="138"/>
    </row>
    <row r="68" spans="7:32" x14ac:dyDescent="0.2">
      <c r="G68" s="153"/>
      <c r="L68" s="153"/>
      <c r="Q68" s="153"/>
      <c r="X68" s="139"/>
      <c r="Y68" s="154"/>
      <c r="Z68" s="138"/>
      <c r="AE68" s="138"/>
      <c r="AF68" s="138"/>
    </row>
    <row r="69" spans="7:32" x14ac:dyDescent="0.2">
      <c r="G69" s="153"/>
      <c r="L69" s="153"/>
      <c r="Q69" s="153"/>
      <c r="W69" s="139"/>
      <c r="X69" s="139"/>
      <c r="Y69" s="155"/>
      <c r="Z69" s="138"/>
      <c r="AE69" s="138"/>
      <c r="AF69" s="138"/>
    </row>
    <row r="70" spans="7:32" x14ac:dyDescent="0.2">
      <c r="G70" s="153"/>
      <c r="L70" s="153"/>
      <c r="Q70" s="153"/>
      <c r="W70" s="139"/>
      <c r="X70" s="138"/>
      <c r="Y70" s="154"/>
      <c r="Z70" s="138"/>
      <c r="AE70" s="138"/>
      <c r="AF70" s="138"/>
    </row>
    <row r="71" spans="7:32" x14ac:dyDescent="0.2">
      <c r="G71" s="153"/>
      <c r="L71" s="153"/>
      <c r="Q71" s="153"/>
      <c r="W71" s="139"/>
      <c r="X71" s="138"/>
      <c r="Y71" s="154"/>
      <c r="Z71" s="138"/>
      <c r="AE71" s="138"/>
      <c r="AF71" s="138"/>
    </row>
    <row r="72" spans="7:32" x14ac:dyDescent="0.2">
      <c r="G72" s="153"/>
      <c r="L72" s="153"/>
      <c r="Q72" s="153"/>
      <c r="W72" s="139"/>
      <c r="X72" s="138"/>
      <c r="Y72" s="154"/>
      <c r="Z72" s="138"/>
      <c r="AE72" s="138"/>
      <c r="AF72" s="138"/>
    </row>
    <row r="73" spans="7:32" x14ac:dyDescent="0.4">
      <c r="G73" s="153"/>
      <c r="J73" s="156"/>
      <c r="L73" s="153"/>
      <c r="Q73" s="153"/>
      <c r="W73" s="139"/>
      <c r="X73" s="138"/>
      <c r="Y73" s="154"/>
      <c r="Z73" s="138"/>
      <c r="AE73" s="138"/>
      <c r="AF73" s="138"/>
    </row>
    <row r="74" spans="7:32" x14ac:dyDescent="0.2">
      <c r="G74" s="153"/>
      <c r="L74" s="153"/>
      <c r="Q74" s="153"/>
      <c r="W74" s="139"/>
      <c r="X74" s="138"/>
      <c r="Y74" s="154"/>
      <c r="Z74" s="138"/>
      <c r="AE74" s="138"/>
      <c r="AF74" s="138"/>
    </row>
    <row r="75" spans="7:32" x14ac:dyDescent="0.2">
      <c r="G75" s="153"/>
      <c r="L75" s="153"/>
      <c r="Q75" s="153"/>
      <c r="W75" s="139"/>
      <c r="X75" s="138"/>
      <c r="Y75" s="154"/>
      <c r="Z75" s="138"/>
      <c r="AE75" s="138"/>
      <c r="AF75" s="138"/>
    </row>
    <row r="76" spans="7:32" x14ac:dyDescent="0.2">
      <c r="G76" s="153"/>
      <c r="L76" s="153"/>
      <c r="Q76" s="153"/>
      <c r="W76" s="139"/>
      <c r="X76" s="139"/>
      <c r="Y76" s="155"/>
      <c r="Z76" s="138"/>
      <c r="AE76" s="138"/>
      <c r="AF76" s="138"/>
    </row>
    <row r="77" spans="7:32" x14ac:dyDescent="0.2">
      <c r="G77" s="153"/>
      <c r="L77" s="153"/>
      <c r="Q77" s="153"/>
      <c r="X77" s="139"/>
      <c r="Y77" s="154"/>
      <c r="Z77" s="138"/>
      <c r="AE77" s="138"/>
      <c r="AF77" s="138"/>
    </row>
    <row r="78" spans="7:32" x14ac:dyDescent="0.2">
      <c r="X78" s="138"/>
      <c r="Y78" s="155"/>
      <c r="Z78" s="138"/>
      <c r="AE78" s="138"/>
      <c r="AF78" s="138"/>
    </row>
    <row r="79" spans="7:32" x14ac:dyDescent="0.2">
      <c r="X79" s="138"/>
      <c r="Y79" s="155"/>
      <c r="Z79" s="138"/>
      <c r="AE79" s="138"/>
      <c r="AF79" s="138"/>
    </row>
    <row r="80" spans="7:32" x14ac:dyDescent="0.2">
      <c r="X80" s="138"/>
      <c r="Y80" s="155"/>
      <c r="Z80" s="138"/>
      <c r="AE80" s="138"/>
      <c r="AF80" s="138"/>
    </row>
    <row r="81" spans="24:32" x14ac:dyDescent="0.2">
      <c r="X81" s="138"/>
      <c r="Y81" s="155"/>
      <c r="Z81" s="138"/>
      <c r="AE81" s="138"/>
      <c r="AF81" s="138"/>
    </row>
    <row r="82" spans="24:32" x14ac:dyDescent="0.2">
      <c r="X82" s="138"/>
      <c r="Y82" s="155"/>
      <c r="Z82" s="138"/>
      <c r="AE82" s="138"/>
      <c r="AF82" s="138"/>
    </row>
    <row r="83" spans="24:32" x14ac:dyDescent="0.2">
      <c r="X83" s="138"/>
      <c r="Y83" s="155"/>
      <c r="Z83" s="138"/>
      <c r="AE83" s="138"/>
      <c r="AF83" s="138"/>
    </row>
    <row r="84" spans="24:32" x14ac:dyDescent="0.2">
      <c r="X84" s="138"/>
      <c r="Y84" s="155"/>
      <c r="Z84" s="138"/>
      <c r="AE84" s="138"/>
      <c r="AF84" s="138"/>
    </row>
    <row r="85" spans="24:32" x14ac:dyDescent="0.2">
      <c r="X85" s="138"/>
      <c r="Y85" s="155"/>
      <c r="Z85" s="138"/>
      <c r="AE85" s="138"/>
      <c r="AF85" s="138"/>
    </row>
    <row r="86" spans="24:32" x14ac:dyDescent="0.2">
      <c r="X86" s="138"/>
      <c r="Y86" s="155"/>
      <c r="Z86" s="138"/>
      <c r="AE86" s="138"/>
      <c r="AF86" s="138"/>
    </row>
    <row r="87" spans="24:32" x14ac:dyDescent="0.2">
      <c r="X87" s="138"/>
      <c r="Y87" s="155"/>
      <c r="Z87" s="138"/>
      <c r="AE87" s="138"/>
      <c r="AF87" s="138"/>
    </row>
    <row r="88" spans="24:32" x14ac:dyDescent="0.2">
      <c r="X88" s="138"/>
      <c r="Y88" s="155"/>
      <c r="Z88" s="138"/>
      <c r="AE88" s="138"/>
      <c r="AF88" s="138"/>
    </row>
    <row r="89" spans="24:32" x14ac:dyDescent="0.2">
      <c r="X89" s="138"/>
      <c r="Y89" s="155"/>
      <c r="Z89" s="138"/>
      <c r="AE89" s="138"/>
      <c r="AF89" s="138"/>
    </row>
    <row r="90" spans="24:32" x14ac:dyDescent="0.2">
      <c r="X90" s="138"/>
      <c r="Y90" s="155"/>
      <c r="Z90" s="138"/>
      <c r="AE90" s="138"/>
      <c r="AF90" s="138"/>
    </row>
    <row r="91" spans="24:32" x14ac:dyDescent="0.2">
      <c r="X91" s="138"/>
      <c r="Y91" s="155"/>
      <c r="Z91" s="138"/>
      <c r="AE91" s="138"/>
      <c r="AF91" s="138"/>
    </row>
    <row r="92" spans="24:32" x14ac:dyDescent="0.2">
      <c r="X92" s="138"/>
      <c r="Y92" s="155"/>
      <c r="Z92" s="138"/>
      <c r="AE92" s="138"/>
      <c r="AF92" s="138"/>
    </row>
    <row r="93" spans="24:32" x14ac:dyDescent="0.2">
      <c r="X93" s="138"/>
      <c r="Y93" s="155"/>
      <c r="Z93" s="138"/>
      <c r="AE93" s="138"/>
      <c r="AF93" s="138"/>
    </row>
    <row r="94" spans="24:32" x14ac:dyDescent="0.2">
      <c r="X94" s="138"/>
      <c r="Y94" s="155"/>
      <c r="Z94" s="138"/>
      <c r="AE94" s="138"/>
      <c r="AF94" s="138"/>
    </row>
    <row r="95" spans="24:32" x14ac:dyDescent="0.2">
      <c r="X95" s="138"/>
      <c r="Y95" s="155"/>
      <c r="Z95" s="138"/>
      <c r="AE95" s="138"/>
      <c r="AF95" s="138"/>
    </row>
    <row r="96" spans="24:32" x14ac:dyDescent="0.2">
      <c r="X96" s="138"/>
      <c r="Y96" s="155"/>
      <c r="Z96" s="138"/>
      <c r="AE96" s="138"/>
      <c r="AF96" s="138"/>
    </row>
    <row r="97" spans="24:32" x14ac:dyDescent="0.2">
      <c r="X97" s="138"/>
      <c r="Y97" s="155"/>
      <c r="Z97" s="138"/>
      <c r="AE97" s="138"/>
      <c r="AF97" s="138"/>
    </row>
    <row r="98" spans="24:32" x14ac:dyDescent="0.2">
      <c r="X98" s="138"/>
      <c r="Y98" s="155"/>
      <c r="Z98" s="138"/>
      <c r="AE98" s="138"/>
      <c r="AF98" s="138"/>
    </row>
    <row r="99" spans="24:32" x14ac:dyDescent="0.2">
      <c r="X99" s="138"/>
      <c r="Y99" s="155"/>
      <c r="Z99" s="138"/>
      <c r="AE99" s="138"/>
      <c r="AF99" s="138"/>
    </row>
    <row r="100" spans="24:32" x14ac:dyDescent="0.2">
      <c r="X100" s="138"/>
      <c r="Y100" s="155"/>
      <c r="Z100" s="138"/>
      <c r="AE100" s="138"/>
      <c r="AF100" s="138"/>
    </row>
    <row r="101" spans="24:32" x14ac:dyDescent="0.2">
      <c r="X101" s="138"/>
      <c r="Y101" s="155"/>
      <c r="Z101" s="138"/>
      <c r="AE101" s="138"/>
      <c r="AF101" s="138"/>
    </row>
    <row r="102" spans="24:32" x14ac:dyDescent="0.2">
      <c r="X102" s="138"/>
      <c r="Y102" s="155"/>
      <c r="Z102" s="138"/>
      <c r="AE102" s="138"/>
      <c r="AF102" s="138"/>
    </row>
    <row r="103" spans="24:32" x14ac:dyDescent="0.2">
      <c r="X103" s="138"/>
      <c r="Y103" s="155"/>
      <c r="Z103" s="138"/>
      <c r="AE103" s="138"/>
      <c r="AF103" s="138"/>
    </row>
    <row r="104" spans="24:32" x14ac:dyDescent="0.2">
      <c r="X104" s="138"/>
      <c r="Y104" s="155"/>
      <c r="Z104" s="138"/>
      <c r="AE104" s="138"/>
      <c r="AF104" s="138"/>
    </row>
    <row r="105" spans="24:32" x14ac:dyDescent="0.2">
      <c r="X105" s="138"/>
      <c r="Y105" s="155"/>
      <c r="Z105" s="138"/>
      <c r="AE105" s="138"/>
      <c r="AF105" s="138"/>
    </row>
    <row r="106" spans="24:32" x14ac:dyDescent="0.2">
      <c r="X106" s="138"/>
      <c r="Y106" s="155"/>
      <c r="Z106" s="138"/>
      <c r="AE106" s="138"/>
      <c r="AF106" s="138"/>
    </row>
    <row r="107" spans="24:32" x14ac:dyDescent="0.2">
      <c r="X107" s="138"/>
      <c r="Y107" s="155"/>
      <c r="Z107" s="138"/>
      <c r="AE107" s="138"/>
      <c r="AF107" s="138"/>
    </row>
    <row r="108" spans="24:32" x14ac:dyDescent="0.2">
      <c r="X108" s="138"/>
      <c r="Y108" s="155"/>
      <c r="Z108" s="138"/>
      <c r="AE108" s="138"/>
      <c r="AF108" s="138"/>
    </row>
    <row r="109" spans="24:32" x14ac:dyDescent="0.2">
      <c r="X109" s="138"/>
      <c r="Y109" s="155"/>
      <c r="Z109" s="138"/>
      <c r="AE109" s="138"/>
      <c r="AF109" s="138"/>
    </row>
    <row r="110" spans="24:32" x14ac:dyDescent="0.2">
      <c r="X110" s="138"/>
      <c r="Y110" s="155"/>
      <c r="Z110" s="138"/>
      <c r="AE110" s="138"/>
      <c r="AF110" s="138"/>
    </row>
    <row r="111" spans="24:32" x14ac:dyDescent="0.2">
      <c r="X111" s="138"/>
      <c r="Y111" s="155"/>
      <c r="Z111" s="138"/>
      <c r="AE111" s="138"/>
      <c r="AF111" s="138"/>
    </row>
    <row r="112" spans="24:32" x14ac:dyDescent="0.2">
      <c r="X112" s="138"/>
      <c r="Y112" s="155"/>
      <c r="Z112" s="138"/>
      <c r="AE112" s="138"/>
      <c r="AF112" s="138"/>
    </row>
    <row r="113" spans="24:32" x14ac:dyDescent="0.2">
      <c r="X113" s="138"/>
      <c r="Y113" s="155"/>
      <c r="Z113" s="138"/>
      <c r="AE113" s="138"/>
      <c r="AF113" s="138"/>
    </row>
    <row r="114" spans="24:32" x14ac:dyDescent="0.2">
      <c r="X114" s="138"/>
      <c r="Y114" s="155"/>
      <c r="Z114" s="138"/>
      <c r="AE114" s="138"/>
      <c r="AF114" s="138"/>
    </row>
    <row r="115" spans="24:32" x14ac:dyDescent="0.2">
      <c r="X115" s="138"/>
      <c r="Y115" s="155"/>
      <c r="Z115" s="138"/>
      <c r="AE115" s="138"/>
      <c r="AF115" s="138"/>
    </row>
    <row r="116" spans="24:32" x14ac:dyDescent="0.2">
      <c r="X116" s="138"/>
      <c r="Y116" s="155"/>
      <c r="Z116" s="138"/>
      <c r="AE116" s="138"/>
      <c r="AF116" s="138"/>
    </row>
    <row r="117" spans="24:32" x14ac:dyDescent="0.2">
      <c r="X117" s="138"/>
      <c r="Y117" s="155"/>
      <c r="Z117" s="138"/>
      <c r="AE117" s="138"/>
      <c r="AF117" s="138"/>
    </row>
    <row r="118" spans="24:32" x14ac:dyDescent="0.2">
      <c r="X118" s="138"/>
      <c r="Y118" s="155"/>
      <c r="Z118" s="138"/>
      <c r="AE118" s="138"/>
      <c r="AF118" s="138"/>
    </row>
    <row r="119" spans="24:32" x14ac:dyDescent="0.2">
      <c r="X119" s="138"/>
      <c r="Y119" s="155"/>
      <c r="Z119" s="138"/>
      <c r="AE119" s="138"/>
      <c r="AF119" s="138"/>
    </row>
    <row r="120" spans="24:32" x14ac:dyDescent="0.2">
      <c r="X120" s="138"/>
      <c r="Y120" s="155"/>
      <c r="Z120" s="138"/>
      <c r="AE120" s="138"/>
      <c r="AF120" s="138"/>
    </row>
    <row r="121" spans="24:32" x14ac:dyDescent="0.2">
      <c r="X121" s="138"/>
      <c r="Y121" s="155"/>
      <c r="Z121" s="138"/>
      <c r="AE121" s="138"/>
      <c r="AF121" s="138"/>
    </row>
    <row r="122" spans="24:32" x14ac:dyDescent="0.2">
      <c r="X122" s="138"/>
      <c r="Y122" s="155"/>
      <c r="Z122" s="138"/>
      <c r="AE122" s="138"/>
      <c r="AF122" s="138"/>
    </row>
    <row r="123" spans="24:32" x14ac:dyDescent="0.2">
      <c r="X123" s="138"/>
      <c r="Y123" s="155"/>
      <c r="Z123" s="138"/>
      <c r="AE123" s="138"/>
      <c r="AF123" s="138"/>
    </row>
    <row r="124" spans="24:32" x14ac:dyDescent="0.2">
      <c r="X124" s="138"/>
      <c r="Y124" s="155"/>
      <c r="Z124" s="138"/>
      <c r="AE124" s="138"/>
      <c r="AF124" s="138"/>
    </row>
    <row r="125" spans="24:32" x14ac:dyDescent="0.2">
      <c r="X125" s="138"/>
      <c r="Y125" s="155"/>
      <c r="Z125" s="138"/>
      <c r="AE125" s="138"/>
      <c r="AF125" s="138"/>
    </row>
    <row r="126" spans="24:32" x14ac:dyDescent="0.2">
      <c r="X126" s="138"/>
      <c r="Y126" s="155"/>
      <c r="Z126" s="138"/>
      <c r="AE126" s="138"/>
      <c r="AF126" s="138"/>
    </row>
    <row r="127" spans="24:32" x14ac:dyDescent="0.2">
      <c r="X127" s="138"/>
      <c r="Y127" s="155"/>
      <c r="Z127" s="138"/>
      <c r="AE127" s="138"/>
      <c r="AF127" s="138"/>
    </row>
    <row r="128" spans="24:32" x14ac:dyDescent="0.2">
      <c r="X128" s="138"/>
      <c r="Y128" s="155"/>
      <c r="Z128" s="138"/>
      <c r="AE128" s="138"/>
      <c r="AF128" s="138"/>
    </row>
    <row r="129" spans="24:32" x14ac:dyDescent="0.2">
      <c r="X129" s="138"/>
      <c r="Y129" s="155"/>
      <c r="Z129" s="138"/>
      <c r="AE129" s="138"/>
      <c r="AF129" s="138"/>
    </row>
    <row r="130" spans="24:32" x14ac:dyDescent="0.2">
      <c r="X130" s="138"/>
      <c r="Y130" s="155"/>
      <c r="Z130" s="138"/>
      <c r="AE130" s="138"/>
      <c r="AF130" s="138"/>
    </row>
    <row r="131" spans="24:32" x14ac:dyDescent="0.2">
      <c r="X131" s="138"/>
      <c r="Y131" s="155"/>
      <c r="Z131" s="138"/>
      <c r="AE131" s="138"/>
      <c r="AF131" s="138"/>
    </row>
    <row r="132" spans="24:32" x14ac:dyDescent="0.2">
      <c r="X132" s="138"/>
      <c r="Y132" s="155"/>
      <c r="Z132" s="138"/>
      <c r="AE132" s="138"/>
      <c r="AF132" s="138"/>
    </row>
    <row r="133" spans="24:32" x14ac:dyDescent="0.2">
      <c r="X133" s="138"/>
      <c r="Y133" s="155"/>
      <c r="Z133" s="138"/>
      <c r="AE133" s="138"/>
      <c r="AF133" s="138"/>
    </row>
    <row r="134" spans="24:32" x14ac:dyDescent="0.2">
      <c r="X134" s="138"/>
      <c r="Y134" s="155"/>
      <c r="Z134" s="138"/>
      <c r="AE134" s="138"/>
      <c r="AF134" s="138"/>
    </row>
    <row r="135" spans="24:32" x14ac:dyDescent="0.2">
      <c r="X135" s="138"/>
      <c r="Y135" s="155"/>
      <c r="Z135" s="138"/>
      <c r="AE135" s="138"/>
      <c r="AF135" s="138"/>
    </row>
    <row r="136" spans="24:32" x14ac:dyDescent="0.2">
      <c r="X136" s="138"/>
      <c r="Y136" s="155"/>
      <c r="Z136" s="138"/>
      <c r="AE136" s="138"/>
      <c r="AF136" s="138"/>
    </row>
    <row r="137" spans="24:32" x14ac:dyDescent="0.2">
      <c r="X137" s="138"/>
      <c r="Y137" s="155"/>
      <c r="Z137" s="138"/>
      <c r="AE137" s="138"/>
      <c r="AF137" s="138"/>
    </row>
    <row r="138" spans="24:32" x14ac:dyDescent="0.2">
      <c r="X138" s="138"/>
      <c r="Y138" s="155"/>
      <c r="Z138" s="138"/>
      <c r="AE138" s="138"/>
      <c r="AF138" s="138"/>
    </row>
    <row r="139" spans="24:32" x14ac:dyDescent="0.2">
      <c r="X139" s="138"/>
      <c r="Y139" s="155"/>
      <c r="Z139" s="138"/>
      <c r="AE139" s="138"/>
      <c r="AF139" s="138"/>
    </row>
    <row r="140" spans="24:32" x14ac:dyDescent="0.2">
      <c r="X140" s="138"/>
      <c r="Y140" s="155"/>
      <c r="Z140" s="138"/>
      <c r="AE140" s="138"/>
      <c r="AF140" s="138"/>
    </row>
    <row r="141" spans="24:32" x14ac:dyDescent="0.2">
      <c r="X141" s="138"/>
      <c r="Y141" s="155"/>
      <c r="Z141" s="138"/>
      <c r="AE141" s="138"/>
      <c r="AF141" s="138"/>
    </row>
    <row r="142" spans="24:32" x14ac:dyDescent="0.2">
      <c r="X142" s="138"/>
      <c r="Y142" s="155"/>
      <c r="Z142" s="138"/>
      <c r="AE142" s="138"/>
      <c r="AF142" s="138"/>
    </row>
    <row r="143" spans="24:32" x14ac:dyDescent="0.2">
      <c r="X143" s="138"/>
      <c r="Y143" s="155"/>
      <c r="Z143" s="138"/>
      <c r="AE143" s="138"/>
      <c r="AF143" s="138"/>
    </row>
    <row r="144" spans="24:32" x14ac:dyDescent="0.2">
      <c r="X144" s="138"/>
      <c r="Y144" s="155"/>
      <c r="Z144" s="138"/>
      <c r="AE144" s="138"/>
      <c r="AF144" s="138"/>
    </row>
    <row r="145" spans="24:32" x14ac:dyDescent="0.2">
      <c r="X145" s="138"/>
      <c r="Y145" s="155"/>
      <c r="Z145" s="138"/>
      <c r="AE145" s="138"/>
      <c r="AF145" s="138"/>
    </row>
    <row r="146" spans="24:32" x14ac:dyDescent="0.2">
      <c r="X146" s="138"/>
      <c r="Y146" s="155"/>
      <c r="Z146" s="138"/>
      <c r="AE146" s="138"/>
      <c r="AF146" s="138"/>
    </row>
    <row r="147" spans="24:32" x14ac:dyDescent="0.2">
      <c r="X147" s="138"/>
      <c r="Y147" s="155"/>
      <c r="Z147" s="138"/>
      <c r="AE147" s="138"/>
      <c r="AF147" s="138"/>
    </row>
    <row r="148" spans="24:32" x14ac:dyDescent="0.2">
      <c r="X148" s="138"/>
      <c r="Y148" s="155"/>
      <c r="Z148" s="138"/>
      <c r="AE148" s="138"/>
      <c r="AF148" s="138"/>
    </row>
    <row r="149" spans="24:32" x14ac:dyDescent="0.2">
      <c r="X149" s="138"/>
      <c r="Y149" s="155"/>
      <c r="Z149" s="138"/>
      <c r="AE149" s="138"/>
      <c r="AF149" s="138"/>
    </row>
    <row r="150" spans="24:32" x14ac:dyDescent="0.2">
      <c r="X150" s="138"/>
      <c r="Y150" s="155"/>
      <c r="Z150" s="138"/>
      <c r="AE150" s="138"/>
      <c r="AF150" s="138"/>
    </row>
    <row r="151" spans="24:32" x14ac:dyDescent="0.2">
      <c r="X151" s="138"/>
      <c r="Z151" s="138"/>
      <c r="AE151" s="138"/>
      <c r="AF151" s="138"/>
    </row>
    <row r="152" spans="24:32" x14ac:dyDescent="0.2">
      <c r="X152" s="138"/>
      <c r="Z152" s="138"/>
      <c r="AE152" s="138"/>
      <c r="AF152" s="138"/>
    </row>
    <row r="153" spans="24:32" x14ac:dyDescent="0.2">
      <c r="X153" s="138"/>
      <c r="Z153" s="138"/>
      <c r="AE153" s="138"/>
      <c r="AF153" s="138"/>
    </row>
    <row r="154" spans="24:32" x14ac:dyDescent="0.2">
      <c r="X154" s="138"/>
      <c r="Z154" s="138"/>
      <c r="AE154" s="138"/>
      <c r="AF154" s="138"/>
    </row>
    <row r="155" spans="24:32" x14ac:dyDescent="0.2">
      <c r="X155" s="138"/>
      <c r="Z155" s="138"/>
      <c r="AE155" s="138"/>
      <c r="AF155" s="138"/>
    </row>
    <row r="156" spans="24:32" x14ac:dyDescent="0.2">
      <c r="X156" s="138"/>
      <c r="Z156" s="138"/>
      <c r="AE156" s="138"/>
      <c r="AF156" s="138"/>
    </row>
    <row r="157" spans="24:32" x14ac:dyDescent="0.2">
      <c r="X157" s="138"/>
      <c r="Z157" s="138"/>
      <c r="AE157" s="138"/>
      <c r="AF157" s="138"/>
    </row>
    <row r="158" spans="24:32" x14ac:dyDescent="0.2">
      <c r="X158" s="138"/>
      <c r="Z158" s="138"/>
      <c r="AE158" s="138"/>
      <c r="AF158" s="138"/>
    </row>
    <row r="159" spans="24:32" x14ac:dyDescent="0.2">
      <c r="X159" s="138"/>
      <c r="Z159" s="138"/>
      <c r="AE159" s="138"/>
      <c r="AF159" s="138"/>
    </row>
    <row r="160" spans="24:32" x14ac:dyDescent="0.2">
      <c r="X160" s="138"/>
      <c r="Z160" s="138"/>
      <c r="AE160" s="138"/>
      <c r="AF160" s="138"/>
    </row>
    <row r="161" spans="24:32" x14ac:dyDescent="0.2">
      <c r="X161" s="138"/>
      <c r="Z161" s="138"/>
      <c r="AE161" s="138"/>
      <c r="AF161" s="138"/>
    </row>
    <row r="162" spans="24:32" x14ac:dyDescent="0.2">
      <c r="X162" s="138"/>
      <c r="Z162" s="138"/>
      <c r="AE162" s="138"/>
      <c r="AF162" s="138"/>
    </row>
    <row r="163" spans="24:32" x14ac:dyDescent="0.2">
      <c r="X163" s="138"/>
      <c r="Z163" s="138"/>
      <c r="AE163" s="138"/>
      <c r="AF163" s="138"/>
    </row>
    <row r="164" spans="24:32" x14ac:dyDescent="0.2">
      <c r="X164" s="138"/>
      <c r="Z164" s="138"/>
      <c r="AE164" s="138"/>
      <c r="AF164" s="138"/>
    </row>
    <row r="165" spans="24:32" x14ac:dyDescent="0.2">
      <c r="X165" s="138"/>
      <c r="Z165" s="138"/>
      <c r="AE165" s="138"/>
      <c r="AF165" s="138"/>
    </row>
    <row r="166" spans="24:32" x14ac:dyDescent="0.2">
      <c r="X166" s="138"/>
      <c r="Z166" s="138"/>
      <c r="AE166" s="138"/>
      <c r="AF166" s="138"/>
    </row>
    <row r="167" spans="24:32" x14ac:dyDescent="0.2">
      <c r="X167" s="138"/>
      <c r="Z167" s="138"/>
      <c r="AE167" s="138"/>
      <c r="AF167" s="138"/>
    </row>
    <row r="168" spans="24:32" x14ac:dyDescent="0.2">
      <c r="X168" s="138"/>
      <c r="Z168" s="138"/>
      <c r="AE168" s="138"/>
      <c r="AF168" s="138"/>
    </row>
    <row r="169" spans="24:32" x14ac:dyDescent="0.2">
      <c r="X169" s="138"/>
      <c r="Z169" s="138"/>
      <c r="AE169" s="138"/>
      <c r="AF169" s="138"/>
    </row>
    <row r="170" spans="24:32" x14ac:dyDescent="0.2">
      <c r="X170" s="138"/>
      <c r="Z170" s="138"/>
      <c r="AE170" s="138"/>
      <c r="AF170" s="138"/>
    </row>
    <row r="171" spans="24:32" x14ac:dyDescent="0.2">
      <c r="X171" s="138"/>
      <c r="Z171" s="138"/>
      <c r="AE171" s="138"/>
      <c r="AF171" s="138"/>
    </row>
    <row r="172" spans="24:32" x14ac:dyDescent="0.2">
      <c r="X172" s="138"/>
      <c r="Z172" s="138"/>
      <c r="AE172" s="138"/>
      <c r="AF172" s="138"/>
    </row>
    <row r="173" spans="24:32" x14ac:dyDescent="0.2">
      <c r="X173" s="138"/>
      <c r="Z173" s="138"/>
      <c r="AE173" s="138"/>
      <c r="AF173" s="138"/>
    </row>
    <row r="174" spans="24:32" x14ac:dyDescent="0.2">
      <c r="X174" s="138"/>
      <c r="Z174" s="138"/>
      <c r="AE174" s="138"/>
      <c r="AF174" s="138"/>
    </row>
    <row r="175" spans="24:32" x14ac:dyDescent="0.4">
      <c r="AE175" s="138"/>
      <c r="AF175" s="138"/>
    </row>
    <row r="176" spans="24:32" x14ac:dyDescent="0.4">
      <c r="AE176" s="138"/>
      <c r="AF176" s="138"/>
    </row>
    <row r="177" spans="31:32" x14ac:dyDescent="0.4">
      <c r="AE177" s="138"/>
      <c r="AF177" s="138"/>
    </row>
    <row r="178" spans="31:32" x14ac:dyDescent="0.4">
      <c r="AE178" s="138"/>
      <c r="AF178" s="138"/>
    </row>
    <row r="179" spans="31:32" x14ac:dyDescent="0.4">
      <c r="AE179" s="138"/>
      <c r="AF179" s="138"/>
    </row>
    <row r="180" spans="31:32" x14ac:dyDescent="0.4">
      <c r="AE180" s="138"/>
      <c r="AF180" s="138"/>
    </row>
    <row r="181" spans="31:32" x14ac:dyDescent="0.4">
      <c r="AE181" s="138"/>
      <c r="AF181" s="138"/>
    </row>
    <row r="182" spans="31:32" x14ac:dyDescent="0.4">
      <c r="AE182" s="138"/>
      <c r="AF182" s="138"/>
    </row>
    <row r="183" spans="31:32" x14ac:dyDescent="0.4">
      <c r="AE183" s="138"/>
      <c r="AF183" s="138"/>
    </row>
    <row r="184" spans="31:32" x14ac:dyDescent="0.4">
      <c r="AE184" s="138"/>
      <c r="AF184" s="138"/>
    </row>
    <row r="185" spans="31:32" x14ac:dyDescent="0.4">
      <c r="AE185" s="138"/>
      <c r="AF185" s="138"/>
    </row>
    <row r="186" spans="31:32" x14ac:dyDescent="0.4">
      <c r="AE186" s="138"/>
      <c r="AF186" s="138"/>
    </row>
    <row r="187" spans="31:32" x14ac:dyDescent="0.4">
      <c r="AE187" s="138"/>
      <c r="AF187" s="138"/>
    </row>
    <row r="188" spans="31:32" x14ac:dyDescent="0.4">
      <c r="AE188" s="138"/>
      <c r="AF188" s="138"/>
    </row>
    <row r="189" spans="31:32" x14ac:dyDescent="0.4">
      <c r="AE189" s="138"/>
      <c r="AF189" s="138"/>
    </row>
    <row r="190" spans="31:32" x14ac:dyDescent="0.4">
      <c r="AE190" s="138"/>
      <c r="AF190" s="138"/>
    </row>
    <row r="191" spans="31:32" x14ac:dyDescent="0.4">
      <c r="AE191" s="138"/>
      <c r="AF191" s="138"/>
    </row>
    <row r="192" spans="31:32" x14ac:dyDescent="0.4">
      <c r="AE192" s="138"/>
      <c r="AF192" s="138"/>
    </row>
    <row r="193" spans="31:32" x14ac:dyDescent="0.4">
      <c r="AE193" s="138"/>
      <c r="AF193" s="138"/>
    </row>
    <row r="194" spans="31:32" x14ac:dyDescent="0.4">
      <c r="AE194" s="138"/>
      <c r="AF194" s="138"/>
    </row>
    <row r="195" spans="31:32" x14ac:dyDescent="0.4">
      <c r="AE195" s="138"/>
      <c r="AF195" s="138"/>
    </row>
    <row r="196" spans="31:32" x14ac:dyDescent="0.4">
      <c r="AE196" s="138"/>
      <c r="AF196" s="138"/>
    </row>
    <row r="197" spans="31:32" x14ac:dyDescent="0.4">
      <c r="AE197" s="138"/>
      <c r="AF197" s="138"/>
    </row>
    <row r="198" spans="31:32" x14ac:dyDescent="0.4">
      <c r="AE198" s="138"/>
      <c r="AF198" s="138"/>
    </row>
    <row r="199" spans="31:32" x14ac:dyDescent="0.4">
      <c r="AE199" s="138"/>
      <c r="AF199" s="138"/>
    </row>
    <row r="200" spans="31:32" x14ac:dyDescent="0.4">
      <c r="AE200" s="138"/>
      <c r="AF200" s="138"/>
    </row>
    <row r="201" spans="31:32" x14ac:dyDescent="0.4">
      <c r="AE201" s="138"/>
      <c r="AF201" s="138"/>
    </row>
    <row r="202" spans="31:32" x14ac:dyDescent="0.4">
      <c r="AE202" s="138"/>
      <c r="AF202" s="138"/>
    </row>
    <row r="203" spans="31:32" x14ac:dyDescent="0.4">
      <c r="AE203" s="138"/>
      <c r="AF203" s="138"/>
    </row>
    <row r="204" spans="31:32" x14ac:dyDescent="0.4">
      <c r="AE204" s="138"/>
      <c r="AF204" s="138"/>
    </row>
    <row r="205" spans="31:32" x14ac:dyDescent="0.4">
      <c r="AE205" s="138"/>
      <c r="AF205" s="138"/>
    </row>
    <row r="206" spans="31:32" x14ac:dyDescent="0.4">
      <c r="AE206" s="138"/>
      <c r="AF206" s="138"/>
    </row>
    <row r="207" spans="31:32" x14ac:dyDescent="0.4">
      <c r="AE207" s="138"/>
      <c r="AF207" s="138"/>
    </row>
    <row r="208" spans="31:32" x14ac:dyDescent="0.4">
      <c r="AE208" s="138"/>
      <c r="AF208" s="138"/>
    </row>
    <row r="209" spans="31:32" x14ac:dyDescent="0.4">
      <c r="AE209" s="138"/>
      <c r="AF209" s="138"/>
    </row>
    <row r="210" spans="31:32" x14ac:dyDescent="0.4">
      <c r="AE210" s="138"/>
      <c r="AF210" s="138"/>
    </row>
    <row r="211" spans="31:32" x14ac:dyDescent="0.4">
      <c r="AE211" s="138"/>
      <c r="AF211" s="138"/>
    </row>
    <row r="212" spans="31:32" x14ac:dyDescent="0.4">
      <c r="AE212" s="138"/>
      <c r="AF212" s="138"/>
    </row>
    <row r="213" spans="31:32" x14ac:dyDescent="0.4">
      <c r="AE213" s="138"/>
      <c r="AF213" s="138"/>
    </row>
    <row r="214" spans="31:32" x14ac:dyDescent="0.4">
      <c r="AE214" s="138"/>
      <c r="AF214" s="138"/>
    </row>
    <row r="215" spans="31:32" x14ac:dyDescent="0.4">
      <c r="AE215" s="138"/>
      <c r="AF215" s="138"/>
    </row>
    <row r="216" spans="31:32" x14ac:dyDescent="0.4">
      <c r="AE216" s="138"/>
      <c r="AF216" s="138"/>
    </row>
    <row r="217" spans="31:32" x14ac:dyDescent="0.4">
      <c r="AE217" s="138"/>
      <c r="AF217" s="138"/>
    </row>
    <row r="218" spans="31:32" x14ac:dyDescent="0.4">
      <c r="AE218" s="138"/>
      <c r="AF218" s="138"/>
    </row>
    <row r="219" spans="31:32" x14ac:dyDescent="0.4">
      <c r="AE219" s="138"/>
      <c r="AF219" s="138"/>
    </row>
    <row r="220" spans="31:32" x14ac:dyDescent="0.4">
      <c r="AE220" s="138"/>
      <c r="AF220" s="138"/>
    </row>
    <row r="221" spans="31:32" x14ac:dyDescent="0.4">
      <c r="AE221" s="138"/>
      <c r="AF221" s="138"/>
    </row>
    <row r="222" spans="31:32" x14ac:dyDescent="0.4">
      <c r="AE222" s="138"/>
      <c r="AF222" s="138"/>
    </row>
    <row r="223" spans="31:32" x14ac:dyDescent="0.4">
      <c r="AE223" s="138"/>
      <c r="AF223" s="138"/>
    </row>
    <row r="224" spans="31:32" x14ac:dyDescent="0.4">
      <c r="AE224" s="138"/>
      <c r="AF224" s="138"/>
    </row>
    <row r="225" spans="31:32" x14ac:dyDescent="0.4">
      <c r="AE225" s="138"/>
      <c r="AF225" s="138"/>
    </row>
    <row r="226" spans="31:32" x14ac:dyDescent="0.4">
      <c r="AE226" s="138"/>
      <c r="AF226" s="138"/>
    </row>
    <row r="227" spans="31:32" x14ac:dyDescent="0.4">
      <c r="AE227" s="138"/>
      <c r="AF227" s="138"/>
    </row>
    <row r="228" spans="31:32" x14ac:dyDescent="0.4">
      <c r="AE228" s="138"/>
      <c r="AF228" s="138"/>
    </row>
    <row r="229" spans="31:32" x14ac:dyDescent="0.4">
      <c r="AE229" s="138"/>
      <c r="AF229" s="138"/>
    </row>
    <row r="230" spans="31:32" x14ac:dyDescent="0.4">
      <c r="AE230" s="138"/>
      <c r="AF230" s="138"/>
    </row>
    <row r="231" spans="31:32" x14ac:dyDescent="0.4">
      <c r="AE231" s="138"/>
      <c r="AF231" s="138"/>
    </row>
    <row r="232" spans="31:32" x14ac:dyDescent="0.4">
      <c r="AE232" s="138"/>
      <c r="AF232" s="138"/>
    </row>
    <row r="233" spans="31:32" x14ac:dyDescent="0.4">
      <c r="AE233" s="138"/>
      <c r="AF233" s="138"/>
    </row>
    <row r="234" spans="31:32" x14ac:dyDescent="0.4">
      <c r="AE234" s="138"/>
      <c r="AF234" s="138"/>
    </row>
    <row r="235" spans="31:32" x14ac:dyDescent="0.4">
      <c r="AE235" s="138"/>
      <c r="AF235" s="138"/>
    </row>
    <row r="236" spans="31:32" x14ac:dyDescent="0.4">
      <c r="AE236" s="138"/>
      <c r="AF236" s="138"/>
    </row>
    <row r="237" spans="31:32" x14ac:dyDescent="0.4">
      <c r="AE237" s="138"/>
      <c r="AF237" s="138"/>
    </row>
    <row r="238" spans="31:32" x14ac:dyDescent="0.4">
      <c r="AE238" s="138"/>
      <c r="AF238" s="138"/>
    </row>
    <row r="239" spans="31:32" x14ac:dyDescent="0.4">
      <c r="AE239" s="138"/>
      <c r="AF239" s="138"/>
    </row>
    <row r="240" spans="31:32" x14ac:dyDescent="0.4">
      <c r="AE240" s="138"/>
      <c r="AF240" s="138"/>
    </row>
    <row r="241" spans="31:32" x14ac:dyDescent="0.4">
      <c r="AE241" s="138"/>
      <c r="AF241" s="138"/>
    </row>
    <row r="242" spans="31:32" x14ac:dyDescent="0.4">
      <c r="AE242" s="138"/>
      <c r="AF242" s="138"/>
    </row>
    <row r="243" spans="31:32" x14ac:dyDescent="0.4">
      <c r="AE243" s="138"/>
      <c r="AF243" s="138"/>
    </row>
    <row r="244" spans="31:32" x14ac:dyDescent="0.4">
      <c r="AE244" s="138"/>
      <c r="AF244" s="138"/>
    </row>
    <row r="245" spans="31:32" x14ac:dyDescent="0.4">
      <c r="AE245" s="138"/>
      <c r="AF245" s="138"/>
    </row>
    <row r="246" spans="31:32" x14ac:dyDescent="0.4">
      <c r="AE246" s="138"/>
      <c r="AF246" s="138"/>
    </row>
    <row r="247" spans="31:32" x14ac:dyDescent="0.4">
      <c r="AE247" s="138"/>
      <c r="AF247" s="138"/>
    </row>
    <row r="248" spans="31:32" x14ac:dyDescent="0.4">
      <c r="AE248" s="138"/>
      <c r="AF248" s="138"/>
    </row>
    <row r="249" spans="31:32" x14ac:dyDescent="0.4">
      <c r="AE249" s="138"/>
      <c r="AF249" s="138"/>
    </row>
    <row r="250" spans="31:32" x14ac:dyDescent="0.4">
      <c r="AE250" s="138"/>
      <c r="AF250" s="138"/>
    </row>
    <row r="251" spans="31:32" x14ac:dyDescent="0.4">
      <c r="AE251" s="138"/>
      <c r="AF251" s="138"/>
    </row>
    <row r="252" spans="31:32" x14ac:dyDescent="0.4">
      <c r="AE252" s="138"/>
      <c r="AF252" s="138"/>
    </row>
    <row r="253" spans="31:32" x14ac:dyDescent="0.4">
      <c r="AE253" s="138"/>
      <c r="AF253" s="138"/>
    </row>
    <row r="254" spans="31:32" x14ac:dyDescent="0.4">
      <c r="AE254" s="138"/>
      <c r="AF254" s="138"/>
    </row>
    <row r="255" spans="31:32" x14ac:dyDescent="0.4">
      <c r="AE255" s="138"/>
      <c r="AF255" s="138"/>
    </row>
    <row r="256" spans="31:32" x14ac:dyDescent="0.4">
      <c r="AE256" s="138"/>
      <c r="AF256" s="138"/>
    </row>
    <row r="257" spans="31:32" x14ac:dyDescent="0.4">
      <c r="AE257" s="138"/>
      <c r="AF257" s="138"/>
    </row>
    <row r="258" spans="31:32" x14ac:dyDescent="0.4">
      <c r="AE258" s="138"/>
      <c r="AF258" s="138"/>
    </row>
    <row r="259" spans="31:32" x14ac:dyDescent="0.4">
      <c r="AE259" s="138"/>
      <c r="AF259" s="138"/>
    </row>
    <row r="260" spans="31:32" x14ac:dyDescent="0.4">
      <c r="AE260" s="138"/>
      <c r="AF260" s="138"/>
    </row>
    <row r="261" spans="31:32" x14ac:dyDescent="0.4">
      <c r="AE261" s="138"/>
      <c r="AF261" s="138"/>
    </row>
    <row r="262" spans="31:32" x14ac:dyDescent="0.4">
      <c r="AE262" s="138"/>
      <c r="AF262" s="138"/>
    </row>
    <row r="263" spans="31:32" x14ac:dyDescent="0.4">
      <c r="AE263" s="138"/>
      <c r="AF263" s="138"/>
    </row>
    <row r="264" spans="31:32" x14ac:dyDescent="0.4">
      <c r="AE264" s="138"/>
      <c r="AF264" s="138"/>
    </row>
    <row r="265" spans="31:32" x14ac:dyDescent="0.4">
      <c r="AE265" s="138"/>
      <c r="AF265" s="138"/>
    </row>
    <row r="266" spans="31:32" x14ac:dyDescent="0.4">
      <c r="AE266" s="138"/>
      <c r="AF266" s="138"/>
    </row>
    <row r="267" spans="31:32" x14ac:dyDescent="0.4">
      <c r="AE267" s="138"/>
      <c r="AF267" s="138"/>
    </row>
    <row r="268" spans="31:32" x14ac:dyDescent="0.4">
      <c r="AE268" s="138"/>
      <c r="AF268" s="138"/>
    </row>
    <row r="269" spans="31:32" x14ac:dyDescent="0.4">
      <c r="AE269" s="138"/>
      <c r="AF269" s="138"/>
    </row>
    <row r="270" spans="31:32" x14ac:dyDescent="0.4">
      <c r="AE270" s="138"/>
      <c r="AF270" s="138"/>
    </row>
    <row r="271" spans="31:32" x14ac:dyDescent="0.4">
      <c r="AE271" s="138"/>
      <c r="AF271" s="138"/>
    </row>
    <row r="272" spans="31:32" x14ac:dyDescent="0.4">
      <c r="AE272" s="138"/>
      <c r="AF272" s="138"/>
    </row>
    <row r="273" spans="31:32" x14ac:dyDescent="0.4">
      <c r="AE273" s="138"/>
      <c r="AF273" s="138"/>
    </row>
    <row r="274" spans="31:32" x14ac:dyDescent="0.4">
      <c r="AE274" s="138"/>
      <c r="AF274" s="138"/>
    </row>
    <row r="275" spans="31:32" x14ac:dyDescent="0.4">
      <c r="AE275" s="138"/>
      <c r="AF275" s="138"/>
    </row>
    <row r="276" spans="31:32" x14ac:dyDescent="0.4">
      <c r="AE276" s="138"/>
      <c r="AF276" s="138"/>
    </row>
    <row r="277" spans="31:32" x14ac:dyDescent="0.4">
      <c r="AE277" s="138"/>
      <c r="AF277" s="138"/>
    </row>
    <row r="278" spans="31:32" x14ac:dyDescent="0.4">
      <c r="AE278" s="138"/>
      <c r="AF278" s="138"/>
    </row>
    <row r="279" spans="31:32" x14ac:dyDescent="0.4">
      <c r="AE279" s="138"/>
      <c r="AF279" s="138"/>
    </row>
    <row r="280" spans="31:32" x14ac:dyDescent="0.4">
      <c r="AE280" s="138"/>
      <c r="AF280" s="138"/>
    </row>
    <row r="281" spans="31:32" x14ac:dyDescent="0.4">
      <c r="AE281" s="138"/>
      <c r="AF281" s="138"/>
    </row>
    <row r="282" spans="31:32" x14ac:dyDescent="0.4">
      <c r="AE282" s="138"/>
      <c r="AF282" s="138"/>
    </row>
    <row r="283" spans="31:32" x14ac:dyDescent="0.4">
      <c r="AE283" s="138"/>
      <c r="AF283" s="138"/>
    </row>
    <row r="284" spans="31:32" x14ac:dyDescent="0.4">
      <c r="AE284" s="138"/>
      <c r="AF284" s="138"/>
    </row>
    <row r="285" spans="31:32" x14ac:dyDescent="0.4">
      <c r="AE285" s="138"/>
      <c r="AF285" s="138"/>
    </row>
    <row r="286" spans="31:32" x14ac:dyDescent="0.4">
      <c r="AE286" s="138"/>
      <c r="AF286" s="138"/>
    </row>
    <row r="287" spans="31:32" x14ac:dyDescent="0.4">
      <c r="AE287" s="138"/>
      <c r="AF287" s="138"/>
    </row>
    <row r="288" spans="31:32" x14ac:dyDescent="0.4">
      <c r="AE288" s="138"/>
      <c r="AF288" s="138"/>
    </row>
    <row r="289" spans="31:32" x14ac:dyDescent="0.4">
      <c r="AE289" s="138"/>
      <c r="AF289" s="138"/>
    </row>
    <row r="290" spans="31:32" x14ac:dyDescent="0.4">
      <c r="AE290" s="138"/>
      <c r="AF290" s="138"/>
    </row>
    <row r="291" spans="31:32" x14ac:dyDescent="0.4">
      <c r="AE291" s="138"/>
      <c r="AF291" s="138"/>
    </row>
    <row r="292" spans="31:32" x14ac:dyDescent="0.4">
      <c r="AE292" s="138"/>
      <c r="AF292" s="138"/>
    </row>
    <row r="293" spans="31:32" x14ac:dyDescent="0.4">
      <c r="AE293" s="138"/>
      <c r="AF293" s="138"/>
    </row>
    <row r="294" spans="31:32" x14ac:dyDescent="0.4">
      <c r="AE294" s="138"/>
      <c r="AF294" s="138"/>
    </row>
    <row r="295" spans="31:32" x14ac:dyDescent="0.4">
      <c r="AE295" s="138"/>
      <c r="AF295" s="138"/>
    </row>
    <row r="296" spans="31:32" x14ac:dyDescent="0.4">
      <c r="AE296" s="138"/>
      <c r="AF296" s="138"/>
    </row>
    <row r="297" spans="31:32" x14ac:dyDescent="0.4">
      <c r="AE297" s="138"/>
      <c r="AF297" s="138"/>
    </row>
    <row r="298" spans="31:32" x14ac:dyDescent="0.4">
      <c r="AE298" s="138"/>
      <c r="AF298" s="138"/>
    </row>
    <row r="299" spans="31:32" x14ac:dyDescent="0.4">
      <c r="AE299" s="138"/>
      <c r="AF299" s="138"/>
    </row>
    <row r="300" spans="31:32" x14ac:dyDescent="0.4">
      <c r="AE300" s="138"/>
      <c r="AF300" s="138"/>
    </row>
    <row r="301" spans="31:32" x14ac:dyDescent="0.4">
      <c r="AE301" s="138"/>
      <c r="AF301" s="138"/>
    </row>
    <row r="302" spans="31:32" x14ac:dyDescent="0.4">
      <c r="AE302" s="138"/>
      <c r="AF302" s="138"/>
    </row>
    <row r="303" spans="31:32" x14ac:dyDescent="0.4">
      <c r="AE303" s="138"/>
      <c r="AF303" s="138"/>
    </row>
    <row r="304" spans="31:32" x14ac:dyDescent="0.4">
      <c r="AE304" s="138"/>
      <c r="AF304" s="138"/>
    </row>
    <row r="305" spans="31:32" x14ac:dyDescent="0.4">
      <c r="AE305" s="138"/>
      <c r="AF305" s="138"/>
    </row>
    <row r="306" spans="31:32" x14ac:dyDescent="0.4">
      <c r="AE306" s="138"/>
      <c r="AF306" s="138"/>
    </row>
    <row r="307" spans="31:32" x14ac:dyDescent="0.4">
      <c r="AE307" s="138"/>
      <c r="AF307" s="138"/>
    </row>
    <row r="308" spans="31:32" x14ac:dyDescent="0.4">
      <c r="AE308" s="138"/>
      <c r="AF308" s="138"/>
    </row>
    <row r="309" spans="31:32" x14ac:dyDescent="0.4">
      <c r="AE309" s="138"/>
      <c r="AF309" s="138"/>
    </row>
    <row r="310" spans="31:32" x14ac:dyDescent="0.4">
      <c r="AE310" s="138"/>
      <c r="AF310" s="138"/>
    </row>
    <row r="311" spans="31:32" x14ac:dyDescent="0.4">
      <c r="AE311" s="138"/>
      <c r="AF311" s="138"/>
    </row>
    <row r="312" spans="31:32" x14ac:dyDescent="0.4">
      <c r="AE312" s="138"/>
      <c r="AF312" s="138"/>
    </row>
    <row r="313" spans="31:32" x14ac:dyDescent="0.4">
      <c r="AE313" s="138"/>
      <c r="AF313" s="138"/>
    </row>
    <row r="314" spans="31:32" x14ac:dyDescent="0.4">
      <c r="AE314" s="138"/>
      <c r="AF314" s="138"/>
    </row>
    <row r="315" spans="31:32" x14ac:dyDescent="0.4">
      <c r="AE315" s="138"/>
      <c r="AF315" s="138"/>
    </row>
    <row r="316" spans="31:32" x14ac:dyDescent="0.4">
      <c r="AE316" s="138"/>
      <c r="AF316" s="138"/>
    </row>
    <row r="317" spans="31:32" x14ac:dyDescent="0.4">
      <c r="AE317" s="138"/>
      <c r="AF317" s="138"/>
    </row>
    <row r="318" spans="31:32" x14ac:dyDescent="0.4">
      <c r="AE318" s="138"/>
      <c r="AF318" s="138"/>
    </row>
    <row r="319" spans="31:32" x14ac:dyDescent="0.4">
      <c r="AE319" s="138"/>
      <c r="AF319" s="138"/>
    </row>
    <row r="320" spans="31:32" x14ac:dyDescent="0.4">
      <c r="AE320" s="138"/>
      <c r="AF320" s="138"/>
    </row>
    <row r="321" spans="31:32" x14ac:dyDescent="0.4">
      <c r="AE321" s="138"/>
      <c r="AF321" s="138"/>
    </row>
    <row r="322" spans="31:32" x14ac:dyDescent="0.4">
      <c r="AE322" s="138"/>
      <c r="AF322" s="138"/>
    </row>
    <row r="323" spans="31:32" x14ac:dyDescent="0.4">
      <c r="AE323" s="138"/>
      <c r="AF323" s="138"/>
    </row>
  </sheetData>
  <autoFilter ref="A3:T42" xr:uid="{BE8BB781-C563-4C2C-A1B4-9F3C1BC1387C}">
    <sortState xmlns:xlrd2="http://schemas.microsoft.com/office/spreadsheetml/2017/richdata2" ref="A4:T32">
      <sortCondition ref="G3:G25"/>
    </sortState>
  </autoFilter>
  <mergeCells count="6">
    <mergeCell ref="AD4:AF4"/>
    <mergeCell ref="AD1:AF1"/>
    <mergeCell ref="A2:G2"/>
    <mergeCell ref="H2:L2"/>
    <mergeCell ref="M2:T2"/>
    <mergeCell ref="V2:AB2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010695-1F85-4F3E-848C-7D1D603C9B92}">
  <sheetPr codeName="Sheet3"/>
  <dimension ref="A1:AI103"/>
  <sheetViews>
    <sheetView topLeftCell="D23" zoomScale="55" zoomScaleNormal="55" workbookViewId="0">
      <selection activeCell="J40" sqref="J40"/>
    </sheetView>
  </sheetViews>
  <sheetFormatPr defaultRowHeight="12.75" x14ac:dyDescent="0.2"/>
  <cols>
    <col min="1" max="1" width="20.7109375" customWidth="1"/>
    <col min="2" max="2" width="24" customWidth="1"/>
    <col min="3" max="3" width="23" customWidth="1"/>
    <col min="4" max="4" width="31.28515625" customWidth="1"/>
    <col min="5" max="5" width="24.85546875" customWidth="1"/>
    <col min="6" max="6" width="27.5703125" customWidth="1"/>
    <col min="7" max="7" width="22.85546875" customWidth="1"/>
    <col min="8" max="8" width="26.5703125" customWidth="1"/>
    <col min="9" max="9" width="27.85546875" customWidth="1"/>
    <col min="10" max="10" width="24.42578125" customWidth="1"/>
    <col min="11" max="11" width="24.140625" customWidth="1"/>
    <col min="12" max="12" width="24.5703125" customWidth="1"/>
    <col min="13" max="13" width="22.140625" customWidth="1"/>
    <col min="14" max="14" width="20.5703125" customWidth="1"/>
    <col min="15" max="15" width="33" customWidth="1"/>
    <col min="16" max="16" width="29.140625" customWidth="1"/>
    <col min="17" max="17" width="22.5703125" customWidth="1"/>
    <col min="18" max="18" width="21.28515625" customWidth="1"/>
    <col min="19" max="19" width="21.140625" customWidth="1"/>
    <col min="20" max="20" width="27.140625" customWidth="1"/>
    <col min="21" max="21" width="16.7109375" hidden="1" customWidth="1"/>
    <col min="22" max="22" width="19.85546875" customWidth="1"/>
    <col min="23" max="23" width="17.42578125" customWidth="1"/>
    <col min="24" max="24" width="18.42578125" customWidth="1"/>
    <col min="25" max="25" width="19.28515625" customWidth="1"/>
    <col min="26" max="26" width="22.140625" customWidth="1"/>
    <col min="27" max="27" width="35.85546875" customWidth="1"/>
    <col min="28" max="28" width="34.28515625" customWidth="1"/>
  </cols>
  <sheetData>
    <row r="1" spans="1:28" x14ac:dyDescent="0.2">
      <c r="A1" s="54"/>
      <c r="B1" s="55"/>
      <c r="C1" s="55"/>
      <c r="D1" s="55"/>
      <c r="E1" s="55"/>
      <c r="F1" s="55"/>
      <c r="G1" s="55"/>
      <c r="H1" s="55"/>
      <c r="I1" s="55"/>
      <c r="J1" s="55"/>
      <c r="K1" s="55"/>
      <c r="L1" s="55"/>
      <c r="M1" s="55"/>
      <c r="N1" s="56"/>
      <c r="O1" s="140"/>
      <c r="P1" s="140"/>
      <c r="Q1" s="140"/>
      <c r="R1" s="140"/>
      <c r="S1" s="140"/>
      <c r="T1" s="140"/>
      <c r="V1" s="63"/>
      <c r="W1" s="63"/>
      <c r="X1" s="63"/>
      <c r="Y1" s="63"/>
      <c r="Z1" s="63"/>
      <c r="AA1" s="63"/>
      <c r="AB1" s="63"/>
    </row>
    <row r="2" spans="1:28" ht="25.5" x14ac:dyDescent="0.35">
      <c r="A2" s="82"/>
      <c r="B2" s="83"/>
      <c r="C2" s="83"/>
      <c r="D2" s="83"/>
      <c r="E2" s="83"/>
      <c r="F2" s="83"/>
      <c r="G2" s="83"/>
      <c r="H2" s="83"/>
      <c r="I2" s="83"/>
      <c r="J2" s="83"/>
      <c r="K2" s="83"/>
      <c r="L2" s="83"/>
      <c r="M2" s="83"/>
      <c r="N2" s="96"/>
      <c r="O2" s="141"/>
      <c r="P2" s="141"/>
      <c r="Q2" s="141"/>
      <c r="R2" s="141"/>
      <c r="S2" s="141"/>
      <c r="T2" s="141"/>
    </row>
    <row r="3" spans="1:28" ht="26.25" thickBot="1" x14ac:dyDescent="0.4">
      <c r="A3" s="82"/>
      <c r="B3" s="83"/>
      <c r="C3" s="83"/>
      <c r="D3" s="83"/>
      <c r="E3" s="83"/>
      <c r="F3" s="83"/>
      <c r="G3" s="83"/>
      <c r="H3" s="83"/>
      <c r="I3" s="83"/>
      <c r="J3" s="83"/>
      <c r="K3" s="83"/>
      <c r="L3" s="83"/>
      <c r="M3" s="83"/>
      <c r="N3" s="96"/>
      <c r="O3" s="141"/>
      <c r="P3" s="141"/>
      <c r="Q3" s="141"/>
      <c r="R3" s="141"/>
      <c r="S3" s="141"/>
      <c r="T3" s="141"/>
    </row>
    <row r="4" spans="1:28" ht="26.25" x14ac:dyDescent="0.35">
      <c r="A4" s="82"/>
      <c r="B4" s="83"/>
      <c r="C4" s="303" t="s">
        <v>96</v>
      </c>
      <c r="D4" s="304"/>
      <c r="E4" s="305"/>
      <c r="F4" s="83"/>
      <c r="G4" s="83"/>
      <c r="H4" s="83"/>
      <c r="I4" s="83"/>
      <c r="J4" s="83"/>
      <c r="K4" s="83"/>
      <c r="L4" s="83"/>
      <c r="M4" s="83"/>
      <c r="N4" s="96"/>
      <c r="O4" s="141"/>
      <c r="P4" s="141"/>
      <c r="Q4" s="141"/>
      <c r="R4" s="141"/>
      <c r="S4" s="141"/>
      <c r="T4" s="141"/>
    </row>
    <row r="5" spans="1:28" ht="26.25" x14ac:dyDescent="0.35">
      <c r="A5" s="82"/>
      <c r="B5" s="83"/>
      <c r="C5" s="84" t="s">
        <v>14</v>
      </c>
      <c r="D5" s="85" t="s">
        <v>97</v>
      </c>
      <c r="E5" s="86" t="s">
        <v>98</v>
      </c>
      <c r="F5" s="83"/>
      <c r="G5" s="83"/>
      <c r="H5" s="83"/>
      <c r="I5" s="83"/>
      <c r="J5" s="83"/>
      <c r="K5" s="83"/>
      <c r="L5" s="83"/>
      <c r="M5" s="83"/>
      <c r="N5" s="96"/>
      <c r="O5" s="141"/>
      <c r="P5" s="141"/>
      <c r="Q5" s="141"/>
      <c r="R5" s="141"/>
      <c r="S5" s="141"/>
      <c r="T5" s="141"/>
    </row>
    <row r="6" spans="1:28" ht="26.25" thickBot="1" x14ac:dyDescent="0.4">
      <c r="A6" s="82"/>
      <c r="B6" s="83"/>
      <c r="C6" s="87">
        <v>90</v>
      </c>
      <c r="D6" s="88">
        <v>39</v>
      </c>
      <c r="E6" s="89">
        <v>21</v>
      </c>
      <c r="F6" s="83"/>
      <c r="G6" s="83"/>
      <c r="H6" s="83"/>
      <c r="I6" s="83"/>
      <c r="J6" s="83"/>
      <c r="K6" s="83"/>
      <c r="L6" s="83"/>
      <c r="M6" s="83"/>
      <c r="N6" s="96"/>
      <c r="O6" s="141"/>
      <c r="P6" s="141"/>
      <c r="Q6" s="141"/>
      <c r="R6" s="141"/>
      <c r="S6" s="141"/>
      <c r="T6" s="141"/>
    </row>
    <row r="7" spans="1:28" ht="25.5" x14ac:dyDescent="0.35">
      <c r="A7" s="82"/>
      <c r="B7" s="83"/>
      <c r="C7" s="90"/>
      <c r="D7" s="90"/>
      <c r="E7" s="90"/>
      <c r="F7" s="83"/>
      <c r="G7" s="83"/>
      <c r="H7" s="83"/>
      <c r="I7" s="83"/>
      <c r="J7" s="83"/>
      <c r="K7" s="83"/>
      <c r="L7" s="83"/>
      <c r="M7" s="83"/>
      <c r="N7" s="96"/>
      <c r="O7" s="141"/>
      <c r="P7" s="141"/>
      <c r="Q7" s="141"/>
      <c r="R7" s="141"/>
      <c r="S7" s="141"/>
      <c r="T7" s="141"/>
    </row>
    <row r="8" spans="1:28" ht="25.5" x14ac:dyDescent="0.35">
      <c r="A8" s="82"/>
      <c r="B8" s="83"/>
      <c r="C8" s="90"/>
      <c r="D8" s="90"/>
      <c r="E8" s="90"/>
      <c r="F8" s="83"/>
      <c r="G8" s="83"/>
      <c r="H8" s="83"/>
      <c r="I8" s="83"/>
      <c r="J8" s="83"/>
      <c r="K8" s="83"/>
      <c r="L8" s="83"/>
      <c r="M8" s="83"/>
      <c r="N8" s="96"/>
      <c r="O8" s="141"/>
      <c r="P8" s="141"/>
      <c r="Q8" s="141"/>
      <c r="R8" s="141"/>
      <c r="S8" s="141"/>
      <c r="T8" s="141"/>
    </row>
    <row r="9" spans="1:28" ht="26.25" thickBot="1" x14ac:dyDescent="0.4">
      <c r="A9" s="82"/>
      <c r="B9" s="83"/>
      <c r="C9" s="90"/>
      <c r="D9" s="90"/>
      <c r="E9" s="90"/>
      <c r="F9" s="83"/>
      <c r="G9" s="83"/>
      <c r="H9" s="83"/>
      <c r="I9" s="83"/>
      <c r="J9" s="83"/>
      <c r="K9" s="83"/>
      <c r="L9" s="83"/>
      <c r="M9" s="83"/>
      <c r="N9" s="96"/>
      <c r="O9" s="141"/>
      <c r="P9" s="141"/>
      <c r="Q9" s="141"/>
      <c r="R9" s="141"/>
      <c r="S9" s="141"/>
      <c r="T9" s="141"/>
    </row>
    <row r="10" spans="1:28" ht="27" thickBot="1" x14ac:dyDescent="0.4">
      <c r="A10" s="82"/>
      <c r="B10" s="83"/>
      <c r="C10" s="306" t="s">
        <v>99</v>
      </c>
      <c r="D10" s="307"/>
      <c r="E10" s="308"/>
      <c r="F10" s="83"/>
      <c r="G10" s="83"/>
      <c r="H10" s="83"/>
      <c r="I10" s="83"/>
      <c r="J10" s="83"/>
      <c r="K10" s="83"/>
      <c r="L10" s="83"/>
      <c r="M10" s="83"/>
      <c r="N10" s="96"/>
      <c r="O10" s="141"/>
      <c r="P10" s="141"/>
      <c r="Q10" s="141"/>
      <c r="R10" s="141"/>
      <c r="S10" s="141"/>
      <c r="T10" s="141"/>
    </row>
    <row r="11" spans="1:28" ht="26.25" x14ac:dyDescent="0.35">
      <c r="A11" s="82"/>
      <c r="B11" s="83"/>
      <c r="C11" s="91" t="s">
        <v>14</v>
      </c>
      <c r="D11" s="92" t="s">
        <v>97</v>
      </c>
      <c r="E11" s="93" t="s">
        <v>98</v>
      </c>
      <c r="F11" s="83"/>
      <c r="G11" s="83"/>
      <c r="H11" s="83"/>
      <c r="I11" s="83"/>
      <c r="J11" s="83"/>
      <c r="K11" s="83"/>
      <c r="L11" s="83"/>
      <c r="M11" s="83"/>
      <c r="N11" s="96"/>
      <c r="O11" s="141"/>
      <c r="P11" s="141"/>
      <c r="Q11" s="141"/>
      <c r="R11" s="141"/>
      <c r="S11" s="141"/>
      <c r="T11" s="141"/>
    </row>
    <row r="12" spans="1:28" ht="26.25" thickBot="1" x14ac:dyDescent="0.4">
      <c r="A12" s="82"/>
      <c r="B12" s="83"/>
      <c r="C12" s="87">
        <v>25</v>
      </c>
      <c r="D12" s="88">
        <v>51</v>
      </c>
      <c r="E12" s="89">
        <v>77</v>
      </c>
      <c r="F12" s="83"/>
      <c r="G12" s="83"/>
      <c r="H12" s="83"/>
      <c r="I12" s="83"/>
      <c r="J12" s="83"/>
      <c r="K12" s="83"/>
      <c r="L12" s="83"/>
      <c r="M12" s="83"/>
      <c r="N12" s="96"/>
      <c r="O12" s="141"/>
      <c r="P12" s="141"/>
      <c r="Q12" s="141"/>
      <c r="R12" s="141"/>
      <c r="S12" s="141"/>
      <c r="T12" s="141"/>
    </row>
    <row r="13" spans="1:28" ht="25.5" x14ac:dyDescent="0.35">
      <c r="A13" s="82"/>
      <c r="B13" s="83"/>
      <c r="C13" s="83"/>
      <c r="D13" s="83"/>
      <c r="E13" s="83"/>
      <c r="F13" s="83"/>
      <c r="G13" s="83"/>
      <c r="H13" s="83"/>
      <c r="I13" s="83"/>
      <c r="J13" s="83"/>
      <c r="K13" s="83"/>
      <c r="L13" s="83"/>
      <c r="M13" s="83"/>
      <c r="N13" s="96"/>
      <c r="O13" s="141"/>
      <c r="P13" s="141"/>
      <c r="Q13" s="141"/>
      <c r="R13" s="141"/>
      <c r="S13" s="141"/>
      <c r="T13" s="141"/>
    </row>
    <row r="14" spans="1:28" ht="25.5" x14ac:dyDescent="0.35">
      <c r="A14" s="82"/>
      <c r="B14" s="83"/>
      <c r="C14" s="83"/>
      <c r="D14" s="83"/>
      <c r="E14" s="83"/>
      <c r="F14" s="83"/>
      <c r="G14" s="83"/>
      <c r="H14" s="83"/>
      <c r="I14" s="83"/>
      <c r="J14" s="83"/>
      <c r="K14" s="83"/>
      <c r="L14" s="83"/>
      <c r="M14" s="83"/>
      <c r="N14" s="96"/>
      <c r="O14" s="141"/>
      <c r="P14" s="141"/>
      <c r="Q14" s="141"/>
      <c r="R14" s="141"/>
      <c r="S14" s="141"/>
      <c r="T14" s="141"/>
    </row>
    <row r="15" spans="1:28" ht="25.5" x14ac:dyDescent="0.35">
      <c r="A15" s="82"/>
      <c r="B15" s="83"/>
      <c r="C15" s="83"/>
      <c r="D15" s="83"/>
      <c r="E15" s="83"/>
      <c r="F15" s="83"/>
      <c r="G15" s="83"/>
      <c r="H15" s="83"/>
      <c r="I15" s="83"/>
      <c r="J15" s="83"/>
      <c r="K15" s="83"/>
      <c r="L15" s="83"/>
      <c r="M15" s="83"/>
      <c r="N15" s="96"/>
      <c r="O15" s="141"/>
      <c r="P15" s="141"/>
      <c r="Q15" s="141"/>
      <c r="R15" s="141"/>
      <c r="S15" s="141"/>
      <c r="T15" s="141"/>
    </row>
    <row r="16" spans="1:28" ht="25.5" x14ac:dyDescent="0.35">
      <c r="A16" s="82"/>
      <c r="B16" s="83"/>
      <c r="C16" s="83"/>
      <c r="D16" s="83"/>
      <c r="E16" s="83"/>
      <c r="F16" s="83"/>
      <c r="G16" s="83"/>
      <c r="H16" s="83"/>
      <c r="I16" s="83"/>
      <c r="J16" s="83"/>
      <c r="K16" s="83"/>
      <c r="L16" s="83"/>
      <c r="M16" s="83"/>
      <c r="N16" s="96"/>
      <c r="O16" s="141"/>
      <c r="P16" s="141"/>
      <c r="Q16" s="141"/>
      <c r="R16" s="141"/>
      <c r="S16" s="141"/>
      <c r="T16" s="141"/>
    </row>
    <row r="17" spans="1:35" ht="25.5" x14ac:dyDescent="0.35">
      <c r="A17" s="82"/>
      <c r="B17" s="83"/>
      <c r="C17" s="83"/>
      <c r="D17" s="83"/>
      <c r="E17" s="83"/>
      <c r="F17" s="83"/>
      <c r="G17" s="83"/>
      <c r="H17" s="83"/>
      <c r="I17" s="83"/>
      <c r="J17" s="83"/>
      <c r="K17" s="83"/>
      <c r="L17" s="83"/>
      <c r="M17" s="83"/>
      <c r="N17" s="96"/>
      <c r="O17" s="141"/>
      <c r="P17" s="141"/>
      <c r="Q17" s="141"/>
      <c r="R17" s="141"/>
      <c r="S17" s="141"/>
      <c r="T17" s="141"/>
    </row>
    <row r="18" spans="1:35" ht="27" thickBot="1" x14ac:dyDescent="0.4">
      <c r="A18" s="94"/>
      <c r="B18" s="95"/>
      <c r="C18" s="309" t="s">
        <v>137</v>
      </c>
      <c r="D18" s="309"/>
      <c r="E18" s="309"/>
      <c r="F18" s="309"/>
      <c r="G18" s="309"/>
      <c r="H18" s="95"/>
      <c r="I18" s="95"/>
      <c r="J18" s="95"/>
      <c r="K18" s="95"/>
      <c r="L18" s="95"/>
      <c r="M18" s="95"/>
      <c r="N18" s="97"/>
      <c r="O18" s="141"/>
      <c r="P18" s="141"/>
      <c r="Q18" s="141"/>
      <c r="R18" s="141"/>
      <c r="S18" s="141"/>
      <c r="T18" s="141"/>
    </row>
    <row r="20" spans="1:35" s="1" customFormat="1" ht="31.5" thickBot="1" x14ac:dyDescent="0.25">
      <c r="F20" s="2"/>
      <c r="K20" s="2"/>
      <c r="S20" s="2"/>
      <c r="U20" s="49"/>
      <c r="V20" s="50"/>
      <c r="W20" s="50"/>
      <c r="X20" s="50"/>
      <c r="Y20" s="50"/>
      <c r="Z20" s="50"/>
      <c r="AA20" s="50"/>
      <c r="AB20" s="60"/>
      <c r="AC20" s="288"/>
      <c r="AD20" s="288"/>
      <c r="AE20" s="288"/>
      <c r="AF20" s="60"/>
    </row>
    <row r="21" spans="1:35" s="1" customFormat="1" ht="31.5" thickBot="1" x14ac:dyDescent="0.25">
      <c r="A21" s="285" t="s">
        <v>0</v>
      </c>
      <c r="B21" s="286"/>
      <c r="C21" s="286"/>
      <c r="D21" s="286"/>
      <c r="E21" s="286"/>
      <c r="F21" s="286"/>
      <c r="G21" s="287"/>
      <c r="H21" s="295" t="s">
        <v>4</v>
      </c>
      <c r="I21" s="296"/>
      <c r="J21" s="296"/>
      <c r="K21" s="296"/>
      <c r="L21" s="297"/>
      <c r="M21" s="298" t="s">
        <v>14</v>
      </c>
      <c r="N21" s="299"/>
      <c r="O21" s="299"/>
      <c r="P21" s="299"/>
      <c r="Q21" s="299"/>
      <c r="R21" s="299"/>
      <c r="S21" s="299"/>
      <c r="T21" s="300"/>
      <c r="V21" s="290" t="s">
        <v>73</v>
      </c>
      <c r="W21" s="293"/>
      <c r="X21" s="293"/>
      <c r="Y21" s="293"/>
      <c r="Z21" s="293"/>
      <c r="AA21" s="293"/>
      <c r="AB21" s="294"/>
      <c r="AC21" s="33"/>
      <c r="AD21" s="33"/>
      <c r="AE21" s="33"/>
      <c r="AF21" s="61"/>
      <c r="AG21" s="50"/>
      <c r="AH21" s="50"/>
    </row>
    <row r="22" spans="1:35" s="1" customFormat="1" ht="58.5" x14ac:dyDescent="0.2">
      <c r="A22" s="76" t="s">
        <v>148</v>
      </c>
      <c r="B22" s="77" t="s">
        <v>147</v>
      </c>
      <c r="C22" s="77" t="s">
        <v>146</v>
      </c>
      <c r="D22" s="77" t="s">
        <v>143</v>
      </c>
      <c r="E22" s="77" t="s">
        <v>144</v>
      </c>
      <c r="F22" s="77" t="s">
        <v>145</v>
      </c>
      <c r="G22" s="78" t="s">
        <v>3</v>
      </c>
      <c r="H22" s="79" t="s">
        <v>9</v>
      </c>
      <c r="I22" s="80" t="s">
        <v>10</v>
      </c>
      <c r="J22" s="80" t="s">
        <v>1</v>
      </c>
      <c r="K22" s="80" t="s">
        <v>2</v>
      </c>
      <c r="L22" s="81" t="s">
        <v>139</v>
      </c>
      <c r="M22" s="64" t="s">
        <v>140</v>
      </c>
      <c r="N22" s="65" t="s">
        <v>141</v>
      </c>
      <c r="O22" s="66" t="s">
        <v>11</v>
      </c>
      <c r="P22" s="66" t="s">
        <v>12</v>
      </c>
      <c r="Q22" s="65" t="s">
        <v>142</v>
      </c>
      <c r="R22" s="66" t="s">
        <v>100</v>
      </c>
      <c r="S22" s="66" t="s">
        <v>95</v>
      </c>
      <c r="T22" s="67" t="s">
        <v>13</v>
      </c>
      <c r="U22" s="68" t="s">
        <v>138</v>
      </c>
      <c r="V22" s="69" t="s">
        <v>60</v>
      </c>
      <c r="W22" s="70" t="s">
        <v>91</v>
      </c>
      <c r="X22" s="71" t="s">
        <v>92</v>
      </c>
      <c r="Y22" s="72" t="s">
        <v>93</v>
      </c>
      <c r="Z22" s="73" t="s">
        <v>94</v>
      </c>
      <c r="AA22" s="74" t="s">
        <v>117</v>
      </c>
      <c r="AB22" s="75" t="s">
        <v>118</v>
      </c>
      <c r="AC22" s="61"/>
      <c r="AD22" s="61"/>
      <c r="AE22" s="61"/>
      <c r="AF22" s="61"/>
      <c r="AG22" s="50"/>
      <c r="AH22" s="50"/>
    </row>
    <row r="23" spans="1:35" s="1" customFormat="1" ht="30.75" x14ac:dyDescent="0.2">
      <c r="A23" s="116" t="s">
        <v>5</v>
      </c>
      <c r="B23" s="117" t="s">
        <v>19</v>
      </c>
      <c r="C23" s="117" t="s">
        <v>26</v>
      </c>
      <c r="D23" s="117" t="s">
        <v>15</v>
      </c>
      <c r="E23" s="117">
        <v>6283025</v>
      </c>
      <c r="F23" s="118">
        <v>7780</v>
      </c>
      <c r="G23" s="119">
        <v>45485</v>
      </c>
      <c r="H23" s="120" t="s">
        <v>7</v>
      </c>
      <c r="I23" s="121" t="s">
        <v>16</v>
      </c>
      <c r="J23" s="121">
        <v>6284038</v>
      </c>
      <c r="K23" s="122">
        <v>7750</v>
      </c>
      <c r="L23" s="123">
        <v>45486</v>
      </c>
      <c r="M23" s="124"/>
      <c r="N23" s="125"/>
      <c r="O23" s="125"/>
      <c r="P23" s="125">
        <v>25</v>
      </c>
      <c r="Q23" s="126">
        <v>45486</v>
      </c>
      <c r="R23" s="125">
        <v>55</v>
      </c>
      <c r="S23" s="127">
        <v>7765</v>
      </c>
      <c r="T23" s="128">
        <v>85</v>
      </c>
      <c r="U23" s="129"/>
      <c r="V23" s="130">
        <f t="shared" ref="V23:V52" si="0">IF(RIGHT(C23, 1)="1",
    IF(O23&lt;&gt;"", 500*O23 + T23 + IF(R23&lt;=110, R23, 0), IF(P23&lt;&gt;"", 305*P23 + T23 + IF(R23&lt;=110, R23, 0), "")),
    IF(O23&lt;&gt;"", 500*O23 + T23, IF(P23&lt;&gt;"", 305*P23 + T23, ""))
)</f>
        <v>7765</v>
      </c>
      <c r="W23" s="131">
        <f t="shared" ref="W23:W52" si="1">IF(OR(ISBLANK(V23), ISBLANK(S23), NOT(ISNUMBER(V23)), NOT(ISNUMBER(S23))), "", V23-S23)</f>
        <v>0</v>
      </c>
      <c r="X23" s="132">
        <f t="shared" ref="X23:X52" si="2">IF(OR(ISBLANK(V23), ISBLANK(K23), NOT(ISNUMBER(V23)), NOT(ISNUMBER(K23))), "", V23-K23)</f>
        <v>15</v>
      </c>
      <c r="Y23" s="201">
        <f t="shared" ref="Y23:Y52" si="3">IF(OR(ISBLANK(V23), ISBLANK(F23), NOT(ISNUMBER(V23)), NOT(ISNUMBER(F23))), "", V23-F23)</f>
        <v>-15</v>
      </c>
      <c r="Z23" s="133">
        <f t="shared" ref="Z23:Z52" si="4">IF(OR(ISBLANK(F23), ISBLANK(K23)), "",K23-F23)</f>
        <v>-30</v>
      </c>
      <c r="AA23" s="134">
        <f t="shared" ref="AA23:AA52" si="5">IF(OR(ISBLANK(K23), ISBLANK(S23)), "",S23-K23)</f>
        <v>15</v>
      </c>
      <c r="AB23" s="181">
        <f t="shared" ref="AB23:AB52" si="6">IF(OR(ISBLANK(F23), ISBLANK(S23)), "",S23-F23)</f>
        <v>-15</v>
      </c>
      <c r="AC23" s="209"/>
      <c r="AD23" s="209"/>
      <c r="AE23" s="209"/>
      <c r="AF23" s="209"/>
      <c r="AG23" s="209"/>
      <c r="AH23" s="50"/>
      <c r="AI23" s="50"/>
    </row>
    <row r="24" spans="1:35" s="1" customFormat="1" ht="30.75" x14ac:dyDescent="0.2">
      <c r="A24" s="116" t="s">
        <v>5</v>
      </c>
      <c r="B24" s="117" t="s">
        <v>20</v>
      </c>
      <c r="C24" s="117" t="s">
        <v>33</v>
      </c>
      <c r="D24" s="117" t="s">
        <v>62</v>
      </c>
      <c r="E24" s="117">
        <v>6282738</v>
      </c>
      <c r="F24" s="118">
        <v>7867</v>
      </c>
      <c r="G24" s="119">
        <v>45485</v>
      </c>
      <c r="H24" s="120" t="s">
        <v>7</v>
      </c>
      <c r="I24" s="121" t="s">
        <v>16</v>
      </c>
      <c r="J24" s="121">
        <v>6233061</v>
      </c>
      <c r="K24" s="122">
        <v>7750</v>
      </c>
      <c r="L24" s="123">
        <v>45485</v>
      </c>
      <c r="M24" s="124"/>
      <c r="N24" s="125"/>
      <c r="O24" s="125">
        <v>15</v>
      </c>
      <c r="P24" s="125"/>
      <c r="Q24" s="126">
        <v>45485</v>
      </c>
      <c r="R24" s="125">
        <v>110</v>
      </c>
      <c r="S24" s="127">
        <v>7718</v>
      </c>
      <c r="T24" s="128">
        <v>108</v>
      </c>
      <c r="U24" s="129"/>
      <c r="V24" s="130">
        <f t="shared" si="0"/>
        <v>7718</v>
      </c>
      <c r="W24" s="131">
        <f t="shared" si="1"/>
        <v>0</v>
      </c>
      <c r="X24" s="135">
        <f t="shared" si="2"/>
        <v>-32</v>
      </c>
      <c r="Y24" s="202">
        <f t="shared" si="3"/>
        <v>-149</v>
      </c>
      <c r="Z24" s="133">
        <f t="shared" si="4"/>
        <v>-117</v>
      </c>
      <c r="AA24" s="136">
        <f t="shared" si="5"/>
        <v>-32</v>
      </c>
      <c r="AB24" s="181">
        <f t="shared" si="6"/>
        <v>-149</v>
      </c>
      <c r="AC24" s="50"/>
      <c r="AD24" s="50"/>
      <c r="AE24" s="50"/>
      <c r="AF24" s="50"/>
      <c r="AG24" s="50"/>
      <c r="AH24" s="50"/>
      <c r="AI24" s="50"/>
    </row>
    <row r="25" spans="1:35" s="1" customFormat="1" ht="30.75" x14ac:dyDescent="0.2">
      <c r="A25" s="116" t="s">
        <v>5</v>
      </c>
      <c r="B25" s="117" t="s">
        <v>21</v>
      </c>
      <c r="C25" s="117" t="s">
        <v>37</v>
      </c>
      <c r="D25" s="117" t="s">
        <v>30</v>
      </c>
      <c r="E25" s="117">
        <v>6282759</v>
      </c>
      <c r="F25" s="118">
        <v>7780</v>
      </c>
      <c r="G25" s="119">
        <v>45485</v>
      </c>
      <c r="H25" s="120" t="s">
        <v>7</v>
      </c>
      <c r="I25" s="121" t="s">
        <v>16</v>
      </c>
      <c r="J25" s="121">
        <v>6283982</v>
      </c>
      <c r="K25" s="122">
        <v>7650</v>
      </c>
      <c r="L25" s="123">
        <v>45486</v>
      </c>
      <c r="M25" s="124"/>
      <c r="N25" s="125"/>
      <c r="O25" s="125"/>
      <c r="P25" s="125">
        <v>24</v>
      </c>
      <c r="Q25" s="126">
        <v>45486</v>
      </c>
      <c r="R25" s="125">
        <v>55</v>
      </c>
      <c r="S25" s="127">
        <v>7650</v>
      </c>
      <c r="T25" s="128">
        <v>275</v>
      </c>
      <c r="U25" s="129"/>
      <c r="V25" s="130">
        <f t="shared" si="0"/>
        <v>7650</v>
      </c>
      <c r="W25" s="131">
        <f t="shared" si="1"/>
        <v>0</v>
      </c>
      <c r="X25" s="135">
        <f t="shared" si="2"/>
        <v>0</v>
      </c>
      <c r="Y25" s="202">
        <f t="shared" si="3"/>
        <v>-130</v>
      </c>
      <c r="Z25" s="133">
        <f t="shared" si="4"/>
        <v>-130</v>
      </c>
      <c r="AA25" s="134">
        <f t="shared" si="5"/>
        <v>0</v>
      </c>
      <c r="AB25" s="181">
        <f t="shared" si="6"/>
        <v>-130</v>
      </c>
      <c r="AC25" s="50"/>
      <c r="AD25" s="50"/>
      <c r="AE25" s="50"/>
      <c r="AF25" s="50"/>
      <c r="AG25" s="50"/>
      <c r="AH25" s="50"/>
      <c r="AI25" s="50"/>
    </row>
    <row r="26" spans="1:35" s="1" customFormat="1" ht="30.75" x14ac:dyDescent="0.2">
      <c r="A26" s="116" t="s">
        <v>28</v>
      </c>
      <c r="B26" s="117" t="s">
        <v>24</v>
      </c>
      <c r="C26" s="117" t="s">
        <v>56</v>
      </c>
      <c r="D26" s="117" t="s">
        <v>6</v>
      </c>
      <c r="E26" s="117">
        <v>6283162</v>
      </c>
      <c r="F26" s="118">
        <v>8135</v>
      </c>
      <c r="G26" s="119">
        <v>45485</v>
      </c>
      <c r="H26" s="120" t="s">
        <v>31</v>
      </c>
      <c r="I26" s="121" t="s">
        <v>43</v>
      </c>
      <c r="J26" s="121">
        <v>6283354</v>
      </c>
      <c r="K26" s="122">
        <v>8190</v>
      </c>
      <c r="L26" s="123">
        <v>45486</v>
      </c>
      <c r="M26" s="124" t="s">
        <v>44</v>
      </c>
      <c r="N26" s="125" t="s">
        <v>51</v>
      </c>
      <c r="O26" s="125"/>
      <c r="P26" s="125">
        <v>26</v>
      </c>
      <c r="Q26" s="126">
        <v>45486</v>
      </c>
      <c r="R26" s="125">
        <v>110</v>
      </c>
      <c r="S26" s="127">
        <v>8165</v>
      </c>
      <c r="T26" s="128">
        <v>125</v>
      </c>
      <c r="U26" s="129"/>
      <c r="V26" s="130">
        <f t="shared" si="0"/>
        <v>8165</v>
      </c>
      <c r="W26" s="131">
        <f t="shared" si="1"/>
        <v>0</v>
      </c>
      <c r="X26" s="135">
        <f t="shared" si="2"/>
        <v>-25</v>
      </c>
      <c r="Y26" s="202">
        <f t="shared" si="3"/>
        <v>30</v>
      </c>
      <c r="Z26" s="133">
        <f t="shared" si="4"/>
        <v>55</v>
      </c>
      <c r="AA26" s="136">
        <f t="shared" si="5"/>
        <v>-25</v>
      </c>
      <c r="AB26" s="181">
        <f t="shared" si="6"/>
        <v>30</v>
      </c>
      <c r="AC26" s="50"/>
      <c r="AD26" s="50"/>
      <c r="AE26" s="50"/>
      <c r="AF26" s="50"/>
      <c r="AG26" s="50"/>
      <c r="AH26" s="50"/>
      <c r="AI26" s="50"/>
    </row>
    <row r="27" spans="1:35" s="1" customFormat="1" ht="30.75" x14ac:dyDescent="0.2">
      <c r="A27" s="116" t="s">
        <v>5</v>
      </c>
      <c r="B27" s="117" t="s">
        <v>21</v>
      </c>
      <c r="C27" s="117" t="s">
        <v>53</v>
      </c>
      <c r="D27" s="117" t="s">
        <v>15</v>
      </c>
      <c r="E27" s="117">
        <v>6283163</v>
      </c>
      <c r="F27" s="118">
        <v>7780</v>
      </c>
      <c r="G27" s="119">
        <v>45485</v>
      </c>
      <c r="H27" s="120" t="s">
        <v>7</v>
      </c>
      <c r="I27" s="121" t="s">
        <v>16</v>
      </c>
      <c r="J27" s="121">
        <v>6284658</v>
      </c>
      <c r="K27" s="122">
        <v>7710</v>
      </c>
      <c r="L27" s="123">
        <v>45489</v>
      </c>
      <c r="M27" s="124" t="s">
        <v>17</v>
      </c>
      <c r="N27" s="125" t="s">
        <v>18</v>
      </c>
      <c r="O27" s="125"/>
      <c r="P27" s="125">
        <v>25</v>
      </c>
      <c r="Q27" s="126">
        <v>45489</v>
      </c>
      <c r="R27" s="125">
        <v>55</v>
      </c>
      <c r="S27" s="127">
        <v>7689</v>
      </c>
      <c r="T27" s="128">
        <v>9</v>
      </c>
      <c r="U27" s="129"/>
      <c r="V27" s="130">
        <f t="shared" si="0"/>
        <v>7689</v>
      </c>
      <c r="W27" s="131">
        <f t="shared" si="1"/>
        <v>0</v>
      </c>
      <c r="X27" s="135">
        <f t="shared" si="2"/>
        <v>-21</v>
      </c>
      <c r="Y27" s="202">
        <f t="shared" si="3"/>
        <v>-91</v>
      </c>
      <c r="Z27" s="133">
        <f t="shared" si="4"/>
        <v>-70</v>
      </c>
      <c r="AA27" s="136">
        <f t="shared" si="5"/>
        <v>-21</v>
      </c>
      <c r="AB27" s="181">
        <f t="shared" si="6"/>
        <v>-91</v>
      </c>
      <c r="AC27" s="50"/>
      <c r="AD27" s="50"/>
      <c r="AE27" s="50"/>
      <c r="AF27" s="50"/>
      <c r="AG27" s="50"/>
      <c r="AH27" s="50"/>
      <c r="AI27" s="50"/>
    </row>
    <row r="28" spans="1:35" s="1" customFormat="1" ht="30.75" x14ac:dyDescent="0.2">
      <c r="A28" s="116" t="s">
        <v>5</v>
      </c>
      <c r="B28" s="117" t="s">
        <v>19</v>
      </c>
      <c r="C28" s="117" t="s">
        <v>71</v>
      </c>
      <c r="D28" s="117" t="s">
        <v>67</v>
      </c>
      <c r="E28" s="117">
        <v>6286356</v>
      </c>
      <c r="F28" s="118">
        <v>7780</v>
      </c>
      <c r="G28" s="119">
        <v>45490</v>
      </c>
      <c r="H28" s="120" t="s">
        <v>7</v>
      </c>
      <c r="I28" s="121" t="s">
        <v>27</v>
      </c>
      <c r="J28" s="121">
        <v>6286813</v>
      </c>
      <c r="K28" s="122">
        <v>7770</v>
      </c>
      <c r="L28" s="123">
        <v>45491</v>
      </c>
      <c r="M28" s="124" t="s">
        <v>35</v>
      </c>
      <c r="N28" s="125"/>
      <c r="O28" s="125"/>
      <c r="P28" s="125">
        <v>25</v>
      </c>
      <c r="Q28" s="126">
        <v>45491</v>
      </c>
      <c r="R28" s="125">
        <v>55</v>
      </c>
      <c r="S28" s="127">
        <v>7762</v>
      </c>
      <c r="T28" s="128">
        <v>82</v>
      </c>
      <c r="U28" s="129"/>
      <c r="V28" s="130">
        <f t="shared" si="0"/>
        <v>7762</v>
      </c>
      <c r="W28" s="131">
        <f t="shared" si="1"/>
        <v>0</v>
      </c>
      <c r="X28" s="135">
        <f t="shared" si="2"/>
        <v>-8</v>
      </c>
      <c r="Y28" s="202">
        <f t="shared" si="3"/>
        <v>-18</v>
      </c>
      <c r="Z28" s="133">
        <f t="shared" si="4"/>
        <v>-10</v>
      </c>
      <c r="AA28" s="134">
        <f t="shared" si="5"/>
        <v>-8</v>
      </c>
      <c r="AB28" s="181">
        <f t="shared" si="6"/>
        <v>-18</v>
      </c>
    </row>
    <row r="29" spans="1:35" s="1" customFormat="1" ht="30.75" x14ac:dyDescent="0.2">
      <c r="A29" s="116" t="s">
        <v>5</v>
      </c>
      <c r="B29" s="117" t="s">
        <v>24</v>
      </c>
      <c r="C29" s="117" t="s">
        <v>81</v>
      </c>
      <c r="D29" s="117" t="s">
        <v>67</v>
      </c>
      <c r="E29" s="117">
        <v>6286357</v>
      </c>
      <c r="F29" s="118">
        <v>7780</v>
      </c>
      <c r="G29" s="119">
        <v>45490</v>
      </c>
      <c r="H29" s="120" t="s">
        <v>7</v>
      </c>
      <c r="I29" s="121" t="s">
        <v>16</v>
      </c>
      <c r="J29" s="121">
        <v>6287023</v>
      </c>
      <c r="K29" s="122">
        <v>7810</v>
      </c>
      <c r="L29" s="123">
        <v>45491</v>
      </c>
      <c r="M29" s="124" t="s">
        <v>35</v>
      </c>
      <c r="N29" s="125" t="s">
        <v>101</v>
      </c>
      <c r="O29" s="125"/>
      <c r="P29" s="125">
        <v>25</v>
      </c>
      <c r="Q29" s="126">
        <v>45491</v>
      </c>
      <c r="R29" s="125">
        <v>55</v>
      </c>
      <c r="S29" s="127">
        <v>7814</v>
      </c>
      <c r="T29" s="128">
        <v>134</v>
      </c>
      <c r="U29" s="129"/>
      <c r="V29" s="130">
        <f t="shared" si="0"/>
        <v>7814</v>
      </c>
      <c r="W29" s="131">
        <f t="shared" si="1"/>
        <v>0</v>
      </c>
      <c r="X29" s="135">
        <f t="shared" si="2"/>
        <v>4</v>
      </c>
      <c r="Y29" s="202">
        <f t="shared" si="3"/>
        <v>34</v>
      </c>
      <c r="Z29" s="133">
        <f t="shared" si="4"/>
        <v>30</v>
      </c>
      <c r="AA29" s="134">
        <f t="shared" si="5"/>
        <v>4</v>
      </c>
      <c r="AB29" s="181">
        <f t="shared" si="6"/>
        <v>34</v>
      </c>
    </row>
    <row r="30" spans="1:35" s="1" customFormat="1" ht="30.75" x14ac:dyDescent="0.2">
      <c r="A30" s="116" t="s">
        <v>5</v>
      </c>
      <c r="B30" s="117" t="s">
        <v>19</v>
      </c>
      <c r="C30" s="117" t="s">
        <v>85</v>
      </c>
      <c r="D30" s="117" t="s">
        <v>6</v>
      </c>
      <c r="E30" s="117">
        <v>6287021</v>
      </c>
      <c r="F30" s="118">
        <v>7780</v>
      </c>
      <c r="G30" s="119">
        <v>45491</v>
      </c>
      <c r="H30" s="120" t="s">
        <v>7</v>
      </c>
      <c r="I30" s="121" t="s">
        <v>66</v>
      </c>
      <c r="J30" s="121">
        <v>6287457</v>
      </c>
      <c r="K30" s="122">
        <v>7750</v>
      </c>
      <c r="L30" s="123">
        <v>45491</v>
      </c>
      <c r="M30" s="124" t="s">
        <v>35</v>
      </c>
      <c r="N30" s="125" t="s">
        <v>79</v>
      </c>
      <c r="O30" s="125"/>
      <c r="P30" s="125">
        <v>25</v>
      </c>
      <c r="Q30" s="126">
        <v>45491</v>
      </c>
      <c r="R30" s="125">
        <v>55</v>
      </c>
      <c r="S30" s="127">
        <v>7768</v>
      </c>
      <c r="T30" s="128">
        <v>88</v>
      </c>
      <c r="U30" s="129"/>
      <c r="V30" s="130">
        <f t="shared" si="0"/>
        <v>7768</v>
      </c>
      <c r="W30" s="131">
        <f t="shared" si="1"/>
        <v>0</v>
      </c>
      <c r="X30" s="132">
        <f t="shared" si="2"/>
        <v>18</v>
      </c>
      <c r="Y30" s="201">
        <f t="shared" si="3"/>
        <v>-12</v>
      </c>
      <c r="Z30" s="133">
        <f t="shared" si="4"/>
        <v>-30</v>
      </c>
      <c r="AA30" s="136">
        <f t="shared" si="5"/>
        <v>18</v>
      </c>
      <c r="AB30" s="181">
        <f t="shared" si="6"/>
        <v>-12</v>
      </c>
    </row>
    <row r="31" spans="1:35" s="1" customFormat="1" ht="30.75" x14ac:dyDescent="0.2">
      <c r="A31" s="116" t="s">
        <v>5</v>
      </c>
      <c r="B31" s="117" t="s">
        <v>21</v>
      </c>
      <c r="C31" s="117" t="s">
        <v>126</v>
      </c>
      <c r="D31" s="117" t="s">
        <v>127</v>
      </c>
      <c r="E31" s="117">
        <v>6289013</v>
      </c>
      <c r="F31" s="118">
        <v>7780</v>
      </c>
      <c r="G31" s="119">
        <v>45493</v>
      </c>
      <c r="H31" s="120" t="s">
        <v>7</v>
      </c>
      <c r="I31" s="121" t="s">
        <v>121</v>
      </c>
      <c r="J31" s="121">
        <v>6290124</v>
      </c>
      <c r="K31" s="122">
        <v>7720</v>
      </c>
      <c r="L31" s="123">
        <v>45495</v>
      </c>
      <c r="M31" s="124" t="s">
        <v>44</v>
      </c>
      <c r="N31" s="125" t="s">
        <v>25</v>
      </c>
      <c r="O31" s="125"/>
      <c r="P31" s="125">
        <v>25</v>
      </c>
      <c r="Q31" s="126">
        <v>45495</v>
      </c>
      <c r="R31" s="125">
        <v>55</v>
      </c>
      <c r="S31" s="127">
        <v>7722</v>
      </c>
      <c r="T31" s="128">
        <v>42</v>
      </c>
      <c r="U31" s="129"/>
      <c r="V31" s="130">
        <f t="shared" si="0"/>
        <v>7722</v>
      </c>
      <c r="W31" s="131">
        <f t="shared" si="1"/>
        <v>0</v>
      </c>
      <c r="X31" s="135">
        <f t="shared" si="2"/>
        <v>2</v>
      </c>
      <c r="Y31" s="202">
        <f t="shared" si="3"/>
        <v>-58</v>
      </c>
      <c r="Z31" s="133">
        <f t="shared" si="4"/>
        <v>-60</v>
      </c>
      <c r="AA31" s="134">
        <f t="shared" si="5"/>
        <v>2</v>
      </c>
      <c r="AB31" s="181">
        <f t="shared" si="6"/>
        <v>-58</v>
      </c>
    </row>
    <row r="32" spans="1:35" s="1" customFormat="1" ht="30.75" x14ac:dyDescent="0.2">
      <c r="A32" s="116" t="s">
        <v>5</v>
      </c>
      <c r="B32" s="117" t="s">
        <v>24</v>
      </c>
      <c r="C32" s="117" t="s">
        <v>129</v>
      </c>
      <c r="D32" s="117" t="s">
        <v>46</v>
      </c>
      <c r="E32" s="117">
        <v>6289871</v>
      </c>
      <c r="F32" s="118">
        <v>7780</v>
      </c>
      <c r="G32" s="119">
        <v>45495</v>
      </c>
      <c r="H32" s="120" t="s">
        <v>7</v>
      </c>
      <c r="I32" s="121" t="s">
        <v>27</v>
      </c>
      <c r="J32" s="121">
        <v>6290541</v>
      </c>
      <c r="K32" s="122">
        <v>7790</v>
      </c>
      <c r="L32" s="123">
        <v>45495</v>
      </c>
      <c r="M32" s="124" t="s">
        <v>44</v>
      </c>
      <c r="N32" s="125" t="s">
        <v>25</v>
      </c>
      <c r="O32" s="125"/>
      <c r="P32" s="125">
        <v>25</v>
      </c>
      <c r="Q32" s="126">
        <v>45495</v>
      </c>
      <c r="R32" s="125">
        <v>55</v>
      </c>
      <c r="S32" s="127">
        <v>7795</v>
      </c>
      <c r="T32" s="128">
        <v>115</v>
      </c>
      <c r="U32" s="129"/>
      <c r="V32" s="130">
        <f t="shared" si="0"/>
        <v>7795</v>
      </c>
      <c r="W32" s="131">
        <f t="shared" si="1"/>
        <v>0</v>
      </c>
      <c r="X32" s="135">
        <f t="shared" si="2"/>
        <v>5</v>
      </c>
      <c r="Y32" s="202">
        <f t="shared" si="3"/>
        <v>15</v>
      </c>
      <c r="Z32" s="133">
        <f t="shared" si="4"/>
        <v>10</v>
      </c>
      <c r="AA32" s="134">
        <f t="shared" si="5"/>
        <v>5</v>
      </c>
      <c r="AB32" s="181">
        <f t="shared" si="6"/>
        <v>15</v>
      </c>
    </row>
    <row r="33" spans="1:29" s="1" customFormat="1" ht="30.75" x14ac:dyDescent="0.2">
      <c r="A33" s="116" t="s">
        <v>5</v>
      </c>
      <c r="B33" s="117" t="s">
        <v>19</v>
      </c>
      <c r="C33" s="117" t="s">
        <v>130</v>
      </c>
      <c r="D33" s="117" t="s">
        <v>46</v>
      </c>
      <c r="E33" s="117">
        <v>6289881</v>
      </c>
      <c r="F33" s="118">
        <v>7780</v>
      </c>
      <c r="G33" s="119">
        <v>45495</v>
      </c>
      <c r="H33" s="120" t="s">
        <v>7</v>
      </c>
      <c r="I33" s="121" t="s">
        <v>27</v>
      </c>
      <c r="J33" s="121">
        <v>6290692</v>
      </c>
      <c r="K33" s="122">
        <v>7772</v>
      </c>
      <c r="L33" s="123">
        <v>45495</v>
      </c>
      <c r="M33" s="124" t="s">
        <v>17</v>
      </c>
      <c r="N33" s="125" t="s">
        <v>18</v>
      </c>
      <c r="O33" s="125"/>
      <c r="P33" s="125">
        <v>25</v>
      </c>
      <c r="Q33" s="126">
        <v>45496</v>
      </c>
      <c r="R33" s="125">
        <v>55</v>
      </c>
      <c r="S33" s="127">
        <v>7795</v>
      </c>
      <c r="T33" s="128">
        <v>115</v>
      </c>
      <c r="U33" s="129"/>
      <c r="V33" s="130">
        <f t="shared" si="0"/>
        <v>7795</v>
      </c>
      <c r="W33" s="131">
        <f t="shared" si="1"/>
        <v>0</v>
      </c>
      <c r="X33" s="132">
        <f t="shared" si="2"/>
        <v>23</v>
      </c>
      <c r="Y33" s="201">
        <f t="shared" si="3"/>
        <v>15</v>
      </c>
      <c r="Z33" s="133">
        <f t="shared" si="4"/>
        <v>-8</v>
      </c>
      <c r="AA33" s="136">
        <f t="shared" si="5"/>
        <v>23</v>
      </c>
      <c r="AB33" s="181">
        <f t="shared" si="6"/>
        <v>15</v>
      </c>
    </row>
    <row r="34" spans="1:29" s="1" customFormat="1" ht="30.75" x14ac:dyDescent="0.25">
      <c r="A34" s="116" t="s">
        <v>5</v>
      </c>
      <c r="B34" s="117" t="s">
        <v>24</v>
      </c>
      <c r="C34" s="117" t="s">
        <v>159</v>
      </c>
      <c r="D34" s="117" t="s">
        <v>46</v>
      </c>
      <c r="E34" s="117">
        <v>6291380</v>
      </c>
      <c r="F34" s="118">
        <v>7780</v>
      </c>
      <c r="G34" s="119">
        <v>45496</v>
      </c>
      <c r="H34" s="120" t="s">
        <v>7</v>
      </c>
      <c r="I34" s="121" t="s">
        <v>27</v>
      </c>
      <c r="J34" s="158">
        <v>6291658</v>
      </c>
      <c r="K34" s="122">
        <v>7785</v>
      </c>
      <c r="L34" s="123">
        <v>45496</v>
      </c>
      <c r="M34" s="124" t="s">
        <v>44</v>
      </c>
      <c r="N34" s="125" t="s">
        <v>25</v>
      </c>
      <c r="O34" s="125">
        <v>15</v>
      </c>
      <c r="P34" s="125"/>
      <c r="Q34" s="126">
        <v>45496</v>
      </c>
      <c r="R34" s="125">
        <v>55</v>
      </c>
      <c r="S34" s="127">
        <v>7795</v>
      </c>
      <c r="T34" s="128">
        <v>240</v>
      </c>
      <c r="U34" s="129"/>
      <c r="V34" s="130">
        <f t="shared" si="0"/>
        <v>7795</v>
      </c>
      <c r="W34" s="131">
        <f t="shared" si="1"/>
        <v>0</v>
      </c>
      <c r="X34" s="135">
        <f t="shared" si="2"/>
        <v>10</v>
      </c>
      <c r="Y34" s="202">
        <f t="shared" si="3"/>
        <v>15</v>
      </c>
      <c r="Z34" s="133">
        <f t="shared" si="4"/>
        <v>5</v>
      </c>
      <c r="AA34" s="134">
        <f t="shared" si="5"/>
        <v>10</v>
      </c>
      <c r="AB34" s="181">
        <f t="shared" si="6"/>
        <v>15</v>
      </c>
    </row>
    <row r="35" spans="1:29" s="1" customFormat="1" ht="30.75" x14ac:dyDescent="0.2">
      <c r="A35" s="116" t="s">
        <v>5</v>
      </c>
      <c r="B35" s="117" t="s">
        <v>24</v>
      </c>
      <c r="C35" s="117" t="s">
        <v>161</v>
      </c>
      <c r="D35" s="117" t="s">
        <v>127</v>
      </c>
      <c r="E35" s="117">
        <v>6291927</v>
      </c>
      <c r="F35" s="118">
        <v>7780</v>
      </c>
      <c r="G35" s="119">
        <v>45497</v>
      </c>
      <c r="H35" s="120" t="s">
        <v>31</v>
      </c>
      <c r="I35" s="121" t="s">
        <v>121</v>
      </c>
      <c r="J35" s="121">
        <v>6292207</v>
      </c>
      <c r="K35" s="122">
        <v>7770</v>
      </c>
      <c r="L35" s="123">
        <v>45496</v>
      </c>
      <c r="M35" s="124" t="s">
        <v>17</v>
      </c>
      <c r="N35" s="125" t="s">
        <v>79</v>
      </c>
      <c r="O35" s="125"/>
      <c r="P35" s="125">
        <v>25</v>
      </c>
      <c r="Q35" s="126">
        <v>45497</v>
      </c>
      <c r="R35" s="125">
        <v>110</v>
      </c>
      <c r="S35" s="127">
        <v>7760</v>
      </c>
      <c r="T35" s="128">
        <v>25</v>
      </c>
      <c r="U35" s="129"/>
      <c r="V35" s="130">
        <f t="shared" si="0"/>
        <v>7760</v>
      </c>
      <c r="W35" s="131">
        <f t="shared" si="1"/>
        <v>0</v>
      </c>
      <c r="X35" s="135">
        <f t="shared" si="2"/>
        <v>-10</v>
      </c>
      <c r="Y35" s="202">
        <f t="shared" si="3"/>
        <v>-20</v>
      </c>
      <c r="Z35" s="133">
        <f t="shared" si="4"/>
        <v>-10</v>
      </c>
      <c r="AA35" s="134">
        <f t="shared" si="5"/>
        <v>-10</v>
      </c>
      <c r="AB35" s="181">
        <f t="shared" si="6"/>
        <v>-20</v>
      </c>
    </row>
    <row r="36" spans="1:29" s="1" customFormat="1" ht="30.75" x14ac:dyDescent="0.2">
      <c r="A36" s="116" t="s">
        <v>5</v>
      </c>
      <c r="B36" s="117" t="s">
        <v>24</v>
      </c>
      <c r="C36" s="117" t="s">
        <v>134</v>
      </c>
      <c r="D36" s="117" t="s">
        <v>67</v>
      </c>
      <c r="E36" s="117">
        <v>6290838</v>
      </c>
      <c r="F36" s="118">
        <v>7680</v>
      </c>
      <c r="G36" s="119">
        <v>45496</v>
      </c>
      <c r="H36" s="120" t="s">
        <v>7</v>
      </c>
      <c r="I36" s="121" t="s">
        <v>63</v>
      </c>
      <c r="J36" s="121">
        <v>6292805</v>
      </c>
      <c r="K36" s="122">
        <v>7700</v>
      </c>
      <c r="L36" s="123">
        <v>45497</v>
      </c>
      <c r="M36" s="124" t="s">
        <v>35</v>
      </c>
      <c r="N36" s="125" t="s">
        <v>36</v>
      </c>
      <c r="O36" s="125">
        <v>15</v>
      </c>
      <c r="P36" s="125"/>
      <c r="Q36" s="126">
        <v>45497</v>
      </c>
      <c r="R36" s="125">
        <v>500</v>
      </c>
      <c r="S36" s="127">
        <v>7687</v>
      </c>
      <c r="T36" s="128">
        <v>187</v>
      </c>
      <c r="U36" s="129"/>
      <c r="V36" s="130">
        <f t="shared" si="0"/>
        <v>7687</v>
      </c>
      <c r="W36" s="131">
        <f t="shared" si="1"/>
        <v>0</v>
      </c>
      <c r="X36" s="132">
        <f t="shared" si="2"/>
        <v>-13</v>
      </c>
      <c r="Y36" s="201">
        <f t="shared" si="3"/>
        <v>7</v>
      </c>
      <c r="Z36" s="133">
        <f t="shared" si="4"/>
        <v>20</v>
      </c>
      <c r="AA36" s="134">
        <f t="shared" si="5"/>
        <v>-13</v>
      </c>
      <c r="AB36" s="181">
        <f t="shared" si="6"/>
        <v>7</v>
      </c>
    </row>
    <row r="37" spans="1:29" s="1" customFormat="1" ht="30.75" x14ac:dyDescent="0.2">
      <c r="A37" s="116" t="s">
        <v>28</v>
      </c>
      <c r="B37" s="117" t="s">
        <v>19</v>
      </c>
      <c r="C37" s="117" t="s">
        <v>171</v>
      </c>
      <c r="D37" s="117" t="s">
        <v>46</v>
      </c>
      <c r="E37" s="117">
        <v>6292292</v>
      </c>
      <c r="F37" s="118">
        <v>8130</v>
      </c>
      <c r="G37" s="119">
        <v>45497</v>
      </c>
      <c r="H37" s="120" t="s">
        <v>31</v>
      </c>
      <c r="I37" s="121" t="s">
        <v>27</v>
      </c>
      <c r="J37" s="121">
        <v>6292653</v>
      </c>
      <c r="K37" s="122">
        <v>8130</v>
      </c>
      <c r="L37" s="123">
        <v>45497</v>
      </c>
      <c r="M37" s="124" t="s">
        <v>44</v>
      </c>
      <c r="N37" s="125" t="s">
        <v>25</v>
      </c>
      <c r="O37" s="125"/>
      <c r="P37" s="125">
        <v>26</v>
      </c>
      <c r="Q37" s="126">
        <v>45497</v>
      </c>
      <c r="R37" s="125">
        <v>110</v>
      </c>
      <c r="S37" s="127">
        <v>8070</v>
      </c>
      <c r="T37" s="128">
        <v>30</v>
      </c>
      <c r="U37" s="129"/>
      <c r="V37" s="130">
        <f t="shared" si="0"/>
        <v>8070</v>
      </c>
      <c r="W37" s="131">
        <f t="shared" si="1"/>
        <v>0</v>
      </c>
      <c r="X37" s="132">
        <f t="shared" si="2"/>
        <v>-60</v>
      </c>
      <c r="Y37" s="201">
        <f t="shared" si="3"/>
        <v>-60</v>
      </c>
      <c r="Z37" s="133">
        <f t="shared" si="4"/>
        <v>0</v>
      </c>
      <c r="AA37" s="136">
        <f t="shared" si="5"/>
        <v>-60</v>
      </c>
      <c r="AB37" s="181">
        <f t="shared" si="6"/>
        <v>-60</v>
      </c>
    </row>
    <row r="38" spans="1:29" s="1" customFormat="1" ht="30.75" x14ac:dyDescent="0.2">
      <c r="A38" s="116" t="s">
        <v>28</v>
      </c>
      <c r="B38" s="117" t="s">
        <v>19</v>
      </c>
      <c r="C38" s="117" t="s">
        <v>172</v>
      </c>
      <c r="D38" s="117" t="s">
        <v>127</v>
      </c>
      <c r="E38" s="117">
        <v>6292017</v>
      </c>
      <c r="F38" s="118">
        <v>7780</v>
      </c>
      <c r="G38" s="119">
        <v>45497</v>
      </c>
      <c r="H38" s="120" t="s">
        <v>31</v>
      </c>
      <c r="I38" s="121" t="s">
        <v>27</v>
      </c>
      <c r="J38" s="121">
        <v>6292726</v>
      </c>
      <c r="K38" s="122">
        <v>7800</v>
      </c>
      <c r="L38" s="123">
        <v>45497</v>
      </c>
      <c r="M38" s="124" t="s">
        <v>44</v>
      </c>
      <c r="N38" s="125" t="s">
        <v>25</v>
      </c>
      <c r="O38" s="125"/>
      <c r="P38" s="125">
        <v>25</v>
      </c>
      <c r="Q38" s="126">
        <v>45497</v>
      </c>
      <c r="R38" s="125">
        <v>110</v>
      </c>
      <c r="S38" s="127">
        <v>7765</v>
      </c>
      <c r="T38" s="128">
        <v>30</v>
      </c>
      <c r="U38" s="129"/>
      <c r="V38" s="130">
        <f t="shared" si="0"/>
        <v>7765</v>
      </c>
      <c r="W38" s="131">
        <f t="shared" si="1"/>
        <v>0</v>
      </c>
      <c r="X38" s="132">
        <f t="shared" si="2"/>
        <v>-35</v>
      </c>
      <c r="Y38" s="201">
        <f t="shared" si="3"/>
        <v>-15</v>
      </c>
      <c r="Z38" s="133">
        <f t="shared" si="4"/>
        <v>20</v>
      </c>
      <c r="AA38" s="136">
        <f t="shared" si="5"/>
        <v>-35</v>
      </c>
      <c r="AB38" s="181">
        <f t="shared" si="6"/>
        <v>-15</v>
      </c>
    </row>
    <row r="39" spans="1:29" s="1" customFormat="1" ht="30.75" x14ac:dyDescent="0.2">
      <c r="A39" s="116" t="s">
        <v>5</v>
      </c>
      <c r="B39" s="117" t="s">
        <v>19</v>
      </c>
      <c r="C39" s="117" t="s">
        <v>64</v>
      </c>
      <c r="D39" s="117" t="s">
        <v>6</v>
      </c>
      <c r="E39" s="117">
        <v>6293828</v>
      </c>
      <c r="F39" s="118">
        <v>7450</v>
      </c>
      <c r="G39" s="119">
        <v>45493</v>
      </c>
      <c r="H39" s="120" t="s">
        <v>7</v>
      </c>
      <c r="I39" s="121" t="s">
        <v>27</v>
      </c>
      <c r="J39" s="121">
        <v>6293828</v>
      </c>
      <c r="K39" s="122">
        <v>7340</v>
      </c>
      <c r="L39" s="123">
        <v>45498</v>
      </c>
      <c r="M39" s="124" t="s">
        <v>39</v>
      </c>
      <c r="N39" s="125" t="s">
        <v>18</v>
      </c>
      <c r="O39" s="125">
        <v>14</v>
      </c>
      <c r="P39" s="125"/>
      <c r="Q39" s="126">
        <v>45499</v>
      </c>
      <c r="R39" s="125">
        <v>501</v>
      </c>
      <c r="S39" s="127">
        <v>7357</v>
      </c>
      <c r="T39" s="128">
        <v>357</v>
      </c>
      <c r="U39" s="129"/>
      <c r="V39" s="130">
        <f t="shared" si="0"/>
        <v>7357</v>
      </c>
      <c r="W39" s="131">
        <f t="shared" si="1"/>
        <v>0</v>
      </c>
      <c r="X39" s="135">
        <f t="shared" si="2"/>
        <v>17</v>
      </c>
      <c r="Y39" s="202">
        <f t="shared" si="3"/>
        <v>-93</v>
      </c>
      <c r="Z39" s="133">
        <f t="shared" si="4"/>
        <v>-110</v>
      </c>
      <c r="AA39" s="136">
        <f t="shared" si="5"/>
        <v>17</v>
      </c>
      <c r="AB39" s="181">
        <f t="shared" si="6"/>
        <v>-93</v>
      </c>
    </row>
    <row r="40" spans="1:29" s="1" customFormat="1" ht="30.75" x14ac:dyDescent="0.2">
      <c r="A40" s="116" t="s">
        <v>28</v>
      </c>
      <c r="B40" s="117" t="s">
        <v>24</v>
      </c>
      <c r="C40" s="117" t="s">
        <v>178</v>
      </c>
      <c r="D40" s="117" t="s">
        <v>127</v>
      </c>
      <c r="E40" s="117">
        <v>6292116</v>
      </c>
      <c r="F40" s="118">
        <v>8500</v>
      </c>
      <c r="G40" s="119">
        <v>45497</v>
      </c>
      <c r="H40" s="120" t="s">
        <v>31</v>
      </c>
      <c r="I40" s="121" t="s">
        <v>121</v>
      </c>
      <c r="J40" s="121" t="s">
        <v>296</v>
      </c>
      <c r="K40" s="122">
        <v>8540</v>
      </c>
      <c r="L40" s="123">
        <v>45498</v>
      </c>
      <c r="M40" s="124" t="s">
        <v>17</v>
      </c>
      <c r="N40" s="125" t="s">
        <v>79</v>
      </c>
      <c r="O40" s="125"/>
      <c r="P40" s="125">
        <v>28</v>
      </c>
      <c r="Q40" s="126">
        <v>45498</v>
      </c>
      <c r="R40" s="125">
        <v>310</v>
      </c>
      <c r="S40" s="127">
        <v>8541</v>
      </c>
      <c r="T40" s="128">
        <v>1</v>
      </c>
      <c r="U40" s="129"/>
      <c r="V40" s="130">
        <f t="shared" si="0"/>
        <v>8541</v>
      </c>
      <c r="W40" s="131">
        <f t="shared" si="1"/>
        <v>0</v>
      </c>
      <c r="X40" s="135">
        <f t="shared" si="2"/>
        <v>1</v>
      </c>
      <c r="Y40" s="202">
        <f t="shared" si="3"/>
        <v>41</v>
      </c>
      <c r="Z40" s="133">
        <f t="shared" si="4"/>
        <v>40</v>
      </c>
      <c r="AA40" s="134">
        <f t="shared" si="5"/>
        <v>1</v>
      </c>
      <c r="AB40" s="181">
        <f t="shared" si="6"/>
        <v>41</v>
      </c>
    </row>
    <row r="41" spans="1:29" s="1" customFormat="1" ht="30.75" x14ac:dyDescent="0.2">
      <c r="A41" s="116" t="s">
        <v>5</v>
      </c>
      <c r="B41" s="117" t="s">
        <v>21</v>
      </c>
      <c r="C41" s="117" t="s">
        <v>214</v>
      </c>
      <c r="D41" s="117" t="s">
        <v>62</v>
      </c>
      <c r="E41" s="117">
        <v>6298199</v>
      </c>
      <c r="F41" s="118">
        <v>7780</v>
      </c>
      <c r="G41" s="119">
        <v>45503</v>
      </c>
      <c r="H41" s="120" t="s">
        <v>7</v>
      </c>
      <c r="I41" s="121" t="s">
        <v>63</v>
      </c>
      <c r="J41" s="121">
        <v>6298858</v>
      </c>
      <c r="K41" s="122">
        <v>7772</v>
      </c>
      <c r="L41" s="123">
        <v>45503</v>
      </c>
      <c r="M41" s="124" t="s">
        <v>39</v>
      </c>
      <c r="N41" s="125" t="s">
        <v>18</v>
      </c>
      <c r="O41" s="125">
        <v>15</v>
      </c>
      <c r="P41" s="125"/>
      <c r="Q41" s="126">
        <v>45503</v>
      </c>
      <c r="R41" s="125">
        <v>55</v>
      </c>
      <c r="S41" s="127">
        <v>7783</v>
      </c>
      <c r="T41" s="128">
        <v>228</v>
      </c>
      <c r="U41" s="129"/>
      <c r="V41" s="130">
        <f t="shared" si="0"/>
        <v>7783</v>
      </c>
      <c r="W41" s="131">
        <f t="shared" si="1"/>
        <v>0</v>
      </c>
      <c r="X41" s="132">
        <f t="shared" si="2"/>
        <v>11</v>
      </c>
      <c r="Y41" s="201">
        <f t="shared" si="3"/>
        <v>3</v>
      </c>
      <c r="Z41" s="133">
        <f t="shared" si="4"/>
        <v>-8</v>
      </c>
      <c r="AA41" s="134">
        <f t="shared" si="5"/>
        <v>11</v>
      </c>
      <c r="AB41" s="181">
        <f t="shared" si="6"/>
        <v>3</v>
      </c>
    </row>
    <row r="42" spans="1:29" s="1" customFormat="1" ht="30.75" x14ac:dyDescent="0.2">
      <c r="A42" s="116" t="s">
        <v>5</v>
      </c>
      <c r="B42" s="117" t="s">
        <v>20</v>
      </c>
      <c r="C42" s="117" t="s">
        <v>237</v>
      </c>
      <c r="D42" s="117" t="s">
        <v>231</v>
      </c>
      <c r="E42" s="117">
        <v>6306899</v>
      </c>
      <c r="F42" s="118">
        <v>7700</v>
      </c>
      <c r="G42" s="119">
        <v>45509</v>
      </c>
      <c r="H42" s="120" t="s">
        <v>7</v>
      </c>
      <c r="I42" s="121" t="s">
        <v>101</v>
      </c>
      <c r="J42" s="121">
        <v>6307234</v>
      </c>
      <c r="K42" s="122">
        <v>7700</v>
      </c>
      <c r="L42" s="123">
        <v>45509</v>
      </c>
      <c r="M42" s="124" t="s">
        <v>39</v>
      </c>
      <c r="N42" s="125" t="s">
        <v>238</v>
      </c>
      <c r="O42" s="125">
        <v>15</v>
      </c>
      <c r="P42" s="125"/>
      <c r="Q42" s="126">
        <v>45509</v>
      </c>
      <c r="R42" s="125">
        <v>500</v>
      </c>
      <c r="S42" s="127">
        <v>7716</v>
      </c>
      <c r="T42" s="128">
        <v>216</v>
      </c>
      <c r="U42" s="129"/>
      <c r="V42" s="130">
        <f t="shared" si="0"/>
        <v>7716</v>
      </c>
      <c r="W42" s="131">
        <f t="shared" si="1"/>
        <v>0</v>
      </c>
      <c r="X42" s="132">
        <f t="shared" si="2"/>
        <v>16</v>
      </c>
      <c r="Y42" s="201">
        <f t="shared" si="3"/>
        <v>16</v>
      </c>
      <c r="Z42" s="133">
        <f t="shared" si="4"/>
        <v>0</v>
      </c>
      <c r="AA42" s="136">
        <f t="shared" si="5"/>
        <v>16</v>
      </c>
      <c r="AB42" s="181">
        <f t="shared" si="6"/>
        <v>16</v>
      </c>
    </row>
    <row r="43" spans="1:29" s="1" customFormat="1" ht="30.75" x14ac:dyDescent="0.2">
      <c r="A43" s="116" t="s">
        <v>5</v>
      </c>
      <c r="B43" s="117" t="s">
        <v>20</v>
      </c>
      <c r="C43" s="117" t="s">
        <v>239</v>
      </c>
      <c r="D43" s="117" t="s">
        <v>218</v>
      </c>
      <c r="E43" s="117">
        <v>6308470</v>
      </c>
      <c r="F43" s="118">
        <v>7660</v>
      </c>
      <c r="G43" s="119">
        <v>45510</v>
      </c>
      <c r="H43" s="120" t="s">
        <v>7</v>
      </c>
      <c r="I43" s="121" t="s">
        <v>16</v>
      </c>
      <c r="J43" s="121">
        <v>6308681</v>
      </c>
      <c r="K43" s="122">
        <v>7680</v>
      </c>
      <c r="L43" s="123">
        <v>45510</v>
      </c>
      <c r="M43" s="124" t="s">
        <v>39</v>
      </c>
      <c r="N43" s="125" t="s">
        <v>51</v>
      </c>
      <c r="O43" s="125">
        <v>15</v>
      </c>
      <c r="P43" s="125"/>
      <c r="Q43" s="126">
        <v>45510</v>
      </c>
      <c r="R43" s="125">
        <v>500</v>
      </c>
      <c r="S43" s="127">
        <v>7680</v>
      </c>
      <c r="T43" s="128">
        <v>180</v>
      </c>
      <c r="U43" s="129"/>
      <c r="V43" s="130">
        <f t="shared" si="0"/>
        <v>7680</v>
      </c>
      <c r="W43" s="131">
        <f t="shared" si="1"/>
        <v>0</v>
      </c>
      <c r="X43" s="135">
        <f t="shared" si="2"/>
        <v>0</v>
      </c>
      <c r="Y43" s="202">
        <f t="shared" si="3"/>
        <v>20</v>
      </c>
      <c r="Z43" s="133">
        <f t="shared" si="4"/>
        <v>20</v>
      </c>
      <c r="AA43" s="134">
        <f t="shared" si="5"/>
        <v>0</v>
      </c>
      <c r="AB43" s="181">
        <f t="shared" si="6"/>
        <v>20</v>
      </c>
    </row>
    <row r="44" spans="1:29" s="1" customFormat="1" ht="30.75" x14ac:dyDescent="0.2">
      <c r="A44" s="116" t="s">
        <v>5</v>
      </c>
      <c r="B44" s="117" t="s">
        <v>21</v>
      </c>
      <c r="C44" s="117" t="s">
        <v>248</v>
      </c>
      <c r="D44" s="117" t="s">
        <v>62</v>
      </c>
      <c r="E44" s="117">
        <v>6310764</v>
      </c>
      <c r="F44" s="118">
        <v>7660</v>
      </c>
      <c r="G44" s="119">
        <v>45512</v>
      </c>
      <c r="H44" s="120" t="s">
        <v>31</v>
      </c>
      <c r="I44" s="121" t="s">
        <v>27</v>
      </c>
      <c r="J44" s="121">
        <v>6310934</v>
      </c>
      <c r="K44" s="122">
        <v>7560</v>
      </c>
      <c r="L44" s="123">
        <v>45512</v>
      </c>
      <c r="M44" s="124" t="s">
        <v>44</v>
      </c>
      <c r="N44" s="125" t="s">
        <v>115</v>
      </c>
      <c r="O44" s="125">
        <v>14</v>
      </c>
      <c r="P44" s="125"/>
      <c r="Q44" s="126">
        <v>45512</v>
      </c>
      <c r="R44" s="125">
        <v>110</v>
      </c>
      <c r="S44" s="127">
        <v>7560</v>
      </c>
      <c r="T44" s="128">
        <v>450</v>
      </c>
      <c r="U44" s="129"/>
      <c r="V44" s="130">
        <f t="shared" si="0"/>
        <v>7560</v>
      </c>
      <c r="W44" s="131">
        <f t="shared" si="1"/>
        <v>0</v>
      </c>
      <c r="X44" s="135">
        <f t="shared" si="2"/>
        <v>0</v>
      </c>
      <c r="Y44" s="205">
        <f t="shared" si="3"/>
        <v>-100</v>
      </c>
      <c r="Z44" s="133">
        <f t="shared" si="4"/>
        <v>-100</v>
      </c>
      <c r="AA44" s="134">
        <f t="shared" si="5"/>
        <v>0</v>
      </c>
      <c r="AB44" s="136">
        <f t="shared" si="6"/>
        <v>-100</v>
      </c>
    </row>
    <row r="45" spans="1:29" s="1" customFormat="1" ht="30.75" x14ac:dyDescent="0.2">
      <c r="A45" s="116" t="s">
        <v>28</v>
      </c>
      <c r="B45" s="117" t="s">
        <v>19</v>
      </c>
      <c r="C45" s="117" t="s">
        <v>250</v>
      </c>
      <c r="D45" s="117" t="s">
        <v>15</v>
      </c>
      <c r="E45" s="117">
        <v>6310571</v>
      </c>
      <c r="F45" s="118">
        <v>8135</v>
      </c>
      <c r="G45" s="119">
        <v>45511</v>
      </c>
      <c r="H45" s="120" t="s">
        <v>7</v>
      </c>
      <c r="I45" s="121" t="s">
        <v>40</v>
      </c>
      <c r="J45" s="121">
        <v>6311070</v>
      </c>
      <c r="K45" s="122">
        <v>8150</v>
      </c>
      <c r="L45" s="123">
        <v>45512</v>
      </c>
      <c r="M45" s="124" t="s">
        <v>35</v>
      </c>
      <c r="N45" s="125" t="s">
        <v>74</v>
      </c>
      <c r="O45" s="125">
        <v>16</v>
      </c>
      <c r="P45" s="125"/>
      <c r="Q45" s="126">
        <v>45512</v>
      </c>
      <c r="R45" s="125">
        <v>110</v>
      </c>
      <c r="S45" s="127">
        <v>8110</v>
      </c>
      <c r="T45" s="128">
        <v>0</v>
      </c>
      <c r="U45" s="129"/>
      <c r="V45" s="130">
        <f t="shared" si="0"/>
        <v>8110</v>
      </c>
      <c r="W45" s="131">
        <f t="shared" si="1"/>
        <v>0</v>
      </c>
      <c r="X45" s="132">
        <f t="shared" si="2"/>
        <v>-40</v>
      </c>
      <c r="Y45" s="206">
        <f t="shared" si="3"/>
        <v>-25</v>
      </c>
      <c r="Z45" s="133">
        <f t="shared" si="4"/>
        <v>15</v>
      </c>
      <c r="AA45" s="136">
        <f t="shared" si="5"/>
        <v>-40</v>
      </c>
      <c r="AB45" s="136">
        <f t="shared" si="6"/>
        <v>-25</v>
      </c>
    </row>
    <row r="46" spans="1:29" s="1" customFormat="1" ht="30.75" x14ac:dyDescent="0.2">
      <c r="A46" s="116" t="s">
        <v>28</v>
      </c>
      <c r="B46" s="117" t="s">
        <v>19</v>
      </c>
      <c r="C46" s="117" t="s">
        <v>255</v>
      </c>
      <c r="D46" s="117" t="s">
        <v>218</v>
      </c>
      <c r="E46" s="117">
        <v>6309910</v>
      </c>
      <c r="F46" s="118">
        <v>8140</v>
      </c>
      <c r="G46" s="119">
        <v>45511</v>
      </c>
      <c r="H46" s="120" t="s">
        <v>7</v>
      </c>
      <c r="I46" s="121" t="s">
        <v>8</v>
      </c>
      <c r="J46" s="121">
        <v>6310613</v>
      </c>
      <c r="K46" s="122">
        <v>8150</v>
      </c>
      <c r="L46" s="123">
        <v>45511</v>
      </c>
      <c r="M46" s="124" t="s">
        <v>35</v>
      </c>
      <c r="N46" s="125" t="s">
        <v>36</v>
      </c>
      <c r="O46" s="125">
        <v>16</v>
      </c>
      <c r="P46" s="125"/>
      <c r="Q46" s="126">
        <v>45512</v>
      </c>
      <c r="R46" s="125">
        <v>110</v>
      </c>
      <c r="S46" s="127">
        <v>8150</v>
      </c>
      <c r="T46" s="128">
        <v>40</v>
      </c>
      <c r="U46" s="129"/>
      <c r="V46" s="130">
        <f t="shared" si="0"/>
        <v>8150</v>
      </c>
      <c r="W46" s="131">
        <f t="shared" si="1"/>
        <v>0</v>
      </c>
      <c r="X46" s="135">
        <f t="shared" si="2"/>
        <v>0</v>
      </c>
      <c r="Y46" s="205">
        <f t="shared" si="3"/>
        <v>10</v>
      </c>
      <c r="Z46" s="133">
        <f t="shared" si="4"/>
        <v>10</v>
      </c>
      <c r="AA46" s="134">
        <f t="shared" si="5"/>
        <v>0</v>
      </c>
      <c r="AB46" s="136">
        <f t="shared" si="6"/>
        <v>10</v>
      </c>
      <c r="AC46" s="209"/>
    </row>
    <row r="47" spans="1:29" s="1" customFormat="1" ht="30.75" x14ac:dyDescent="0.2">
      <c r="A47" s="116" t="s">
        <v>28</v>
      </c>
      <c r="B47" s="117" t="s">
        <v>19</v>
      </c>
      <c r="C47" s="117" t="s">
        <v>267</v>
      </c>
      <c r="D47" s="117" t="s">
        <v>62</v>
      </c>
      <c r="E47" s="117">
        <v>6310870</v>
      </c>
      <c r="F47" s="118">
        <v>7700</v>
      </c>
      <c r="G47" s="119">
        <v>45512</v>
      </c>
      <c r="H47" s="120" t="s">
        <v>7</v>
      </c>
      <c r="I47" s="121" t="s">
        <v>27</v>
      </c>
      <c r="J47" s="121">
        <v>6312771</v>
      </c>
      <c r="K47" s="122">
        <v>7760</v>
      </c>
      <c r="L47" s="123">
        <v>45513</v>
      </c>
      <c r="M47" s="124" t="s">
        <v>35</v>
      </c>
      <c r="N47" s="125" t="s">
        <v>74</v>
      </c>
      <c r="O47" s="125">
        <v>15</v>
      </c>
      <c r="P47" s="125"/>
      <c r="Q47" s="126">
        <v>45513</v>
      </c>
      <c r="R47" s="125">
        <v>500</v>
      </c>
      <c r="S47" s="127">
        <v>7700</v>
      </c>
      <c r="T47" s="128">
        <v>200</v>
      </c>
      <c r="U47" s="129"/>
      <c r="V47" s="130">
        <f t="shared" si="0"/>
        <v>7700</v>
      </c>
      <c r="W47" s="131">
        <f t="shared" si="1"/>
        <v>0</v>
      </c>
      <c r="X47" s="132">
        <f t="shared" si="2"/>
        <v>-60</v>
      </c>
      <c r="Y47" s="206">
        <f t="shared" si="3"/>
        <v>0</v>
      </c>
      <c r="Z47" s="133">
        <f t="shared" si="4"/>
        <v>60</v>
      </c>
      <c r="AA47" s="136">
        <f t="shared" si="5"/>
        <v>-60</v>
      </c>
      <c r="AB47" s="136">
        <f t="shared" si="6"/>
        <v>0</v>
      </c>
      <c r="AC47" s="209"/>
    </row>
    <row r="48" spans="1:29" s="1" customFormat="1" ht="30.75" x14ac:dyDescent="0.2">
      <c r="A48" s="116" t="s">
        <v>5</v>
      </c>
      <c r="B48" s="117" t="s">
        <v>20</v>
      </c>
      <c r="C48" s="117" t="s">
        <v>275</v>
      </c>
      <c r="D48" s="117" t="s">
        <v>15</v>
      </c>
      <c r="E48" s="117">
        <v>6314059</v>
      </c>
      <c r="F48" s="118">
        <v>7660</v>
      </c>
      <c r="G48" s="119">
        <v>45513</v>
      </c>
      <c r="H48" s="120" t="s">
        <v>48</v>
      </c>
      <c r="I48" s="121" t="s">
        <v>32</v>
      </c>
      <c r="J48" s="121">
        <v>6315902</v>
      </c>
      <c r="K48" s="122">
        <v>7670</v>
      </c>
      <c r="L48" s="123">
        <v>45516</v>
      </c>
      <c r="M48" s="124" t="s">
        <v>39</v>
      </c>
      <c r="N48" s="125" t="s">
        <v>18</v>
      </c>
      <c r="O48" s="125">
        <v>15</v>
      </c>
      <c r="P48" s="125"/>
      <c r="Q48" s="126">
        <v>45516</v>
      </c>
      <c r="R48" s="125">
        <v>55</v>
      </c>
      <c r="S48" s="127">
        <v>7685</v>
      </c>
      <c r="T48" s="128">
        <v>130</v>
      </c>
      <c r="U48" s="129"/>
      <c r="V48" s="130">
        <f t="shared" si="0"/>
        <v>7685</v>
      </c>
      <c r="W48" s="131">
        <f t="shared" si="1"/>
        <v>0</v>
      </c>
      <c r="X48" s="135">
        <f t="shared" si="2"/>
        <v>15</v>
      </c>
      <c r="Y48" s="205">
        <f t="shared" si="3"/>
        <v>25</v>
      </c>
      <c r="Z48" s="133">
        <f t="shared" si="4"/>
        <v>10</v>
      </c>
      <c r="AA48" s="134">
        <f t="shared" si="5"/>
        <v>15</v>
      </c>
      <c r="AB48" s="136">
        <f t="shared" si="6"/>
        <v>25</v>
      </c>
      <c r="AC48" s="209"/>
    </row>
    <row r="49" spans="1:35" s="1" customFormat="1" ht="30.75" x14ac:dyDescent="0.2">
      <c r="A49" s="116" t="s">
        <v>135</v>
      </c>
      <c r="B49" s="117" t="s">
        <v>20</v>
      </c>
      <c r="C49" s="117" t="s">
        <v>276</v>
      </c>
      <c r="D49" s="117" t="s">
        <v>62</v>
      </c>
      <c r="E49" s="117">
        <v>6312581</v>
      </c>
      <c r="F49" s="118">
        <v>7660</v>
      </c>
      <c r="G49" s="119">
        <v>45513</v>
      </c>
      <c r="H49" s="120" t="s">
        <v>48</v>
      </c>
      <c r="I49" s="121" t="s">
        <v>32</v>
      </c>
      <c r="J49" s="121">
        <v>6314524</v>
      </c>
      <c r="K49" s="122">
        <v>7700</v>
      </c>
      <c r="L49" s="123">
        <v>45514</v>
      </c>
      <c r="M49" s="124" t="s">
        <v>39</v>
      </c>
      <c r="N49" s="125" t="s">
        <v>18</v>
      </c>
      <c r="O49" s="125">
        <v>15</v>
      </c>
      <c r="P49" s="125"/>
      <c r="Q49" s="126">
        <v>45514</v>
      </c>
      <c r="R49" s="125">
        <v>500</v>
      </c>
      <c r="S49" s="127">
        <v>7680</v>
      </c>
      <c r="T49" s="128">
        <v>180</v>
      </c>
      <c r="U49" s="129"/>
      <c r="V49" s="130">
        <f t="shared" si="0"/>
        <v>7680</v>
      </c>
      <c r="W49" s="131">
        <f t="shared" si="1"/>
        <v>0</v>
      </c>
      <c r="X49" s="132">
        <f t="shared" si="2"/>
        <v>-20</v>
      </c>
      <c r="Y49" s="206">
        <f t="shared" si="3"/>
        <v>20</v>
      </c>
      <c r="Z49" s="133">
        <f t="shared" si="4"/>
        <v>40</v>
      </c>
      <c r="AA49" s="136">
        <f t="shared" si="5"/>
        <v>-20</v>
      </c>
      <c r="AB49" s="136">
        <f t="shared" si="6"/>
        <v>20</v>
      </c>
      <c r="AC49" s="209"/>
    </row>
    <row r="50" spans="1:35" s="1" customFormat="1" ht="30.75" x14ac:dyDescent="0.2">
      <c r="A50" s="116" t="s">
        <v>135</v>
      </c>
      <c r="B50" s="117" t="s">
        <v>20</v>
      </c>
      <c r="C50" s="117" t="s">
        <v>277</v>
      </c>
      <c r="D50" s="117" t="s">
        <v>62</v>
      </c>
      <c r="E50" s="117">
        <v>6312503</v>
      </c>
      <c r="F50" s="118">
        <v>7660</v>
      </c>
      <c r="G50" s="119">
        <v>45513</v>
      </c>
      <c r="H50" s="120" t="s">
        <v>48</v>
      </c>
      <c r="I50" s="121" t="s">
        <v>63</v>
      </c>
      <c r="J50" s="121">
        <v>6314188</v>
      </c>
      <c r="K50" s="122">
        <v>7716</v>
      </c>
      <c r="L50" s="123">
        <v>45514</v>
      </c>
      <c r="M50" s="124" t="s">
        <v>39</v>
      </c>
      <c r="N50" s="125" t="s">
        <v>238</v>
      </c>
      <c r="O50" s="125">
        <v>15</v>
      </c>
      <c r="P50" s="125"/>
      <c r="Q50" s="126">
        <v>45514</v>
      </c>
      <c r="R50" s="125">
        <v>110</v>
      </c>
      <c r="S50" s="127">
        <v>7665</v>
      </c>
      <c r="T50" s="128">
        <v>55</v>
      </c>
      <c r="U50" s="129"/>
      <c r="V50" s="130">
        <f t="shared" si="0"/>
        <v>7665</v>
      </c>
      <c r="W50" s="131">
        <f t="shared" si="1"/>
        <v>0</v>
      </c>
      <c r="X50" s="132">
        <f t="shared" si="2"/>
        <v>-51</v>
      </c>
      <c r="Y50" s="206">
        <f t="shared" si="3"/>
        <v>5</v>
      </c>
      <c r="Z50" s="133">
        <f t="shared" si="4"/>
        <v>56</v>
      </c>
      <c r="AA50" s="136">
        <f t="shared" si="5"/>
        <v>-51</v>
      </c>
      <c r="AB50" s="136">
        <f t="shared" si="6"/>
        <v>5</v>
      </c>
      <c r="AC50" s="209"/>
    </row>
    <row r="51" spans="1:35" s="1" customFormat="1" ht="30.75" x14ac:dyDescent="0.2">
      <c r="A51" s="116" t="s">
        <v>135</v>
      </c>
      <c r="B51" s="117" t="s">
        <v>20</v>
      </c>
      <c r="C51" s="117" t="s">
        <v>278</v>
      </c>
      <c r="D51" s="117" t="s">
        <v>15</v>
      </c>
      <c r="E51" s="117">
        <v>6313854</v>
      </c>
      <c r="F51" s="118">
        <v>7680</v>
      </c>
      <c r="G51" s="119">
        <v>45513</v>
      </c>
      <c r="H51" s="120" t="s">
        <v>48</v>
      </c>
      <c r="I51" s="121" t="s">
        <v>63</v>
      </c>
      <c r="J51" s="121">
        <v>6314416</v>
      </c>
      <c r="K51" s="122">
        <v>7714</v>
      </c>
      <c r="L51" s="123">
        <v>45514</v>
      </c>
      <c r="M51" s="124" t="s">
        <v>39</v>
      </c>
      <c r="N51" s="125" t="s">
        <v>18</v>
      </c>
      <c r="O51" s="125">
        <v>15</v>
      </c>
      <c r="P51" s="125"/>
      <c r="Q51" s="126">
        <v>45514</v>
      </c>
      <c r="R51" s="125">
        <v>110</v>
      </c>
      <c r="S51" s="127">
        <v>7686</v>
      </c>
      <c r="T51" s="128">
        <v>76</v>
      </c>
      <c r="U51" s="129"/>
      <c r="V51" s="130">
        <f t="shared" si="0"/>
        <v>7686</v>
      </c>
      <c r="W51" s="131">
        <f t="shared" si="1"/>
        <v>0</v>
      </c>
      <c r="X51" s="132">
        <f t="shared" si="2"/>
        <v>-28</v>
      </c>
      <c r="Y51" s="206">
        <f t="shared" si="3"/>
        <v>6</v>
      </c>
      <c r="Z51" s="133">
        <f t="shared" si="4"/>
        <v>34</v>
      </c>
      <c r="AA51" s="136">
        <f t="shared" si="5"/>
        <v>-28</v>
      </c>
      <c r="AB51" s="136">
        <f t="shared" si="6"/>
        <v>6</v>
      </c>
      <c r="AC51" s="209"/>
    </row>
    <row r="52" spans="1:35" s="1" customFormat="1" ht="30.75" x14ac:dyDescent="0.2">
      <c r="A52" s="116" t="s">
        <v>135</v>
      </c>
      <c r="B52" s="117" t="s">
        <v>20</v>
      </c>
      <c r="C52" s="117" t="s">
        <v>279</v>
      </c>
      <c r="D52" s="117" t="s">
        <v>15</v>
      </c>
      <c r="E52" s="117">
        <v>6312088</v>
      </c>
      <c r="F52" s="118">
        <v>7660</v>
      </c>
      <c r="G52" s="119">
        <v>45512</v>
      </c>
      <c r="H52" s="120" t="s">
        <v>48</v>
      </c>
      <c r="I52" s="121" t="s">
        <v>63</v>
      </c>
      <c r="J52" s="121">
        <v>6314333</v>
      </c>
      <c r="K52" s="122">
        <v>7686</v>
      </c>
      <c r="L52" s="123">
        <v>45514</v>
      </c>
      <c r="M52" s="124" t="s">
        <v>39</v>
      </c>
      <c r="N52" s="125" t="s">
        <v>18</v>
      </c>
      <c r="O52" s="125">
        <v>15</v>
      </c>
      <c r="P52" s="125"/>
      <c r="Q52" s="126">
        <v>45514</v>
      </c>
      <c r="R52" s="125">
        <v>110</v>
      </c>
      <c r="S52" s="127">
        <v>7666</v>
      </c>
      <c r="T52" s="128">
        <v>56</v>
      </c>
      <c r="U52" s="129"/>
      <c r="V52" s="130">
        <f t="shared" si="0"/>
        <v>7666</v>
      </c>
      <c r="W52" s="131">
        <f t="shared" si="1"/>
        <v>0</v>
      </c>
      <c r="X52" s="132">
        <f t="shared" si="2"/>
        <v>-20</v>
      </c>
      <c r="Y52" s="206">
        <f t="shared" si="3"/>
        <v>6</v>
      </c>
      <c r="Z52" s="133">
        <f t="shared" si="4"/>
        <v>26</v>
      </c>
      <c r="AA52" s="136">
        <f t="shared" si="5"/>
        <v>-20</v>
      </c>
      <c r="AB52" s="136">
        <f t="shared" si="6"/>
        <v>6</v>
      </c>
      <c r="AC52" s="209"/>
    </row>
    <row r="53" spans="1:35" ht="26.25" x14ac:dyDescent="0.2">
      <c r="A53" s="301" t="s">
        <v>149</v>
      </c>
      <c r="B53" s="301"/>
      <c r="C53" s="301"/>
      <c r="D53" s="301"/>
      <c r="E53" s="301"/>
      <c r="F53" s="301"/>
      <c r="G53" s="301"/>
      <c r="H53" s="301"/>
      <c r="I53" s="301"/>
      <c r="J53" s="301"/>
      <c r="K53" s="301"/>
      <c r="L53" s="301"/>
      <c r="M53" s="301"/>
      <c r="N53" s="301"/>
      <c r="O53" s="301"/>
      <c r="P53" s="301"/>
      <c r="Q53" s="301"/>
      <c r="R53" s="301"/>
      <c r="S53" s="301"/>
      <c r="T53" s="301"/>
      <c r="U53" s="301"/>
      <c r="V53" s="301"/>
      <c r="W53" s="301"/>
      <c r="X53" s="301"/>
      <c r="Y53" s="301"/>
      <c r="Z53" s="301"/>
      <c r="AA53" s="301"/>
      <c r="AB53" s="301"/>
    </row>
    <row r="57" spans="1:35" ht="15.75" customHeight="1" x14ac:dyDescent="0.2">
      <c r="A57" s="302"/>
      <c r="B57" s="302"/>
      <c r="C57" s="302"/>
      <c r="D57" s="302"/>
      <c r="E57" s="302"/>
      <c r="F57" s="302"/>
      <c r="G57" s="302"/>
      <c r="H57" s="302"/>
      <c r="I57" s="302"/>
      <c r="J57" s="302"/>
      <c r="K57" s="302"/>
      <c r="L57" s="302"/>
      <c r="M57" s="302"/>
      <c r="N57" s="302"/>
      <c r="O57" s="302"/>
      <c r="P57" s="302"/>
      <c r="Q57" s="302"/>
      <c r="R57" s="302"/>
      <c r="S57" s="302"/>
      <c r="T57" s="302"/>
      <c r="U57" s="62"/>
      <c r="V57" s="302"/>
      <c r="W57" s="302"/>
      <c r="X57" s="302"/>
      <c r="Y57" s="302"/>
      <c r="Z57" s="302"/>
      <c r="AA57" s="302"/>
      <c r="AB57" s="302"/>
    </row>
    <row r="58" spans="1:35" ht="58.5" x14ac:dyDescent="0.2">
      <c r="A58" s="98" t="s">
        <v>148</v>
      </c>
      <c r="B58" s="99" t="s">
        <v>147</v>
      </c>
      <c r="C58" s="99" t="s">
        <v>146</v>
      </c>
      <c r="D58" s="99" t="s">
        <v>143</v>
      </c>
      <c r="E58" s="99" t="s">
        <v>144</v>
      </c>
      <c r="F58" s="99" t="s">
        <v>145</v>
      </c>
      <c r="G58" s="100" t="s">
        <v>3</v>
      </c>
      <c r="H58" s="113" t="s">
        <v>9</v>
      </c>
      <c r="I58" s="101" t="s">
        <v>10</v>
      </c>
      <c r="J58" s="101" t="s">
        <v>1</v>
      </c>
      <c r="K58" s="101" t="s">
        <v>2</v>
      </c>
      <c r="L58" s="102" t="s">
        <v>139</v>
      </c>
      <c r="M58" s="103" t="s">
        <v>140</v>
      </c>
      <c r="N58" s="104" t="s">
        <v>141</v>
      </c>
      <c r="O58" s="105" t="s">
        <v>11</v>
      </c>
      <c r="P58" s="105" t="s">
        <v>12</v>
      </c>
      <c r="Q58" s="104" t="s">
        <v>142</v>
      </c>
      <c r="R58" s="105" t="s">
        <v>100</v>
      </c>
      <c r="S58" s="105" t="s">
        <v>95</v>
      </c>
      <c r="T58" s="106" t="s">
        <v>13</v>
      </c>
      <c r="U58" s="114" t="s">
        <v>138</v>
      </c>
      <c r="V58" s="107" t="s">
        <v>60</v>
      </c>
      <c r="W58" s="108" t="s">
        <v>91</v>
      </c>
      <c r="X58" s="109" t="s">
        <v>92</v>
      </c>
      <c r="Y58" s="110" t="s">
        <v>93</v>
      </c>
      <c r="Z58" s="111" t="s">
        <v>94</v>
      </c>
      <c r="AA58" s="112" t="s">
        <v>117</v>
      </c>
      <c r="AB58" s="115" t="s">
        <v>118</v>
      </c>
    </row>
    <row r="59" spans="1:35" s="1" customFormat="1" ht="30.75" x14ac:dyDescent="0.2">
      <c r="A59" s="116" t="s">
        <v>5</v>
      </c>
      <c r="B59" s="117" t="s">
        <v>21</v>
      </c>
      <c r="C59" s="117" t="s">
        <v>37</v>
      </c>
      <c r="D59" s="117" t="s">
        <v>30</v>
      </c>
      <c r="E59" s="117">
        <v>6282759</v>
      </c>
      <c r="F59" s="118">
        <v>7780</v>
      </c>
      <c r="G59" s="119">
        <v>45485</v>
      </c>
      <c r="H59" s="120" t="s">
        <v>7</v>
      </c>
      <c r="I59" s="121" t="s">
        <v>16</v>
      </c>
      <c r="J59" s="121">
        <v>6283982</v>
      </c>
      <c r="K59" s="122">
        <v>7650</v>
      </c>
      <c r="L59" s="123">
        <v>45486</v>
      </c>
      <c r="M59" s="124"/>
      <c r="N59" s="125"/>
      <c r="O59" s="125"/>
      <c r="P59" s="125">
        <v>24</v>
      </c>
      <c r="Q59" s="126">
        <v>45486</v>
      </c>
      <c r="R59" s="125">
        <v>55</v>
      </c>
      <c r="S59" s="127">
        <v>7650</v>
      </c>
      <c r="T59" s="128">
        <v>275</v>
      </c>
      <c r="U59" s="129"/>
      <c r="V59" s="130">
        <f t="shared" ref="V59:V73" si="7">IF(RIGHT(C59, 1)="1",
    IF(O59&lt;&gt;"", 500*O59 + T59 + IF(R59&lt;=110, R59, 0), IF(P59&lt;&gt;"", 305*P59 + T59 + IF(R59&lt;=110, R59, 0), "")),
    IF(O59&lt;&gt;"", 500*O59 + T59, IF(P59&lt;&gt;"", 305*P59 + T59, ""))
)</f>
        <v>7650</v>
      </c>
      <c r="W59" s="131">
        <f t="shared" ref="W59:W73" si="8">IF(OR(ISBLANK(V59), ISBLANK(S59), NOT(ISNUMBER(V59)), NOT(ISNUMBER(S59))), "", V59-S59)</f>
        <v>0</v>
      </c>
      <c r="X59" s="135">
        <f t="shared" ref="X59:X73" si="9">IF(OR(ISBLANK(V59), ISBLANK(K59), NOT(ISNUMBER(V59)), NOT(ISNUMBER(K59))), "", V59-K59)</f>
        <v>0</v>
      </c>
      <c r="Y59" s="202">
        <f t="shared" ref="Y59:Y73" si="10">IF(OR(ISBLANK(V59), ISBLANK(F59), NOT(ISNUMBER(V59)), NOT(ISNUMBER(F59))), "", V59-F59)</f>
        <v>-130</v>
      </c>
      <c r="Z59" s="133">
        <f t="shared" ref="Z59:Z73" si="11">IF(OR(ISBLANK(F59), ISBLANK(K59)), "",K59-F59)</f>
        <v>-130</v>
      </c>
      <c r="AA59" s="134">
        <f t="shared" ref="AA59:AA73" si="12">IF(OR(ISBLANK(K59), ISBLANK(S59)), "",S59-K59)</f>
        <v>0</v>
      </c>
      <c r="AB59" s="181">
        <f t="shared" ref="AB59:AB73" si="13">IF(OR(ISBLANK(F59), ISBLANK(S59)), "",S59-F59)</f>
        <v>-130</v>
      </c>
      <c r="AC59" s="50"/>
      <c r="AD59" s="50"/>
      <c r="AE59" s="50"/>
      <c r="AF59" s="50"/>
      <c r="AG59" s="50"/>
      <c r="AH59" s="50"/>
      <c r="AI59" s="50"/>
    </row>
    <row r="60" spans="1:35" s="1" customFormat="1" ht="30.75" x14ac:dyDescent="0.2">
      <c r="A60" s="116" t="s">
        <v>5</v>
      </c>
      <c r="B60" s="117" t="s">
        <v>20</v>
      </c>
      <c r="C60" s="117" t="s">
        <v>239</v>
      </c>
      <c r="D60" s="117" t="s">
        <v>218</v>
      </c>
      <c r="E60" s="117">
        <v>6308470</v>
      </c>
      <c r="F60" s="118">
        <v>7660</v>
      </c>
      <c r="G60" s="119">
        <v>45510</v>
      </c>
      <c r="H60" s="120" t="s">
        <v>7</v>
      </c>
      <c r="I60" s="121" t="s">
        <v>16</v>
      </c>
      <c r="J60" s="121">
        <v>6308681</v>
      </c>
      <c r="K60" s="122">
        <v>7680</v>
      </c>
      <c r="L60" s="123">
        <v>45510</v>
      </c>
      <c r="M60" s="124" t="s">
        <v>39</v>
      </c>
      <c r="N60" s="125" t="s">
        <v>51</v>
      </c>
      <c r="O60" s="125">
        <v>15</v>
      </c>
      <c r="P60" s="125"/>
      <c r="Q60" s="126">
        <v>45510</v>
      </c>
      <c r="R60" s="125">
        <v>500</v>
      </c>
      <c r="S60" s="127">
        <v>7680</v>
      </c>
      <c r="T60" s="128">
        <v>180</v>
      </c>
      <c r="U60" s="129"/>
      <c r="V60" s="130">
        <f t="shared" si="7"/>
        <v>7680</v>
      </c>
      <c r="W60" s="131">
        <f t="shared" si="8"/>
        <v>0</v>
      </c>
      <c r="X60" s="135">
        <f t="shared" si="9"/>
        <v>0</v>
      </c>
      <c r="Y60" s="202">
        <f t="shared" si="10"/>
        <v>20</v>
      </c>
      <c r="Z60" s="133">
        <f t="shared" si="11"/>
        <v>20</v>
      </c>
      <c r="AA60" s="134">
        <f t="shared" si="12"/>
        <v>0</v>
      </c>
      <c r="AB60" s="181">
        <f t="shared" si="13"/>
        <v>20</v>
      </c>
    </row>
    <row r="61" spans="1:35" s="1" customFormat="1" ht="30.75" x14ac:dyDescent="0.2">
      <c r="A61" s="116" t="s">
        <v>5</v>
      </c>
      <c r="B61" s="117" t="s">
        <v>21</v>
      </c>
      <c r="C61" s="117" t="s">
        <v>248</v>
      </c>
      <c r="D61" s="117" t="s">
        <v>62</v>
      </c>
      <c r="E61" s="117">
        <v>6310764</v>
      </c>
      <c r="F61" s="118">
        <v>7660</v>
      </c>
      <c r="G61" s="119">
        <v>45512</v>
      </c>
      <c r="H61" s="120" t="s">
        <v>31</v>
      </c>
      <c r="I61" s="121" t="s">
        <v>27</v>
      </c>
      <c r="J61" s="121">
        <v>6310934</v>
      </c>
      <c r="K61" s="122">
        <v>7560</v>
      </c>
      <c r="L61" s="123">
        <v>45512</v>
      </c>
      <c r="M61" s="124" t="s">
        <v>44</v>
      </c>
      <c r="N61" s="125" t="s">
        <v>115</v>
      </c>
      <c r="O61" s="125">
        <v>14</v>
      </c>
      <c r="P61" s="125"/>
      <c r="Q61" s="126">
        <v>45512</v>
      </c>
      <c r="R61" s="125">
        <v>110</v>
      </c>
      <c r="S61" s="127">
        <v>7560</v>
      </c>
      <c r="T61" s="128">
        <v>450</v>
      </c>
      <c r="U61" s="129"/>
      <c r="V61" s="130">
        <f t="shared" si="7"/>
        <v>7560</v>
      </c>
      <c r="W61" s="131">
        <f t="shared" si="8"/>
        <v>0</v>
      </c>
      <c r="X61" s="135">
        <f t="shared" si="9"/>
        <v>0</v>
      </c>
      <c r="Y61" s="205">
        <f t="shared" si="10"/>
        <v>-100</v>
      </c>
      <c r="Z61" s="133">
        <f t="shared" si="11"/>
        <v>-100</v>
      </c>
      <c r="AA61" s="134">
        <f t="shared" si="12"/>
        <v>0</v>
      </c>
      <c r="AB61" s="136">
        <f t="shared" si="13"/>
        <v>-100</v>
      </c>
    </row>
    <row r="62" spans="1:35" s="1" customFormat="1" ht="30.75" x14ac:dyDescent="0.2">
      <c r="A62" s="116" t="s">
        <v>28</v>
      </c>
      <c r="B62" s="117" t="s">
        <v>19</v>
      </c>
      <c r="C62" s="117" t="s">
        <v>255</v>
      </c>
      <c r="D62" s="117" t="s">
        <v>218</v>
      </c>
      <c r="E62" s="117">
        <v>6309910</v>
      </c>
      <c r="F62" s="118">
        <v>8140</v>
      </c>
      <c r="G62" s="119">
        <v>45511</v>
      </c>
      <c r="H62" s="120" t="s">
        <v>7</v>
      </c>
      <c r="I62" s="121" t="s">
        <v>8</v>
      </c>
      <c r="J62" s="121">
        <v>6310613</v>
      </c>
      <c r="K62" s="122">
        <v>8150</v>
      </c>
      <c r="L62" s="123">
        <v>45511</v>
      </c>
      <c r="M62" s="124" t="s">
        <v>35</v>
      </c>
      <c r="N62" s="125" t="s">
        <v>36</v>
      </c>
      <c r="O62" s="125">
        <v>16</v>
      </c>
      <c r="P62" s="125"/>
      <c r="Q62" s="126">
        <v>45512</v>
      </c>
      <c r="R62" s="125">
        <v>110</v>
      </c>
      <c r="S62" s="127">
        <v>8150</v>
      </c>
      <c r="T62" s="128">
        <v>40</v>
      </c>
      <c r="U62" s="129"/>
      <c r="V62" s="130">
        <f t="shared" si="7"/>
        <v>8150</v>
      </c>
      <c r="W62" s="131">
        <f t="shared" si="8"/>
        <v>0</v>
      </c>
      <c r="X62" s="135">
        <f t="shared" si="9"/>
        <v>0</v>
      </c>
      <c r="Y62" s="205">
        <f t="shared" si="10"/>
        <v>10</v>
      </c>
      <c r="Z62" s="133">
        <f t="shared" si="11"/>
        <v>10</v>
      </c>
      <c r="AA62" s="134">
        <f t="shared" si="12"/>
        <v>0</v>
      </c>
      <c r="AB62" s="136">
        <f t="shared" si="13"/>
        <v>10</v>
      </c>
      <c r="AC62" s="209"/>
    </row>
    <row r="63" spans="1:35" s="1" customFormat="1" ht="30.75" x14ac:dyDescent="0.2">
      <c r="A63" s="116" t="s">
        <v>28</v>
      </c>
      <c r="B63" s="117" t="s">
        <v>24</v>
      </c>
      <c r="C63" s="117" t="s">
        <v>178</v>
      </c>
      <c r="D63" s="117" t="s">
        <v>127</v>
      </c>
      <c r="E63" s="117">
        <v>6292116</v>
      </c>
      <c r="F63" s="118">
        <v>8500</v>
      </c>
      <c r="G63" s="119">
        <v>45497</v>
      </c>
      <c r="H63" s="120" t="s">
        <v>31</v>
      </c>
      <c r="I63" s="121" t="s">
        <v>121</v>
      </c>
      <c r="J63" s="121">
        <v>6293927</v>
      </c>
      <c r="K63" s="122">
        <v>8540</v>
      </c>
      <c r="L63" s="123">
        <v>45498</v>
      </c>
      <c r="M63" s="124" t="s">
        <v>17</v>
      </c>
      <c r="N63" s="125" t="s">
        <v>79</v>
      </c>
      <c r="O63" s="125"/>
      <c r="P63" s="125">
        <v>28</v>
      </c>
      <c r="Q63" s="126">
        <v>45498</v>
      </c>
      <c r="R63" s="125">
        <v>310</v>
      </c>
      <c r="S63" s="127">
        <v>8541</v>
      </c>
      <c r="T63" s="128">
        <v>1</v>
      </c>
      <c r="U63" s="129"/>
      <c r="V63" s="130">
        <f t="shared" si="7"/>
        <v>8541</v>
      </c>
      <c r="W63" s="131">
        <f t="shared" si="8"/>
        <v>0</v>
      </c>
      <c r="X63" s="135">
        <f t="shared" si="9"/>
        <v>1</v>
      </c>
      <c r="Y63" s="202">
        <f t="shared" si="10"/>
        <v>41</v>
      </c>
      <c r="Z63" s="133">
        <f t="shared" si="11"/>
        <v>40</v>
      </c>
      <c r="AA63" s="134">
        <f t="shared" si="12"/>
        <v>1</v>
      </c>
      <c r="AB63" s="181">
        <f t="shared" si="13"/>
        <v>41</v>
      </c>
    </row>
    <row r="64" spans="1:35" s="1" customFormat="1" ht="30.75" x14ac:dyDescent="0.2">
      <c r="A64" s="116" t="s">
        <v>5</v>
      </c>
      <c r="B64" s="117" t="s">
        <v>21</v>
      </c>
      <c r="C64" s="117" t="s">
        <v>126</v>
      </c>
      <c r="D64" s="117" t="s">
        <v>127</v>
      </c>
      <c r="E64" s="117">
        <v>6289013</v>
      </c>
      <c r="F64" s="118">
        <v>7780</v>
      </c>
      <c r="G64" s="119">
        <v>45493</v>
      </c>
      <c r="H64" s="120" t="s">
        <v>7</v>
      </c>
      <c r="I64" s="121" t="s">
        <v>121</v>
      </c>
      <c r="J64" s="121">
        <v>6290124</v>
      </c>
      <c r="K64" s="122">
        <v>7720</v>
      </c>
      <c r="L64" s="123">
        <v>45495</v>
      </c>
      <c r="M64" s="124" t="s">
        <v>44</v>
      </c>
      <c r="N64" s="125" t="s">
        <v>25</v>
      </c>
      <c r="O64" s="125"/>
      <c r="P64" s="125">
        <v>25</v>
      </c>
      <c r="Q64" s="126">
        <v>45495</v>
      </c>
      <c r="R64" s="125">
        <v>55</v>
      </c>
      <c r="S64" s="127">
        <v>7722</v>
      </c>
      <c r="T64" s="128">
        <v>42</v>
      </c>
      <c r="U64" s="129"/>
      <c r="V64" s="130">
        <f t="shared" si="7"/>
        <v>7722</v>
      </c>
      <c r="W64" s="131">
        <f t="shared" si="8"/>
        <v>0</v>
      </c>
      <c r="X64" s="135">
        <f t="shared" si="9"/>
        <v>2</v>
      </c>
      <c r="Y64" s="202">
        <f t="shared" si="10"/>
        <v>-58</v>
      </c>
      <c r="Z64" s="133">
        <f t="shared" si="11"/>
        <v>-60</v>
      </c>
      <c r="AA64" s="134">
        <f t="shared" si="12"/>
        <v>2</v>
      </c>
      <c r="AB64" s="181">
        <f t="shared" si="13"/>
        <v>-58</v>
      </c>
    </row>
    <row r="65" spans="1:35" s="1" customFormat="1" ht="30.75" x14ac:dyDescent="0.2">
      <c r="A65" s="116" t="s">
        <v>5</v>
      </c>
      <c r="B65" s="117" t="s">
        <v>24</v>
      </c>
      <c r="C65" s="117" t="s">
        <v>81</v>
      </c>
      <c r="D65" s="117" t="s">
        <v>67</v>
      </c>
      <c r="E65" s="117">
        <v>6286357</v>
      </c>
      <c r="F65" s="118">
        <v>7780</v>
      </c>
      <c r="G65" s="119">
        <v>45490</v>
      </c>
      <c r="H65" s="120" t="s">
        <v>7</v>
      </c>
      <c r="I65" s="121" t="s">
        <v>16</v>
      </c>
      <c r="J65" s="121">
        <v>6287023</v>
      </c>
      <c r="K65" s="122">
        <v>7810</v>
      </c>
      <c r="L65" s="123">
        <v>45491</v>
      </c>
      <c r="M65" s="124" t="s">
        <v>35</v>
      </c>
      <c r="N65" s="125" t="s">
        <v>101</v>
      </c>
      <c r="O65" s="125"/>
      <c r="P65" s="125">
        <v>25</v>
      </c>
      <c r="Q65" s="126">
        <v>45491</v>
      </c>
      <c r="R65" s="125">
        <v>55</v>
      </c>
      <c r="S65" s="127">
        <v>7814</v>
      </c>
      <c r="T65" s="128">
        <v>134</v>
      </c>
      <c r="U65" s="129"/>
      <c r="V65" s="130">
        <f t="shared" si="7"/>
        <v>7814</v>
      </c>
      <c r="W65" s="131">
        <f t="shared" si="8"/>
        <v>0</v>
      </c>
      <c r="X65" s="135">
        <f t="shared" si="9"/>
        <v>4</v>
      </c>
      <c r="Y65" s="202">
        <f t="shared" si="10"/>
        <v>34</v>
      </c>
      <c r="Z65" s="133">
        <f t="shared" si="11"/>
        <v>30</v>
      </c>
      <c r="AA65" s="134">
        <f t="shared" si="12"/>
        <v>4</v>
      </c>
      <c r="AB65" s="181">
        <f t="shared" si="13"/>
        <v>34</v>
      </c>
    </row>
    <row r="66" spans="1:35" s="1" customFormat="1" ht="30.75" x14ac:dyDescent="0.2">
      <c r="A66" s="116" t="s">
        <v>5</v>
      </c>
      <c r="B66" s="117" t="s">
        <v>24</v>
      </c>
      <c r="C66" s="117" t="s">
        <v>129</v>
      </c>
      <c r="D66" s="117" t="s">
        <v>46</v>
      </c>
      <c r="E66" s="117">
        <v>6289871</v>
      </c>
      <c r="F66" s="118">
        <v>7780</v>
      </c>
      <c r="G66" s="119">
        <v>45495</v>
      </c>
      <c r="H66" s="120" t="s">
        <v>7</v>
      </c>
      <c r="I66" s="121" t="s">
        <v>27</v>
      </c>
      <c r="J66" s="121">
        <v>6290541</v>
      </c>
      <c r="K66" s="122">
        <v>7790</v>
      </c>
      <c r="L66" s="123">
        <v>45495</v>
      </c>
      <c r="M66" s="124" t="s">
        <v>44</v>
      </c>
      <c r="N66" s="125" t="s">
        <v>25</v>
      </c>
      <c r="O66" s="125"/>
      <c r="P66" s="125">
        <v>25</v>
      </c>
      <c r="Q66" s="126">
        <v>45495</v>
      </c>
      <c r="R66" s="125">
        <v>55</v>
      </c>
      <c r="S66" s="127">
        <v>7795</v>
      </c>
      <c r="T66" s="128">
        <v>115</v>
      </c>
      <c r="U66" s="129"/>
      <c r="V66" s="130">
        <f t="shared" si="7"/>
        <v>7795</v>
      </c>
      <c r="W66" s="131">
        <f t="shared" si="8"/>
        <v>0</v>
      </c>
      <c r="X66" s="135">
        <f t="shared" si="9"/>
        <v>5</v>
      </c>
      <c r="Y66" s="202">
        <f t="shared" si="10"/>
        <v>15</v>
      </c>
      <c r="Z66" s="133">
        <f t="shared" si="11"/>
        <v>10</v>
      </c>
      <c r="AA66" s="134">
        <f t="shared" si="12"/>
        <v>5</v>
      </c>
      <c r="AB66" s="181">
        <f t="shared" si="13"/>
        <v>15</v>
      </c>
    </row>
    <row r="67" spans="1:35" s="1" customFormat="1" ht="30.75" x14ac:dyDescent="0.2">
      <c r="A67" s="116" t="s">
        <v>5</v>
      </c>
      <c r="B67" s="117" t="s">
        <v>19</v>
      </c>
      <c r="C67" s="117" t="s">
        <v>71</v>
      </c>
      <c r="D67" s="117" t="s">
        <v>67</v>
      </c>
      <c r="E67" s="117">
        <v>6286356</v>
      </c>
      <c r="F67" s="118">
        <v>7780</v>
      </c>
      <c r="G67" s="119">
        <v>45490</v>
      </c>
      <c r="H67" s="120" t="s">
        <v>7</v>
      </c>
      <c r="I67" s="121" t="s">
        <v>27</v>
      </c>
      <c r="J67" s="121">
        <v>6286813</v>
      </c>
      <c r="K67" s="122">
        <v>7770</v>
      </c>
      <c r="L67" s="123">
        <v>45491</v>
      </c>
      <c r="M67" s="124" t="s">
        <v>35</v>
      </c>
      <c r="N67" s="125"/>
      <c r="O67" s="125"/>
      <c r="P67" s="125">
        <v>25</v>
      </c>
      <c r="Q67" s="126">
        <v>45491</v>
      </c>
      <c r="R67" s="125">
        <v>55</v>
      </c>
      <c r="S67" s="127">
        <v>7762</v>
      </c>
      <c r="T67" s="128">
        <v>82</v>
      </c>
      <c r="U67" s="129"/>
      <c r="V67" s="130">
        <f t="shared" si="7"/>
        <v>7762</v>
      </c>
      <c r="W67" s="131">
        <f t="shared" si="8"/>
        <v>0</v>
      </c>
      <c r="X67" s="135">
        <f t="shared" si="9"/>
        <v>-8</v>
      </c>
      <c r="Y67" s="202">
        <f t="shared" si="10"/>
        <v>-18</v>
      </c>
      <c r="Z67" s="133">
        <f t="shared" si="11"/>
        <v>-10</v>
      </c>
      <c r="AA67" s="134">
        <f t="shared" si="12"/>
        <v>-8</v>
      </c>
      <c r="AB67" s="181">
        <f t="shared" si="13"/>
        <v>-18</v>
      </c>
    </row>
    <row r="68" spans="1:35" s="1" customFormat="1" ht="30.75" x14ac:dyDescent="0.25">
      <c r="A68" s="116" t="s">
        <v>5</v>
      </c>
      <c r="B68" s="117" t="s">
        <v>24</v>
      </c>
      <c r="C68" s="117" t="s">
        <v>159</v>
      </c>
      <c r="D68" s="117" t="s">
        <v>46</v>
      </c>
      <c r="E68" s="117">
        <v>6291380</v>
      </c>
      <c r="F68" s="118">
        <v>7780</v>
      </c>
      <c r="G68" s="119">
        <v>45496</v>
      </c>
      <c r="H68" s="120" t="s">
        <v>7</v>
      </c>
      <c r="I68" s="121" t="s">
        <v>27</v>
      </c>
      <c r="J68" s="158">
        <v>6291658</v>
      </c>
      <c r="K68" s="122">
        <v>7785</v>
      </c>
      <c r="L68" s="123">
        <v>45496</v>
      </c>
      <c r="M68" s="124" t="s">
        <v>44</v>
      </c>
      <c r="N68" s="125" t="s">
        <v>25</v>
      </c>
      <c r="O68" s="125">
        <v>15</v>
      </c>
      <c r="P68" s="125"/>
      <c r="Q68" s="126">
        <v>45496</v>
      </c>
      <c r="R68" s="125">
        <v>55</v>
      </c>
      <c r="S68" s="127">
        <v>7795</v>
      </c>
      <c r="T68" s="128">
        <v>240</v>
      </c>
      <c r="U68" s="129"/>
      <c r="V68" s="130">
        <f t="shared" si="7"/>
        <v>7795</v>
      </c>
      <c r="W68" s="131">
        <f t="shared" si="8"/>
        <v>0</v>
      </c>
      <c r="X68" s="135">
        <f t="shared" si="9"/>
        <v>10</v>
      </c>
      <c r="Y68" s="202">
        <f t="shared" si="10"/>
        <v>15</v>
      </c>
      <c r="Z68" s="133">
        <f t="shared" si="11"/>
        <v>5</v>
      </c>
      <c r="AA68" s="134">
        <f t="shared" si="12"/>
        <v>10</v>
      </c>
      <c r="AB68" s="181">
        <f t="shared" si="13"/>
        <v>15</v>
      </c>
    </row>
    <row r="69" spans="1:35" s="1" customFormat="1" ht="30.75" x14ac:dyDescent="0.2">
      <c r="A69" s="116" t="s">
        <v>5</v>
      </c>
      <c r="B69" s="117" t="s">
        <v>24</v>
      </c>
      <c r="C69" s="117" t="s">
        <v>161</v>
      </c>
      <c r="D69" s="117" t="s">
        <v>127</v>
      </c>
      <c r="E69" s="117">
        <v>6291927</v>
      </c>
      <c r="F69" s="118">
        <v>7780</v>
      </c>
      <c r="G69" s="119">
        <v>45497</v>
      </c>
      <c r="H69" s="120" t="s">
        <v>31</v>
      </c>
      <c r="I69" s="121" t="s">
        <v>121</v>
      </c>
      <c r="J69" s="121">
        <v>6292207</v>
      </c>
      <c r="K69" s="122">
        <v>7770</v>
      </c>
      <c r="L69" s="123">
        <v>45496</v>
      </c>
      <c r="M69" s="124" t="s">
        <v>17</v>
      </c>
      <c r="N69" s="125" t="s">
        <v>79</v>
      </c>
      <c r="O69" s="125"/>
      <c r="P69" s="125">
        <v>25</v>
      </c>
      <c r="Q69" s="126">
        <v>45497</v>
      </c>
      <c r="R69" s="125">
        <v>110</v>
      </c>
      <c r="S69" s="127">
        <v>7760</v>
      </c>
      <c r="T69" s="128">
        <v>25</v>
      </c>
      <c r="U69" s="129"/>
      <c r="V69" s="130">
        <f t="shared" si="7"/>
        <v>7760</v>
      </c>
      <c r="W69" s="131">
        <f t="shared" si="8"/>
        <v>0</v>
      </c>
      <c r="X69" s="135">
        <f t="shared" si="9"/>
        <v>-10</v>
      </c>
      <c r="Y69" s="202">
        <f t="shared" si="10"/>
        <v>-20</v>
      </c>
      <c r="Z69" s="133">
        <f t="shared" si="11"/>
        <v>-10</v>
      </c>
      <c r="AA69" s="134">
        <f t="shared" si="12"/>
        <v>-10</v>
      </c>
      <c r="AB69" s="181">
        <f t="shared" si="13"/>
        <v>-20</v>
      </c>
    </row>
    <row r="70" spans="1:35" s="1" customFormat="1" ht="30.75" x14ac:dyDescent="0.2">
      <c r="A70" s="116" t="s">
        <v>5</v>
      </c>
      <c r="B70" s="117" t="s">
        <v>21</v>
      </c>
      <c r="C70" s="117" t="s">
        <v>214</v>
      </c>
      <c r="D70" s="117" t="s">
        <v>62</v>
      </c>
      <c r="E70" s="117">
        <v>6298199</v>
      </c>
      <c r="F70" s="118">
        <v>7780</v>
      </c>
      <c r="G70" s="119">
        <v>45503</v>
      </c>
      <c r="H70" s="120" t="s">
        <v>7</v>
      </c>
      <c r="I70" s="121" t="s">
        <v>63</v>
      </c>
      <c r="J70" s="121">
        <v>6298858</v>
      </c>
      <c r="K70" s="122">
        <v>7772</v>
      </c>
      <c r="L70" s="123">
        <v>45503</v>
      </c>
      <c r="M70" s="124" t="s">
        <v>39</v>
      </c>
      <c r="N70" s="125" t="s">
        <v>18</v>
      </c>
      <c r="O70" s="125">
        <v>15</v>
      </c>
      <c r="P70" s="125"/>
      <c r="Q70" s="126">
        <v>45503</v>
      </c>
      <c r="R70" s="125">
        <v>55</v>
      </c>
      <c r="S70" s="127">
        <v>7783</v>
      </c>
      <c r="T70" s="128">
        <v>228</v>
      </c>
      <c r="U70" s="129"/>
      <c r="V70" s="130">
        <f t="shared" si="7"/>
        <v>7783</v>
      </c>
      <c r="W70" s="131">
        <f t="shared" si="8"/>
        <v>0</v>
      </c>
      <c r="X70" s="132">
        <f t="shared" si="9"/>
        <v>11</v>
      </c>
      <c r="Y70" s="201">
        <f t="shared" si="10"/>
        <v>3</v>
      </c>
      <c r="Z70" s="133">
        <f t="shared" si="11"/>
        <v>-8</v>
      </c>
      <c r="AA70" s="134">
        <f t="shared" si="12"/>
        <v>11</v>
      </c>
      <c r="AB70" s="181">
        <f t="shared" si="13"/>
        <v>3</v>
      </c>
    </row>
    <row r="71" spans="1:35" s="1" customFormat="1" ht="30.75" x14ac:dyDescent="0.2">
      <c r="A71" s="116" t="s">
        <v>5</v>
      </c>
      <c r="B71" s="117" t="s">
        <v>24</v>
      </c>
      <c r="C71" s="117" t="s">
        <v>134</v>
      </c>
      <c r="D71" s="117" t="s">
        <v>67</v>
      </c>
      <c r="E71" s="117">
        <v>6290838</v>
      </c>
      <c r="F71" s="118">
        <v>7680</v>
      </c>
      <c r="G71" s="119">
        <v>45496</v>
      </c>
      <c r="H71" s="120" t="s">
        <v>7</v>
      </c>
      <c r="I71" s="121" t="s">
        <v>63</v>
      </c>
      <c r="J71" s="121">
        <v>6292805</v>
      </c>
      <c r="K71" s="122">
        <v>7700</v>
      </c>
      <c r="L71" s="123">
        <v>45497</v>
      </c>
      <c r="M71" s="124" t="s">
        <v>35</v>
      </c>
      <c r="N71" s="125" t="s">
        <v>36</v>
      </c>
      <c r="O71" s="125">
        <v>15</v>
      </c>
      <c r="P71" s="125"/>
      <c r="Q71" s="126">
        <v>45497</v>
      </c>
      <c r="R71" s="125">
        <v>500</v>
      </c>
      <c r="S71" s="127">
        <v>7687</v>
      </c>
      <c r="T71" s="128">
        <v>187</v>
      </c>
      <c r="U71" s="129"/>
      <c r="V71" s="130">
        <f t="shared" si="7"/>
        <v>7687</v>
      </c>
      <c r="W71" s="131">
        <f t="shared" si="8"/>
        <v>0</v>
      </c>
      <c r="X71" s="132">
        <f t="shared" si="9"/>
        <v>-13</v>
      </c>
      <c r="Y71" s="201">
        <f t="shared" si="10"/>
        <v>7</v>
      </c>
      <c r="Z71" s="133">
        <f t="shared" si="11"/>
        <v>20</v>
      </c>
      <c r="AA71" s="134">
        <f t="shared" si="12"/>
        <v>-13</v>
      </c>
      <c r="AB71" s="181">
        <f t="shared" si="13"/>
        <v>7</v>
      </c>
    </row>
    <row r="72" spans="1:35" s="1" customFormat="1" ht="30.75" x14ac:dyDescent="0.2">
      <c r="A72" s="116" t="s">
        <v>5</v>
      </c>
      <c r="B72" s="117" t="s">
        <v>19</v>
      </c>
      <c r="C72" s="117" t="s">
        <v>26</v>
      </c>
      <c r="D72" s="117" t="s">
        <v>15</v>
      </c>
      <c r="E72" s="117">
        <v>6283025</v>
      </c>
      <c r="F72" s="118">
        <v>7780</v>
      </c>
      <c r="G72" s="119">
        <v>45485</v>
      </c>
      <c r="H72" s="120" t="s">
        <v>7</v>
      </c>
      <c r="I72" s="121" t="s">
        <v>16</v>
      </c>
      <c r="J72" s="121">
        <v>6284038</v>
      </c>
      <c r="K72" s="122">
        <v>7750</v>
      </c>
      <c r="L72" s="123">
        <v>45486</v>
      </c>
      <c r="M72" s="124"/>
      <c r="N72" s="125"/>
      <c r="O72" s="125"/>
      <c r="P72" s="125">
        <v>25</v>
      </c>
      <c r="Q72" s="126">
        <v>45486</v>
      </c>
      <c r="R72" s="125">
        <v>55</v>
      </c>
      <c r="S72" s="127">
        <v>7765</v>
      </c>
      <c r="T72" s="128">
        <v>85</v>
      </c>
      <c r="U72" s="129"/>
      <c r="V72" s="130">
        <f t="shared" si="7"/>
        <v>7765</v>
      </c>
      <c r="W72" s="131">
        <f t="shared" si="8"/>
        <v>0</v>
      </c>
      <c r="X72" s="132">
        <f t="shared" si="9"/>
        <v>15</v>
      </c>
      <c r="Y72" s="201">
        <f t="shared" si="10"/>
        <v>-15</v>
      </c>
      <c r="Z72" s="133">
        <f t="shared" si="11"/>
        <v>-30</v>
      </c>
      <c r="AA72" s="134">
        <f t="shared" si="12"/>
        <v>15</v>
      </c>
      <c r="AB72" s="181">
        <f t="shared" si="13"/>
        <v>-15</v>
      </c>
      <c r="AC72" s="209"/>
      <c r="AD72" s="209"/>
      <c r="AE72" s="209"/>
      <c r="AF72" s="209"/>
      <c r="AG72" s="209"/>
      <c r="AH72" s="50"/>
      <c r="AI72" s="50"/>
    </row>
    <row r="73" spans="1:35" s="1" customFormat="1" ht="30.75" x14ac:dyDescent="0.2">
      <c r="A73" s="116" t="s">
        <v>5</v>
      </c>
      <c r="B73" s="117" t="s">
        <v>20</v>
      </c>
      <c r="C73" s="117" t="s">
        <v>275</v>
      </c>
      <c r="D73" s="117" t="s">
        <v>15</v>
      </c>
      <c r="E73" s="117">
        <v>6314059</v>
      </c>
      <c r="F73" s="118">
        <v>7660</v>
      </c>
      <c r="G73" s="119">
        <v>45513</v>
      </c>
      <c r="H73" s="120" t="s">
        <v>48</v>
      </c>
      <c r="I73" s="121" t="s">
        <v>32</v>
      </c>
      <c r="J73" s="121">
        <v>6315902</v>
      </c>
      <c r="K73" s="122">
        <v>7670</v>
      </c>
      <c r="L73" s="123">
        <v>45516</v>
      </c>
      <c r="M73" s="124" t="s">
        <v>39</v>
      </c>
      <c r="N73" s="125" t="s">
        <v>18</v>
      </c>
      <c r="O73" s="125">
        <v>15</v>
      </c>
      <c r="P73" s="125"/>
      <c r="Q73" s="126">
        <v>45516</v>
      </c>
      <c r="R73" s="125">
        <v>55</v>
      </c>
      <c r="S73" s="127">
        <v>7685</v>
      </c>
      <c r="T73" s="128">
        <v>130</v>
      </c>
      <c r="U73" s="129"/>
      <c r="V73" s="130">
        <f t="shared" si="7"/>
        <v>7685</v>
      </c>
      <c r="W73" s="131">
        <f t="shared" si="8"/>
        <v>0</v>
      </c>
      <c r="X73" s="135">
        <f t="shared" si="9"/>
        <v>15</v>
      </c>
      <c r="Y73" s="205">
        <f t="shared" si="10"/>
        <v>25</v>
      </c>
      <c r="Z73" s="133">
        <f t="shared" si="11"/>
        <v>10</v>
      </c>
      <c r="AA73" s="134">
        <f t="shared" si="12"/>
        <v>15</v>
      </c>
      <c r="AB73" s="136">
        <f t="shared" si="13"/>
        <v>25</v>
      </c>
      <c r="AC73" s="209"/>
    </row>
    <row r="74" spans="1:35" ht="26.25" x14ac:dyDescent="0.2">
      <c r="A74" s="301" t="s">
        <v>150</v>
      </c>
      <c r="B74" s="301"/>
      <c r="C74" s="301"/>
      <c r="D74" s="301"/>
      <c r="E74" s="301"/>
      <c r="F74" s="301"/>
      <c r="G74" s="301"/>
      <c r="H74" s="301"/>
      <c r="I74" s="301"/>
      <c r="J74" s="301"/>
      <c r="K74" s="301"/>
      <c r="L74" s="301"/>
      <c r="M74" s="301"/>
      <c r="N74" s="301"/>
      <c r="O74" s="301"/>
      <c r="P74" s="301"/>
      <c r="Q74" s="301"/>
      <c r="R74" s="301"/>
      <c r="S74" s="301"/>
      <c r="T74" s="301"/>
      <c r="U74" s="301"/>
      <c r="V74" s="301"/>
      <c r="W74" s="301"/>
      <c r="X74" s="301"/>
      <c r="Y74" s="301"/>
      <c r="Z74" s="301"/>
      <c r="AA74" s="301"/>
      <c r="AB74" s="301"/>
    </row>
    <row r="77" spans="1:35" x14ac:dyDescent="0.2">
      <c r="B77" t="s">
        <v>151</v>
      </c>
      <c r="C77" t="s">
        <v>152</v>
      </c>
      <c r="H77" t="s">
        <v>151</v>
      </c>
      <c r="I77" t="s">
        <v>152</v>
      </c>
      <c r="N77" t="s">
        <v>151</v>
      </c>
      <c r="O77" t="s">
        <v>152</v>
      </c>
    </row>
    <row r="78" spans="1:35" x14ac:dyDescent="0.2">
      <c r="B78" t="s">
        <v>21</v>
      </c>
      <c r="C78">
        <v>4</v>
      </c>
      <c r="H78" t="s">
        <v>7</v>
      </c>
      <c r="I78">
        <v>11</v>
      </c>
      <c r="N78" t="s">
        <v>39</v>
      </c>
      <c r="O78">
        <v>3</v>
      </c>
    </row>
    <row r="79" spans="1:35" x14ac:dyDescent="0.2">
      <c r="B79" t="s">
        <v>20</v>
      </c>
      <c r="C79">
        <v>2</v>
      </c>
      <c r="H79" t="s">
        <v>31</v>
      </c>
      <c r="I79">
        <v>3</v>
      </c>
      <c r="N79" t="s">
        <v>44</v>
      </c>
      <c r="O79">
        <v>4</v>
      </c>
    </row>
    <row r="80" spans="1:35" x14ac:dyDescent="0.2">
      <c r="B80" t="s">
        <v>19</v>
      </c>
      <c r="C80">
        <v>3</v>
      </c>
      <c r="H80" t="s">
        <v>48</v>
      </c>
      <c r="I80">
        <v>1</v>
      </c>
      <c r="N80" t="s">
        <v>35</v>
      </c>
      <c r="O80">
        <v>4</v>
      </c>
    </row>
    <row r="81" spans="2:26" x14ac:dyDescent="0.2">
      <c r="B81" t="s">
        <v>24</v>
      </c>
      <c r="C81">
        <v>6</v>
      </c>
      <c r="H81" t="s">
        <v>163</v>
      </c>
      <c r="I81">
        <v>2</v>
      </c>
      <c r="N81" t="s">
        <v>17</v>
      </c>
      <c r="O81">
        <v>2</v>
      </c>
    </row>
    <row r="82" spans="2:26" x14ac:dyDescent="0.2">
      <c r="Z82" s="190"/>
    </row>
    <row r="103" spans="1:28" ht="26.25" x14ac:dyDescent="0.2">
      <c r="A103" s="301" t="s">
        <v>153</v>
      </c>
      <c r="B103" s="301"/>
      <c r="C103" s="301"/>
      <c r="D103" s="301"/>
      <c r="E103" s="301"/>
      <c r="F103" s="301"/>
      <c r="G103" s="301"/>
      <c r="H103" s="301"/>
      <c r="I103" s="301"/>
      <c r="J103" s="301"/>
      <c r="K103" s="301"/>
      <c r="L103" s="301"/>
      <c r="M103" s="301"/>
      <c r="N103" s="301"/>
      <c r="O103" s="301"/>
      <c r="P103" s="301"/>
      <c r="Q103" s="301"/>
      <c r="R103" s="301"/>
      <c r="S103" s="301"/>
      <c r="T103" s="301"/>
      <c r="U103" s="301"/>
      <c r="V103" s="301"/>
      <c r="W103" s="301"/>
      <c r="X103" s="301"/>
      <c r="Y103" s="301"/>
      <c r="Z103" s="301"/>
      <c r="AA103" s="301"/>
      <c r="AB103" s="301"/>
    </row>
  </sheetData>
  <mergeCells count="15">
    <mergeCell ref="C4:E4"/>
    <mergeCell ref="C10:E10"/>
    <mergeCell ref="C18:G18"/>
    <mergeCell ref="AC20:AE20"/>
    <mergeCell ref="A21:G21"/>
    <mergeCell ref="H21:L21"/>
    <mergeCell ref="M21:T21"/>
    <mergeCell ref="A103:AB103"/>
    <mergeCell ref="A74:AB74"/>
    <mergeCell ref="V21:AB21"/>
    <mergeCell ref="A57:G57"/>
    <mergeCell ref="H57:L57"/>
    <mergeCell ref="M57:T57"/>
    <mergeCell ref="V57:AB57"/>
    <mergeCell ref="A53:AB53"/>
  </mergeCells>
  <pageMargins left="0.7" right="0.7" top="0.75" bottom="0.75" header="0.3" footer="0.3"/>
  <pageSetup paperSize="9" orientation="portrait" r:id="rId1"/>
  <drawing r:id="rId2"/>
  <tableParts count="2">
    <tablePart r:id="rId3"/>
    <tablePart r:id="rId4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122BDE-F86B-47E3-B002-4782984F5F7A}">
  <sheetPr codeName="Sheet6"/>
  <dimension ref="A1:AJ323"/>
  <sheetViews>
    <sheetView topLeftCell="A2" zoomScale="40" zoomScaleNormal="40" workbookViewId="0">
      <selection activeCell="G17" sqref="G17"/>
    </sheetView>
  </sheetViews>
  <sheetFormatPr defaultColWidth="35.7109375" defaultRowHeight="30.75" customHeight="1" x14ac:dyDescent="0.4"/>
  <cols>
    <col min="1" max="1" width="35.7109375" style="140" customWidth="1"/>
    <col min="2" max="2" width="35.7109375" style="140"/>
    <col min="3" max="5" width="35.7109375" style="140" customWidth="1"/>
    <col min="6" max="6" width="35.7109375" style="140"/>
    <col min="7" max="7" width="35.7109375" style="140" customWidth="1"/>
    <col min="8" max="21" width="35.7109375" style="140" hidden="1" customWidth="1"/>
    <col min="22" max="22" width="35.7109375" style="140" customWidth="1"/>
    <col min="23" max="24" width="35.7109375" style="140" hidden="1" customWidth="1"/>
    <col min="25" max="25" width="35.7109375" style="140" customWidth="1"/>
    <col min="26" max="28" width="35.7109375" style="140" hidden="1" customWidth="1"/>
    <col min="29" max="29" width="35.7109375" style="140"/>
    <col min="30" max="30" width="40.7109375" style="209" customWidth="1"/>
    <col min="31" max="32" width="40.7109375" style="157" customWidth="1"/>
    <col min="33" max="34" width="40.7109375" style="209" customWidth="1"/>
    <col min="35" max="16384" width="35.7109375" style="209"/>
  </cols>
  <sheetData>
    <row r="1" spans="1:36" s="1" customFormat="1" ht="31.5" hidden="1" thickBot="1" x14ac:dyDescent="0.25">
      <c r="F1" s="2"/>
      <c r="K1" s="2"/>
      <c r="S1" s="2"/>
      <c r="V1" s="49"/>
      <c r="W1" s="50"/>
      <c r="X1" s="50"/>
      <c r="Y1" s="50"/>
      <c r="Z1" s="50"/>
      <c r="AA1" s="50"/>
      <c r="AB1" s="50"/>
      <c r="AC1" s="162"/>
      <c r="AD1" s="288"/>
      <c r="AE1" s="288"/>
      <c r="AF1" s="288"/>
      <c r="AG1" s="162"/>
    </row>
    <row r="2" spans="1:36" s="1" customFormat="1" ht="31.5" thickBot="1" x14ac:dyDescent="0.25">
      <c r="A2" s="285" t="s">
        <v>0</v>
      </c>
      <c r="B2" s="286"/>
      <c r="C2" s="286"/>
      <c r="D2" s="286"/>
      <c r="E2" s="286"/>
      <c r="F2" s="286"/>
      <c r="G2" s="287"/>
      <c r="H2" s="295" t="s">
        <v>4</v>
      </c>
      <c r="I2" s="296"/>
      <c r="J2" s="296"/>
      <c r="K2" s="296"/>
      <c r="L2" s="297"/>
      <c r="M2" s="298" t="s">
        <v>14</v>
      </c>
      <c r="N2" s="299"/>
      <c r="O2" s="299"/>
      <c r="P2" s="299"/>
      <c r="Q2" s="299"/>
      <c r="R2" s="299"/>
      <c r="S2" s="299"/>
      <c r="T2" s="300"/>
      <c r="V2" s="290" t="s">
        <v>73</v>
      </c>
      <c r="W2" s="291"/>
      <c r="X2" s="292"/>
      <c r="Y2" s="292"/>
      <c r="Z2" s="293"/>
      <c r="AA2" s="293"/>
      <c r="AB2" s="293"/>
      <c r="AC2" s="165"/>
      <c r="AD2" s="166"/>
      <c r="AE2" s="164"/>
      <c r="AF2" s="164"/>
      <c r="AG2" s="163"/>
      <c r="AH2" s="50"/>
      <c r="AI2" s="50"/>
    </row>
    <row r="3" spans="1:36" s="1" customFormat="1" ht="80.099999999999994" customHeight="1" thickBot="1" x14ac:dyDescent="0.25">
      <c r="A3" s="144" t="s">
        <v>86</v>
      </c>
      <c r="B3" s="145" t="s">
        <v>136</v>
      </c>
      <c r="C3" s="145" t="s">
        <v>87</v>
      </c>
      <c r="D3" s="145" t="s">
        <v>88</v>
      </c>
      <c r="E3" s="145" t="s">
        <v>89</v>
      </c>
      <c r="F3" s="145" t="s">
        <v>90</v>
      </c>
      <c r="G3" s="146" t="s">
        <v>3</v>
      </c>
      <c r="H3" s="147" t="s">
        <v>9</v>
      </c>
      <c r="I3" s="148" t="s">
        <v>10</v>
      </c>
      <c r="J3" s="148" t="s">
        <v>1</v>
      </c>
      <c r="K3" s="148" t="s">
        <v>2</v>
      </c>
      <c r="L3" s="149" t="s">
        <v>3</v>
      </c>
      <c r="M3" s="7" t="s">
        <v>9</v>
      </c>
      <c r="N3" s="8" t="s">
        <v>10</v>
      </c>
      <c r="O3" s="9" t="s">
        <v>11</v>
      </c>
      <c r="P3" s="9" t="s">
        <v>12</v>
      </c>
      <c r="Q3" s="8" t="s">
        <v>3</v>
      </c>
      <c r="R3" s="9" t="s">
        <v>100</v>
      </c>
      <c r="S3" s="9" t="s">
        <v>95</v>
      </c>
      <c r="T3" s="10" t="s">
        <v>13</v>
      </c>
      <c r="V3" s="40" t="s">
        <v>60</v>
      </c>
      <c r="W3" s="143" t="s">
        <v>91</v>
      </c>
      <c r="X3" s="52" t="s">
        <v>92</v>
      </c>
      <c r="Y3" s="53" t="s">
        <v>93</v>
      </c>
      <c r="Z3" s="150" t="s">
        <v>94</v>
      </c>
      <c r="AA3" s="151" t="s">
        <v>117</v>
      </c>
      <c r="AB3" s="152" t="s">
        <v>118</v>
      </c>
      <c r="AC3" s="189"/>
      <c r="AD3" s="189"/>
      <c r="AE3" s="189"/>
      <c r="AF3" s="189"/>
      <c r="AG3" s="189"/>
      <c r="AH3" s="189"/>
      <c r="AI3" s="189"/>
      <c r="AJ3" s="189"/>
    </row>
    <row r="4" spans="1:36" s="1" customFormat="1" ht="63" thickTop="1" thickBot="1" x14ac:dyDescent="0.25">
      <c r="A4" s="11" t="s">
        <v>5</v>
      </c>
      <c r="B4" s="12" t="s">
        <v>20</v>
      </c>
      <c r="C4" s="12" t="s">
        <v>49</v>
      </c>
      <c r="D4" s="12" t="s">
        <v>15</v>
      </c>
      <c r="E4" s="12">
        <v>6279840</v>
      </c>
      <c r="F4" s="13">
        <v>7780</v>
      </c>
      <c r="G4" s="14">
        <v>45483</v>
      </c>
      <c r="H4" s="15" t="s">
        <v>7</v>
      </c>
      <c r="I4" s="16" t="s">
        <v>27</v>
      </c>
      <c r="J4" s="16">
        <v>6284524</v>
      </c>
      <c r="K4" s="17">
        <v>7740</v>
      </c>
      <c r="L4" s="18">
        <v>45489</v>
      </c>
      <c r="M4" s="19" t="s">
        <v>39</v>
      </c>
      <c r="N4" s="20" t="s">
        <v>36</v>
      </c>
      <c r="O4" s="20">
        <v>15</v>
      </c>
      <c r="P4" s="20"/>
      <c r="Q4" s="21">
        <v>45489</v>
      </c>
      <c r="R4" s="20">
        <v>500</v>
      </c>
      <c r="S4" s="22">
        <v>7750</v>
      </c>
      <c r="T4" s="23">
        <v>226</v>
      </c>
      <c r="V4" s="37">
        <f t="shared" ref="V4:V28" si="0">IF(RIGHT(C4, 1)="1",
    IF(O4&lt;&gt;"", 500*O4 + T4 + IF(R4&lt;=110, R4, 0), IF(P4&lt;&gt;"", 305*P4 + T4 + IF(R4&lt;=110, R4, 0), "")),
    IF(O4&lt;&gt;"", 500*O4 + T4, IF(P4&lt;&gt;"", 305*P4 + T4, ""))
)</f>
        <v>7726</v>
      </c>
      <c r="W4" s="46">
        <f t="shared" ref="W4:W28" si="1">IF(OR(ISBLANK(V4), ISBLANK(S4), NOT(ISNUMBER(V4)), NOT(ISNUMBER(S4))), "", V4-S4)</f>
        <v>-24</v>
      </c>
      <c r="X4" s="27">
        <f t="shared" ref="X4:X28" si="2">IF(OR(ISBLANK(V4), ISBLANK(K4), NOT(ISNUMBER(V4)), NOT(ISNUMBER(K4))), "", V4-K4)</f>
        <v>-14</v>
      </c>
      <c r="Y4" s="199">
        <f t="shared" ref="Y4:Y28" si="3">IF(OR(ISBLANK(V4), ISBLANK(F4), NOT(ISNUMBER(V4)), NOT(ISNUMBER(F4))), "", V4-F4)</f>
        <v>-54</v>
      </c>
      <c r="Z4" s="38">
        <f t="shared" ref="Z4:Z28" si="4">IF(OR(ISBLANK(F4), ISBLANK(K4)), "",K4-F4)</f>
        <v>-40</v>
      </c>
      <c r="AA4" s="39">
        <f t="shared" ref="AA4:AA28" si="5">IF(OR(ISBLANK(K4), ISBLANK(S4)), "",S4-K4)</f>
        <v>10</v>
      </c>
      <c r="AB4" s="58">
        <f t="shared" ref="AB4:AB28" si="6">IF(OR(ISBLANK(F4), ISBLANK(S4)), "",S4-F4)</f>
        <v>-30</v>
      </c>
      <c r="AC4" s="209"/>
      <c r="AD4" s="175" t="s">
        <v>180</v>
      </c>
      <c r="AE4" s="176" t="s">
        <v>181</v>
      </c>
      <c r="AF4" s="177" t="s">
        <v>182</v>
      </c>
      <c r="AG4" s="178" t="s">
        <v>183</v>
      </c>
      <c r="AH4" s="179" t="s">
        <v>184</v>
      </c>
      <c r="AI4" s="50"/>
    </row>
    <row r="5" spans="1:36" s="1" customFormat="1" ht="31.5" thickTop="1" x14ac:dyDescent="0.2">
      <c r="A5" s="11" t="s">
        <v>5</v>
      </c>
      <c r="B5" s="12" t="s">
        <v>20</v>
      </c>
      <c r="C5" s="12" t="s">
        <v>33</v>
      </c>
      <c r="D5" s="12" t="s">
        <v>62</v>
      </c>
      <c r="E5" s="12">
        <v>6282738</v>
      </c>
      <c r="F5" s="13">
        <v>7867</v>
      </c>
      <c r="G5" s="14">
        <v>45485</v>
      </c>
      <c r="H5" s="15" t="s">
        <v>7</v>
      </c>
      <c r="I5" s="16" t="s">
        <v>16</v>
      </c>
      <c r="J5" s="16">
        <v>6233061</v>
      </c>
      <c r="K5" s="17">
        <v>7750</v>
      </c>
      <c r="L5" s="18">
        <v>45485</v>
      </c>
      <c r="M5" s="19"/>
      <c r="N5" s="20"/>
      <c r="O5" s="20">
        <v>15</v>
      </c>
      <c r="P5" s="20"/>
      <c r="Q5" s="21">
        <v>45485</v>
      </c>
      <c r="R5" s="20">
        <v>110</v>
      </c>
      <c r="S5" s="22">
        <v>7718</v>
      </c>
      <c r="T5" s="23">
        <v>108</v>
      </c>
      <c r="V5" s="37">
        <f t="shared" si="0"/>
        <v>7718</v>
      </c>
      <c r="W5" s="28">
        <f t="shared" si="1"/>
        <v>0</v>
      </c>
      <c r="X5" s="45">
        <f t="shared" si="2"/>
        <v>-32</v>
      </c>
      <c r="Y5" s="199">
        <f t="shared" si="3"/>
        <v>-149</v>
      </c>
      <c r="Z5" s="38">
        <f t="shared" si="4"/>
        <v>-117</v>
      </c>
      <c r="AA5" s="39">
        <f t="shared" si="5"/>
        <v>-32</v>
      </c>
      <c r="AB5" s="58">
        <f t="shared" si="6"/>
        <v>-149</v>
      </c>
      <c r="AC5" s="50"/>
      <c r="AD5" s="173" t="s">
        <v>20</v>
      </c>
      <c r="AE5" s="170">
        <v>7684.96</v>
      </c>
      <c r="AF5" s="171">
        <v>-37.520000000000003</v>
      </c>
      <c r="AG5" s="172">
        <v>-4.8999999999999998E-3</v>
      </c>
      <c r="AH5" s="174">
        <v>37.520000000000003</v>
      </c>
      <c r="AI5" s="50"/>
    </row>
    <row r="6" spans="1:36" s="1" customFormat="1" x14ac:dyDescent="0.2">
      <c r="A6" s="11" t="s">
        <v>288</v>
      </c>
      <c r="B6" s="12" t="s">
        <v>20</v>
      </c>
      <c r="C6" s="12" t="s">
        <v>47</v>
      </c>
      <c r="D6" s="12" t="s">
        <v>6</v>
      </c>
      <c r="E6" s="12">
        <v>6283272</v>
      </c>
      <c r="F6" s="13">
        <v>7770</v>
      </c>
      <c r="G6" s="14">
        <v>45485</v>
      </c>
      <c r="H6" s="15" t="s">
        <v>48</v>
      </c>
      <c r="I6" s="16" t="s">
        <v>40</v>
      </c>
      <c r="J6" s="16">
        <v>6283272</v>
      </c>
      <c r="K6" s="17">
        <v>7625</v>
      </c>
      <c r="L6" s="18">
        <v>45486</v>
      </c>
      <c r="M6" s="19" t="s">
        <v>39</v>
      </c>
      <c r="N6" s="20" t="s">
        <v>41</v>
      </c>
      <c r="O6" s="20">
        <v>15</v>
      </c>
      <c r="P6" s="20"/>
      <c r="Q6" s="21">
        <v>45486</v>
      </c>
      <c r="R6" s="20">
        <v>501</v>
      </c>
      <c r="S6" s="22">
        <v>7630</v>
      </c>
      <c r="T6" s="23">
        <v>125</v>
      </c>
      <c r="V6" s="37">
        <f t="shared" si="0"/>
        <v>7625</v>
      </c>
      <c r="W6" s="46">
        <f t="shared" si="1"/>
        <v>-5</v>
      </c>
      <c r="X6" s="27">
        <f t="shared" si="2"/>
        <v>0</v>
      </c>
      <c r="Y6" s="199">
        <f t="shared" si="3"/>
        <v>-145</v>
      </c>
      <c r="Z6" s="38">
        <f t="shared" si="4"/>
        <v>-145</v>
      </c>
      <c r="AA6" s="39">
        <f t="shared" si="5"/>
        <v>5</v>
      </c>
      <c r="AB6" s="58">
        <f t="shared" si="6"/>
        <v>-140</v>
      </c>
      <c r="AC6" s="50"/>
      <c r="AD6" s="217" t="s">
        <v>19</v>
      </c>
      <c r="AE6" s="214">
        <v>7851.52</v>
      </c>
      <c r="AF6" s="215">
        <v>-11.63</v>
      </c>
      <c r="AG6" s="216">
        <v>-1.5E-3</v>
      </c>
      <c r="AH6" s="222">
        <v>11.63</v>
      </c>
      <c r="AI6" s="50"/>
    </row>
    <row r="7" spans="1:36" s="1" customFormat="1" x14ac:dyDescent="0.2">
      <c r="A7" s="11" t="s">
        <v>5</v>
      </c>
      <c r="B7" s="12" t="s">
        <v>20</v>
      </c>
      <c r="C7" s="12" t="s">
        <v>80</v>
      </c>
      <c r="D7" s="12" t="s">
        <v>6</v>
      </c>
      <c r="E7" s="12">
        <v>6287026</v>
      </c>
      <c r="F7" s="13">
        <v>7630</v>
      </c>
      <c r="G7" s="14">
        <v>45491</v>
      </c>
      <c r="H7" s="15" t="s">
        <v>7</v>
      </c>
      <c r="I7" s="16" t="s">
        <v>27</v>
      </c>
      <c r="J7" s="16">
        <v>6287669</v>
      </c>
      <c r="K7" s="17">
        <v>7536</v>
      </c>
      <c r="L7" s="18">
        <v>45492</v>
      </c>
      <c r="M7" s="19"/>
      <c r="N7" s="20" t="s">
        <v>41</v>
      </c>
      <c r="O7" s="20">
        <v>15</v>
      </c>
      <c r="P7" s="20"/>
      <c r="Q7" s="21">
        <v>45492</v>
      </c>
      <c r="R7" s="20">
        <v>501</v>
      </c>
      <c r="S7" s="22">
        <v>7538</v>
      </c>
      <c r="T7" s="23">
        <v>36</v>
      </c>
      <c r="V7" s="37">
        <f t="shared" si="0"/>
        <v>7536</v>
      </c>
      <c r="W7" s="46">
        <f t="shared" si="1"/>
        <v>-2</v>
      </c>
      <c r="X7" s="27">
        <f t="shared" si="2"/>
        <v>0</v>
      </c>
      <c r="Y7" s="199">
        <f t="shared" si="3"/>
        <v>-94</v>
      </c>
      <c r="Z7" s="38">
        <f t="shared" si="4"/>
        <v>-94</v>
      </c>
      <c r="AA7" s="39">
        <f t="shared" si="5"/>
        <v>2</v>
      </c>
      <c r="AB7" s="58">
        <f t="shared" si="6"/>
        <v>-92</v>
      </c>
      <c r="AD7" s="217" t="s">
        <v>24</v>
      </c>
      <c r="AE7" s="214">
        <v>7824.11</v>
      </c>
      <c r="AF7" s="215">
        <v>-4.5</v>
      </c>
      <c r="AG7" s="216">
        <v>-5.9999999999999995E-4</v>
      </c>
      <c r="AH7" s="222">
        <v>4.5</v>
      </c>
    </row>
    <row r="8" spans="1:36" s="1" customFormat="1" ht="31.5" thickBot="1" x14ac:dyDescent="0.25">
      <c r="A8" s="11" t="s">
        <v>5</v>
      </c>
      <c r="B8" s="12" t="s">
        <v>20</v>
      </c>
      <c r="C8" s="12" t="s">
        <v>116</v>
      </c>
      <c r="D8" s="12" t="s">
        <v>6</v>
      </c>
      <c r="E8" s="12">
        <v>6283063</v>
      </c>
      <c r="F8" s="13">
        <v>7770</v>
      </c>
      <c r="G8" s="14">
        <v>45485</v>
      </c>
      <c r="H8" s="15" t="s">
        <v>7</v>
      </c>
      <c r="I8" s="16" t="s">
        <v>16</v>
      </c>
      <c r="J8" s="16">
        <v>6289671</v>
      </c>
      <c r="K8" s="17">
        <v>7670</v>
      </c>
      <c r="L8" s="18">
        <v>45495</v>
      </c>
      <c r="M8" s="19" t="s">
        <v>44</v>
      </c>
      <c r="N8" s="20" t="s">
        <v>115</v>
      </c>
      <c r="O8" s="20"/>
      <c r="P8" s="20">
        <v>25</v>
      </c>
      <c r="Q8" s="21">
        <v>45495</v>
      </c>
      <c r="R8" s="20">
        <v>310</v>
      </c>
      <c r="S8" s="22">
        <v>7637</v>
      </c>
      <c r="T8" s="23">
        <v>5</v>
      </c>
      <c r="V8" s="37">
        <f t="shared" si="0"/>
        <v>7630</v>
      </c>
      <c r="W8" s="28">
        <f t="shared" si="1"/>
        <v>-7</v>
      </c>
      <c r="X8" s="45">
        <f t="shared" si="2"/>
        <v>-40</v>
      </c>
      <c r="Y8" s="199">
        <f t="shared" si="3"/>
        <v>-140</v>
      </c>
      <c r="Z8" s="38">
        <f t="shared" si="4"/>
        <v>-100</v>
      </c>
      <c r="AA8" s="39">
        <f t="shared" si="5"/>
        <v>-33</v>
      </c>
      <c r="AB8" s="58">
        <f t="shared" si="6"/>
        <v>-133</v>
      </c>
      <c r="AD8" s="218" t="s">
        <v>21</v>
      </c>
      <c r="AE8" s="219">
        <v>7712.28</v>
      </c>
      <c r="AF8" s="220">
        <v>-68.150000000000006</v>
      </c>
      <c r="AG8" s="221">
        <v>-8.8000000000000005E-3</v>
      </c>
      <c r="AH8" s="223">
        <v>68.150000000000006</v>
      </c>
    </row>
    <row r="9" spans="1:36" s="1" customFormat="1" ht="31.5" thickTop="1" x14ac:dyDescent="0.2">
      <c r="A9" s="11" t="s">
        <v>5</v>
      </c>
      <c r="B9" s="12" t="s">
        <v>20</v>
      </c>
      <c r="C9" s="12" t="s">
        <v>125</v>
      </c>
      <c r="D9" s="12" t="s">
        <v>6</v>
      </c>
      <c r="E9" s="12">
        <v>6287342</v>
      </c>
      <c r="F9" s="13">
        <v>7900</v>
      </c>
      <c r="G9" s="14">
        <v>45491</v>
      </c>
      <c r="H9" s="15" t="s">
        <v>7</v>
      </c>
      <c r="I9" s="16" t="s">
        <v>27</v>
      </c>
      <c r="J9" s="16">
        <v>6288809</v>
      </c>
      <c r="K9" s="17">
        <v>7799</v>
      </c>
      <c r="L9" s="18">
        <v>45493</v>
      </c>
      <c r="M9" s="19" t="s">
        <v>35</v>
      </c>
      <c r="N9" s="20" t="s">
        <v>36</v>
      </c>
      <c r="O9" s="20"/>
      <c r="P9" s="20">
        <v>25</v>
      </c>
      <c r="Q9" s="21">
        <v>45493</v>
      </c>
      <c r="R9" s="20">
        <v>55</v>
      </c>
      <c r="S9" s="22">
        <v>7778</v>
      </c>
      <c r="T9" s="23">
        <v>90</v>
      </c>
      <c r="V9" s="37">
        <f t="shared" si="0"/>
        <v>7770</v>
      </c>
      <c r="W9" s="28">
        <f t="shared" si="1"/>
        <v>-8</v>
      </c>
      <c r="X9" s="45">
        <f t="shared" si="2"/>
        <v>-29</v>
      </c>
      <c r="Y9" s="199">
        <f t="shared" si="3"/>
        <v>-130</v>
      </c>
      <c r="Z9" s="38">
        <f t="shared" si="4"/>
        <v>-101</v>
      </c>
      <c r="AA9" s="39">
        <f t="shared" si="5"/>
        <v>-21</v>
      </c>
      <c r="AB9" s="58">
        <f t="shared" si="6"/>
        <v>-122</v>
      </c>
    </row>
    <row r="10" spans="1:36" s="1" customFormat="1" x14ac:dyDescent="0.2">
      <c r="A10" s="11" t="s">
        <v>5</v>
      </c>
      <c r="B10" s="12" t="s">
        <v>20</v>
      </c>
      <c r="C10" s="12" t="s">
        <v>173</v>
      </c>
      <c r="D10" s="12" t="s">
        <v>6</v>
      </c>
      <c r="E10" s="12">
        <v>6288855</v>
      </c>
      <c r="F10" s="13">
        <v>7880</v>
      </c>
      <c r="G10" s="14">
        <v>45493</v>
      </c>
      <c r="H10" s="15" t="s">
        <v>7</v>
      </c>
      <c r="I10" s="16" t="s">
        <v>32</v>
      </c>
      <c r="J10" s="16">
        <v>6289029</v>
      </c>
      <c r="K10" s="17">
        <v>7800</v>
      </c>
      <c r="L10" s="18">
        <v>45493</v>
      </c>
      <c r="M10" s="19" t="s">
        <v>44</v>
      </c>
      <c r="N10" s="20" t="s">
        <v>115</v>
      </c>
      <c r="O10" s="20"/>
      <c r="P10" s="20">
        <v>25</v>
      </c>
      <c r="Q10" s="21">
        <v>45497</v>
      </c>
      <c r="R10" s="20">
        <v>55</v>
      </c>
      <c r="S10" s="22">
        <v>7630</v>
      </c>
      <c r="T10" s="23">
        <v>90</v>
      </c>
      <c r="V10" s="37">
        <f t="shared" si="0"/>
        <v>7770</v>
      </c>
      <c r="W10" s="24">
        <f t="shared" si="1"/>
        <v>140</v>
      </c>
      <c r="X10" s="27">
        <f t="shared" si="2"/>
        <v>-30</v>
      </c>
      <c r="Y10" s="200">
        <f t="shared" si="3"/>
        <v>-110</v>
      </c>
      <c r="Z10" s="38">
        <f t="shared" si="4"/>
        <v>-80</v>
      </c>
      <c r="AA10" s="39">
        <f t="shared" si="5"/>
        <v>-170</v>
      </c>
      <c r="AB10" s="58">
        <f t="shared" si="6"/>
        <v>-250</v>
      </c>
    </row>
    <row r="11" spans="1:36" s="1" customFormat="1" x14ac:dyDescent="0.2">
      <c r="A11" s="11" t="s">
        <v>5</v>
      </c>
      <c r="B11" s="12" t="s">
        <v>20</v>
      </c>
      <c r="C11" s="12" t="s">
        <v>221</v>
      </c>
      <c r="D11" s="12" t="s">
        <v>62</v>
      </c>
      <c r="E11" s="12">
        <v>6305424</v>
      </c>
      <c r="F11" s="13">
        <v>7860</v>
      </c>
      <c r="G11" s="14">
        <v>45507</v>
      </c>
      <c r="H11" s="15" t="s">
        <v>7</v>
      </c>
      <c r="I11" s="16" t="s">
        <v>32</v>
      </c>
      <c r="J11" s="16">
        <v>6305603</v>
      </c>
      <c r="K11" s="17">
        <v>7755</v>
      </c>
      <c r="L11" s="18">
        <v>45507</v>
      </c>
      <c r="M11" s="19" t="s">
        <v>39</v>
      </c>
      <c r="N11" s="20" t="s">
        <v>18</v>
      </c>
      <c r="O11" s="20">
        <v>15</v>
      </c>
      <c r="P11" s="20"/>
      <c r="Q11" s="21">
        <v>45507</v>
      </c>
      <c r="R11" s="20">
        <v>55</v>
      </c>
      <c r="S11" s="22">
        <v>7765</v>
      </c>
      <c r="T11" s="23">
        <v>215</v>
      </c>
      <c r="V11" s="37">
        <f t="shared" si="0"/>
        <v>7770</v>
      </c>
      <c r="W11" s="28">
        <f t="shared" si="1"/>
        <v>5</v>
      </c>
      <c r="X11" s="45">
        <f t="shared" si="2"/>
        <v>15</v>
      </c>
      <c r="Y11" s="199">
        <f t="shared" si="3"/>
        <v>-90</v>
      </c>
      <c r="Z11" s="38">
        <f t="shared" si="4"/>
        <v>-105</v>
      </c>
      <c r="AA11" s="39">
        <f t="shared" si="5"/>
        <v>10</v>
      </c>
      <c r="AB11" s="58">
        <f t="shared" si="6"/>
        <v>-95</v>
      </c>
    </row>
    <row r="12" spans="1:36" s="1" customFormat="1" x14ac:dyDescent="0.2">
      <c r="A12" s="11" t="s">
        <v>5</v>
      </c>
      <c r="B12" s="12" t="s">
        <v>20</v>
      </c>
      <c r="C12" s="12" t="s">
        <v>229</v>
      </c>
      <c r="D12" s="12" t="s">
        <v>62</v>
      </c>
      <c r="E12" s="12">
        <v>6306281</v>
      </c>
      <c r="F12" s="13">
        <v>7860</v>
      </c>
      <c r="G12" s="14">
        <v>45509</v>
      </c>
      <c r="H12" s="15" t="s">
        <v>7</v>
      </c>
      <c r="I12" s="16" t="s">
        <v>27</v>
      </c>
      <c r="J12" s="16">
        <v>6306487</v>
      </c>
      <c r="K12" s="17">
        <v>7760</v>
      </c>
      <c r="L12" s="18">
        <v>45509</v>
      </c>
      <c r="M12" s="19" t="s">
        <v>39</v>
      </c>
      <c r="N12" s="20" t="s">
        <v>18</v>
      </c>
      <c r="O12" s="20">
        <v>15</v>
      </c>
      <c r="P12" s="20"/>
      <c r="Q12" s="21">
        <v>45509</v>
      </c>
      <c r="R12" s="20">
        <v>55</v>
      </c>
      <c r="S12" s="22">
        <v>7770</v>
      </c>
      <c r="T12" s="23">
        <v>220</v>
      </c>
      <c r="V12" s="37">
        <f t="shared" si="0"/>
        <v>7775</v>
      </c>
      <c r="W12" s="28">
        <f t="shared" si="1"/>
        <v>5</v>
      </c>
      <c r="X12" s="45">
        <f t="shared" si="2"/>
        <v>15</v>
      </c>
      <c r="Y12" s="199">
        <f t="shared" si="3"/>
        <v>-85</v>
      </c>
      <c r="Z12" s="38">
        <f t="shared" si="4"/>
        <v>-100</v>
      </c>
      <c r="AA12" s="39">
        <f t="shared" si="5"/>
        <v>10</v>
      </c>
      <c r="AB12" s="58">
        <f t="shared" si="6"/>
        <v>-90</v>
      </c>
    </row>
    <row r="13" spans="1:36" s="1" customFormat="1" x14ac:dyDescent="0.2">
      <c r="A13" s="11" t="s">
        <v>5</v>
      </c>
      <c r="B13" s="12" t="s">
        <v>20</v>
      </c>
      <c r="C13" s="12" t="s">
        <v>236</v>
      </c>
      <c r="D13" s="12" t="s">
        <v>231</v>
      </c>
      <c r="E13" s="12">
        <v>6306848</v>
      </c>
      <c r="F13" s="13">
        <v>7585</v>
      </c>
      <c r="G13" s="14">
        <v>45509</v>
      </c>
      <c r="H13" s="15" t="s">
        <v>7</v>
      </c>
      <c r="I13" s="16" t="s">
        <v>16</v>
      </c>
      <c r="J13" s="16">
        <v>6307003</v>
      </c>
      <c r="K13" s="17">
        <v>7590</v>
      </c>
      <c r="L13" s="18">
        <v>45509</v>
      </c>
      <c r="M13" s="19" t="s">
        <v>39</v>
      </c>
      <c r="N13" s="20" t="s">
        <v>51</v>
      </c>
      <c r="O13" s="20">
        <v>15</v>
      </c>
      <c r="P13" s="20"/>
      <c r="Q13" s="21">
        <v>45509</v>
      </c>
      <c r="R13" s="20">
        <v>55</v>
      </c>
      <c r="S13" s="22">
        <v>7610</v>
      </c>
      <c r="T13" s="23">
        <v>60</v>
      </c>
      <c r="V13" s="37">
        <f t="shared" si="0"/>
        <v>7615</v>
      </c>
      <c r="W13" s="28">
        <f t="shared" si="1"/>
        <v>5</v>
      </c>
      <c r="X13" s="45">
        <f t="shared" si="2"/>
        <v>25</v>
      </c>
      <c r="Y13" s="199">
        <f t="shared" si="3"/>
        <v>30</v>
      </c>
      <c r="Z13" s="38">
        <f t="shared" si="4"/>
        <v>5</v>
      </c>
      <c r="AA13" s="39">
        <f t="shared" si="5"/>
        <v>20</v>
      </c>
      <c r="AB13" s="58">
        <f t="shared" si="6"/>
        <v>25</v>
      </c>
    </row>
    <row r="14" spans="1:36" s="1" customFormat="1" x14ac:dyDescent="0.2">
      <c r="A14" s="11" t="s">
        <v>5</v>
      </c>
      <c r="B14" s="12" t="s">
        <v>20</v>
      </c>
      <c r="C14" s="12" t="s">
        <v>237</v>
      </c>
      <c r="D14" s="12" t="s">
        <v>231</v>
      </c>
      <c r="E14" s="12">
        <v>6306899</v>
      </c>
      <c r="F14" s="13">
        <v>7700</v>
      </c>
      <c r="G14" s="14">
        <v>45509</v>
      </c>
      <c r="H14" s="15" t="s">
        <v>7</v>
      </c>
      <c r="I14" s="16" t="s">
        <v>101</v>
      </c>
      <c r="J14" s="16">
        <v>6307234</v>
      </c>
      <c r="K14" s="17">
        <v>7700</v>
      </c>
      <c r="L14" s="18">
        <v>45509</v>
      </c>
      <c r="M14" s="19" t="s">
        <v>39</v>
      </c>
      <c r="N14" s="20" t="s">
        <v>238</v>
      </c>
      <c r="O14" s="20">
        <v>15</v>
      </c>
      <c r="P14" s="20"/>
      <c r="Q14" s="21">
        <v>45509</v>
      </c>
      <c r="R14" s="20">
        <v>500</v>
      </c>
      <c r="S14" s="22">
        <v>7716</v>
      </c>
      <c r="T14" s="23">
        <v>216</v>
      </c>
      <c r="V14" s="37">
        <f t="shared" si="0"/>
        <v>7716</v>
      </c>
      <c r="W14" s="28">
        <f t="shared" si="1"/>
        <v>0</v>
      </c>
      <c r="X14" s="26">
        <f t="shared" si="2"/>
        <v>16</v>
      </c>
      <c r="Y14" s="200">
        <f t="shared" si="3"/>
        <v>16</v>
      </c>
      <c r="Z14" s="38">
        <f t="shared" si="4"/>
        <v>0</v>
      </c>
      <c r="AA14" s="39">
        <f t="shared" si="5"/>
        <v>16</v>
      </c>
      <c r="AB14" s="58">
        <f t="shared" si="6"/>
        <v>16</v>
      </c>
    </row>
    <row r="15" spans="1:36" s="1" customFormat="1" x14ac:dyDescent="0.2">
      <c r="A15" s="11" t="s">
        <v>5</v>
      </c>
      <c r="B15" s="12" t="s">
        <v>20</v>
      </c>
      <c r="C15" s="12" t="s">
        <v>239</v>
      </c>
      <c r="D15" s="12" t="s">
        <v>218</v>
      </c>
      <c r="E15" s="12">
        <v>6308470</v>
      </c>
      <c r="F15" s="13">
        <v>7660</v>
      </c>
      <c r="G15" s="14">
        <v>45510</v>
      </c>
      <c r="H15" s="15" t="s">
        <v>7</v>
      </c>
      <c r="I15" s="16" t="s">
        <v>16</v>
      </c>
      <c r="J15" s="16">
        <v>6308681</v>
      </c>
      <c r="K15" s="17">
        <v>7680</v>
      </c>
      <c r="L15" s="18">
        <v>45510</v>
      </c>
      <c r="M15" s="19" t="s">
        <v>39</v>
      </c>
      <c r="N15" s="20" t="s">
        <v>51</v>
      </c>
      <c r="O15" s="20">
        <v>15</v>
      </c>
      <c r="P15" s="20"/>
      <c r="Q15" s="21">
        <v>45510</v>
      </c>
      <c r="R15" s="20">
        <v>500</v>
      </c>
      <c r="S15" s="22">
        <v>7680</v>
      </c>
      <c r="T15" s="23">
        <v>180</v>
      </c>
      <c r="V15" s="37">
        <f t="shared" si="0"/>
        <v>7680</v>
      </c>
      <c r="W15" s="28">
        <f t="shared" si="1"/>
        <v>0</v>
      </c>
      <c r="X15" s="45">
        <f t="shared" si="2"/>
        <v>0</v>
      </c>
      <c r="Y15" s="199">
        <f t="shared" si="3"/>
        <v>20</v>
      </c>
      <c r="Z15" s="38">
        <f t="shared" si="4"/>
        <v>20</v>
      </c>
      <c r="AA15" s="39">
        <f t="shared" si="5"/>
        <v>0</v>
      </c>
      <c r="AB15" s="58">
        <f t="shared" si="6"/>
        <v>20</v>
      </c>
    </row>
    <row r="16" spans="1:36" s="1" customFormat="1" x14ac:dyDescent="0.2">
      <c r="A16" s="11" t="s">
        <v>5</v>
      </c>
      <c r="B16" s="12" t="s">
        <v>20</v>
      </c>
      <c r="C16" s="12" t="s">
        <v>241</v>
      </c>
      <c r="D16" s="12" t="s">
        <v>62</v>
      </c>
      <c r="E16" s="12">
        <v>6306337</v>
      </c>
      <c r="F16" s="13">
        <v>7740</v>
      </c>
      <c r="G16" s="14">
        <v>45509</v>
      </c>
      <c r="H16" s="15" t="s">
        <v>48</v>
      </c>
      <c r="I16" s="16" t="s">
        <v>63</v>
      </c>
      <c r="J16" s="16">
        <v>6309424</v>
      </c>
      <c r="K16" s="17">
        <v>7660</v>
      </c>
      <c r="L16" s="18">
        <v>45511</v>
      </c>
      <c r="M16" s="19" t="s">
        <v>44</v>
      </c>
      <c r="N16" s="20" t="s">
        <v>115</v>
      </c>
      <c r="O16" s="20"/>
      <c r="P16" s="20">
        <v>24</v>
      </c>
      <c r="Q16" s="21">
        <v>45511</v>
      </c>
      <c r="R16" s="20">
        <v>110</v>
      </c>
      <c r="S16" s="22">
        <v>7610</v>
      </c>
      <c r="T16" s="23">
        <v>360</v>
      </c>
      <c r="V16" s="37">
        <f t="shared" si="0"/>
        <v>7680</v>
      </c>
      <c r="W16" s="24">
        <f t="shared" si="1"/>
        <v>70</v>
      </c>
      <c r="X16" s="27">
        <f t="shared" si="2"/>
        <v>20</v>
      </c>
      <c r="Y16" s="47">
        <f t="shared" si="3"/>
        <v>-60</v>
      </c>
      <c r="Z16" s="38">
        <f t="shared" si="4"/>
        <v>-80</v>
      </c>
      <c r="AA16" s="39">
        <f t="shared" si="5"/>
        <v>-50</v>
      </c>
      <c r="AB16" s="39">
        <f t="shared" si="6"/>
        <v>-130</v>
      </c>
    </row>
    <row r="17" spans="1:32" s="1" customFormat="1" x14ac:dyDescent="0.2">
      <c r="A17" s="11"/>
      <c r="B17" s="12" t="s">
        <v>20</v>
      </c>
      <c r="C17" s="12" t="s">
        <v>243</v>
      </c>
      <c r="D17" s="12" t="s">
        <v>218</v>
      </c>
      <c r="E17" s="12">
        <v>6308601</v>
      </c>
      <c r="F17" s="13">
        <v>7780</v>
      </c>
      <c r="G17" s="14">
        <v>45510</v>
      </c>
      <c r="H17" s="15" t="s">
        <v>31</v>
      </c>
      <c r="I17" s="16" t="s">
        <v>43</v>
      </c>
      <c r="J17" s="16">
        <v>6310606</v>
      </c>
      <c r="K17" s="17">
        <v>7780</v>
      </c>
      <c r="L17" s="18">
        <v>45511</v>
      </c>
      <c r="M17" s="19" t="s">
        <v>39</v>
      </c>
      <c r="N17" s="20" t="s">
        <v>18</v>
      </c>
      <c r="O17" s="20">
        <v>15</v>
      </c>
      <c r="P17" s="20"/>
      <c r="Q17" s="21">
        <v>45512</v>
      </c>
      <c r="R17" s="20">
        <v>190</v>
      </c>
      <c r="S17" s="22">
        <v>7698</v>
      </c>
      <c r="T17" s="23">
        <v>190</v>
      </c>
      <c r="V17" s="37">
        <f t="shared" si="0"/>
        <v>7690</v>
      </c>
      <c r="W17" s="28">
        <f t="shared" si="1"/>
        <v>-8</v>
      </c>
      <c r="X17" s="26">
        <f t="shared" si="2"/>
        <v>-90</v>
      </c>
      <c r="Y17" s="47">
        <f t="shared" si="3"/>
        <v>-90</v>
      </c>
      <c r="Z17" s="38">
        <f t="shared" si="4"/>
        <v>0</v>
      </c>
      <c r="AA17" s="39">
        <f t="shared" si="5"/>
        <v>-82</v>
      </c>
      <c r="AB17" s="39">
        <f t="shared" si="6"/>
        <v>-82</v>
      </c>
    </row>
    <row r="18" spans="1:32" s="1" customFormat="1" x14ac:dyDescent="0.2">
      <c r="A18" s="11" t="s">
        <v>5</v>
      </c>
      <c r="B18" s="12" t="s">
        <v>20</v>
      </c>
      <c r="C18" s="12" t="s">
        <v>256</v>
      </c>
      <c r="D18" s="12" t="s">
        <v>218</v>
      </c>
      <c r="E18" s="12">
        <v>6309941</v>
      </c>
      <c r="F18" s="13">
        <v>7660</v>
      </c>
      <c r="G18" s="14">
        <v>45511</v>
      </c>
      <c r="H18" s="15" t="s">
        <v>163</v>
      </c>
      <c r="I18" s="16" t="s">
        <v>8</v>
      </c>
      <c r="J18" s="16">
        <v>6310390</v>
      </c>
      <c r="K18" s="17">
        <v>7660</v>
      </c>
      <c r="L18" s="18">
        <v>45511</v>
      </c>
      <c r="M18" s="19" t="s">
        <v>35</v>
      </c>
      <c r="N18" s="20" t="s">
        <v>79</v>
      </c>
      <c r="O18" s="20">
        <v>15</v>
      </c>
      <c r="P18" s="20"/>
      <c r="Q18" s="21">
        <v>45511</v>
      </c>
      <c r="R18" s="20">
        <v>110</v>
      </c>
      <c r="S18" s="22">
        <v>7660</v>
      </c>
      <c r="T18" s="23">
        <v>40</v>
      </c>
      <c r="V18" s="37">
        <f t="shared" si="0"/>
        <v>7650</v>
      </c>
      <c r="W18" s="24">
        <f t="shared" si="1"/>
        <v>-10</v>
      </c>
      <c r="X18" s="45">
        <f t="shared" si="2"/>
        <v>-10</v>
      </c>
      <c r="Y18" s="47">
        <f t="shared" si="3"/>
        <v>-10</v>
      </c>
      <c r="Z18" s="38">
        <f t="shared" si="4"/>
        <v>0</v>
      </c>
      <c r="AA18" s="39">
        <f t="shared" si="5"/>
        <v>0</v>
      </c>
      <c r="AB18" s="39">
        <f t="shared" si="6"/>
        <v>0</v>
      </c>
      <c r="AC18" s="209"/>
    </row>
    <row r="19" spans="1:32" s="1" customFormat="1" x14ac:dyDescent="0.2">
      <c r="A19" s="11" t="s">
        <v>5</v>
      </c>
      <c r="B19" s="12" t="s">
        <v>20</v>
      </c>
      <c r="C19" s="12" t="s">
        <v>274</v>
      </c>
      <c r="D19" s="12" t="s">
        <v>62</v>
      </c>
      <c r="E19" s="12">
        <v>6314229</v>
      </c>
      <c r="F19" s="13">
        <v>7660</v>
      </c>
      <c r="G19" s="14">
        <v>45514</v>
      </c>
      <c r="H19" s="15" t="s">
        <v>7</v>
      </c>
      <c r="I19" s="16" t="s">
        <v>16</v>
      </c>
      <c r="J19" s="16">
        <v>6315955</v>
      </c>
      <c r="K19" s="17">
        <v>7670</v>
      </c>
      <c r="L19" s="18">
        <v>45516</v>
      </c>
      <c r="M19" s="19" t="s">
        <v>39</v>
      </c>
      <c r="N19" s="20" t="s">
        <v>18</v>
      </c>
      <c r="O19" s="20">
        <v>15</v>
      </c>
      <c r="P19" s="20"/>
      <c r="Q19" s="21">
        <v>45516</v>
      </c>
      <c r="R19" s="20">
        <v>55</v>
      </c>
      <c r="S19" s="22">
        <v>7698</v>
      </c>
      <c r="T19" s="23">
        <v>123</v>
      </c>
      <c r="V19" s="37">
        <f t="shared" si="0"/>
        <v>7678</v>
      </c>
      <c r="W19" s="24">
        <f t="shared" si="1"/>
        <v>-20</v>
      </c>
      <c r="X19" s="27">
        <f t="shared" si="2"/>
        <v>8</v>
      </c>
      <c r="Y19" s="47">
        <f t="shared" si="3"/>
        <v>18</v>
      </c>
      <c r="Z19" s="38">
        <f t="shared" si="4"/>
        <v>10</v>
      </c>
      <c r="AA19" s="39">
        <f t="shared" si="5"/>
        <v>28</v>
      </c>
      <c r="AB19" s="39">
        <f t="shared" si="6"/>
        <v>38</v>
      </c>
      <c r="AC19" s="209"/>
    </row>
    <row r="20" spans="1:32" s="1" customFormat="1" x14ac:dyDescent="0.2">
      <c r="A20" s="11" t="s">
        <v>5</v>
      </c>
      <c r="B20" s="12" t="s">
        <v>20</v>
      </c>
      <c r="C20" s="12" t="s">
        <v>275</v>
      </c>
      <c r="D20" s="12" t="s">
        <v>15</v>
      </c>
      <c r="E20" s="12">
        <v>6314059</v>
      </c>
      <c r="F20" s="13">
        <v>7660</v>
      </c>
      <c r="G20" s="14">
        <v>45513</v>
      </c>
      <c r="H20" s="15" t="s">
        <v>48</v>
      </c>
      <c r="I20" s="16" t="s">
        <v>32</v>
      </c>
      <c r="J20" s="16">
        <v>6315902</v>
      </c>
      <c r="K20" s="17">
        <v>7670</v>
      </c>
      <c r="L20" s="18">
        <v>45516</v>
      </c>
      <c r="M20" s="19" t="s">
        <v>39</v>
      </c>
      <c r="N20" s="20" t="s">
        <v>18</v>
      </c>
      <c r="O20" s="20">
        <v>15</v>
      </c>
      <c r="P20" s="20"/>
      <c r="Q20" s="21">
        <v>45516</v>
      </c>
      <c r="R20" s="20">
        <v>55</v>
      </c>
      <c r="S20" s="22">
        <v>7685</v>
      </c>
      <c r="T20" s="23">
        <v>130</v>
      </c>
      <c r="V20" s="37">
        <f t="shared" si="0"/>
        <v>7685</v>
      </c>
      <c r="W20" s="28">
        <f t="shared" si="1"/>
        <v>0</v>
      </c>
      <c r="X20" s="45">
        <f t="shared" si="2"/>
        <v>15</v>
      </c>
      <c r="Y20" s="204">
        <f t="shared" si="3"/>
        <v>25</v>
      </c>
      <c r="Z20" s="38">
        <f t="shared" si="4"/>
        <v>10</v>
      </c>
      <c r="AA20" s="39">
        <f t="shared" si="5"/>
        <v>15</v>
      </c>
      <c r="AB20" s="39">
        <f t="shared" si="6"/>
        <v>25</v>
      </c>
      <c r="AC20" s="209"/>
    </row>
    <row r="21" spans="1:32" s="1" customFormat="1" x14ac:dyDescent="0.2">
      <c r="A21" s="11" t="s">
        <v>135</v>
      </c>
      <c r="B21" s="12" t="s">
        <v>20</v>
      </c>
      <c r="C21" s="12" t="s">
        <v>276</v>
      </c>
      <c r="D21" s="12" t="s">
        <v>62</v>
      </c>
      <c r="E21" s="12">
        <v>6312581</v>
      </c>
      <c r="F21" s="13">
        <v>7660</v>
      </c>
      <c r="G21" s="14">
        <v>45513</v>
      </c>
      <c r="H21" s="15" t="s">
        <v>48</v>
      </c>
      <c r="I21" s="16" t="s">
        <v>32</v>
      </c>
      <c r="J21" s="16">
        <v>6314524</v>
      </c>
      <c r="K21" s="17">
        <v>7700</v>
      </c>
      <c r="L21" s="18">
        <v>45514</v>
      </c>
      <c r="M21" s="19" t="s">
        <v>39</v>
      </c>
      <c r="N21" s="20" t="s">
        <v>18</v>
      </c>
      <c r="O21" s="20">
        <v>15</v>
      </c>
      <c r="P21" s="20"/>
      <c r="Q21" s="21">
        <v>45514</v>
      </c>
      <c r="R21" s="20">
        <v>500</v>
      </c>
      <c r="S21" s="22">
        <v>7680</v>
      </c>
      <c r="T21" s="23">
        <v>180</v>
      </c>
      <c r="V21" s="37">
        <f t="shared" si="0"/>
        <v>7680</v>
      </c>
      <c r="W21" s="28">
        <f t="shared" si="1"/>
        <v>0</v>
      </c>
      <c r="X21" s="26">
        <f t="shared" si="2"/>
        <v>-20</v>
      </c>
      <c r="Y21" s="47">
        <f t="shared" si="3"/>
        <v>20</v>
      </c>
      <c r="Z21" s="38">
        <f t="shared" si="4"/>
        <v>40</v>
      </c>
      <c r="AA21" s="39">
        <f t="shared" si="5"/>
        <v>-20</v>
      </c>
      <c r="AB21" s="39">
        <f t="shared" si="6"/>
        <v>20</v>
      </c>
      <c r="AC21" s="209"/>
    </row>
    <row r="22" spans="1:32" s="1" customFormat="1" x14ac:dyDescent="0.2">
      <c r="A22" s="11" t="s">
        <v>135</v>
      </c>
      <c r="B22" s="12" t="s">
        <v>20</v>
      </c>
      <c r="C22" s="12" t="s">
        <v>277</v>
      </c>
      <c r="D22" s="12" t="s">
        <v>62</v>
      </c>
      <c r="E22" s="12">
        <v>6312503</v>
      </c>
      <c r="F22" s="13">
        <v>7660</v>
      </c>
      <c r="G22" s="14">
        <v>45513</v>
      </c>
      <c r="H22" s="15" t="s">
        <v>48</v>
      </c>
      <c r="I22" s="16" t="s">
        <v>63</v>
      </c>
      <c r="J22" s="16">
        <v>6314188</v>
      </c>
      <c r="K22" s="17">
        <v>7716</v>
      </c>
      <c r="L22" s="18">
        <v>45514</v>
      </c>
      <c r="M22" s="19" t="s">
        <v>39</v>
      </c>
      <c r="N22" s="20" t="s">
        <v>238</v>
      </c>
      <c r="O22" s="20">
        <v>15</v>
      </c>
      <c r="P22" s="20"/>
      <c r="Q22" s="21">
        <v>45514</v>
      </c>
      <c r="R22" s="20">
        <v>110</v>
      </c>
      <c r="S22" s="22">
        <v>7665</v>
      </c>
      <c r="T22" s="23">
        <v>55</v>
      </c>
      <c r="V22" s="37">
        <f t="shared" si="0"/>
        <v>7665</v>
      </c>
      <c r="W22" s="28">
        <f t="shared" si="1"/>
        <v>0</v>
      </c>
      <c r="X22" s="26">
        <f t="shared" si="2"/>
        <v>-51</v>
      </c>
      <c r="Y22" s="47">
        <f t="shared" si="3"/>
        <v>5</v>
      </c>
      <c r="Z22" s="38">
        <f t="shared" si="4"/>
        <v>56</v>
      </c>
      <c r="AA22" s="39">
        <f t="shared" si="5"/>
        <v>-51</v>
      </c>
      <c r="AB22" s="39">
        <f t="shared" si="6"/>
        <v>5</v>
      </c>
      <c r="AC22" s="209"/>
    </row>
    <row r="23" spans="1:32" s="1" customFormat="1" x14ac:dyDescent="0.2">
      <c r="A23" s="11" t="s">
        <v>135</v>
      </c>
      <c r="B23" s="12" t="s">
        <v>20</v>
      </c>
      <c r="C23" s="12" t="s">
        <v>278</v>
      </c>
      <c r="D23" s="12" t="s">
        <v>15</v>
      </c>
      <c r="E23" s="12">
        <v>6313854</v>
      </c>
      <c r="F23" s="13">
        <v>7680</v>
      </c>
      <c r="G23" s="14">
        <v>45513</v>
      </c>
      <c r="H23" s="15" t="s">
        <v>48</v>
      </c>
      <c r="I23" s="16" t="s">
        <v>63</v>
      </c>
      <c r="J23" s="16">
        <v>6314416</v>
      </c>
      <c r="K23" s="17">
        <v>7714</v>
      </c>
      <c r="L23" s="18">
        <v>45514</v>
      </c>
      <c r="M23" s="19" t="s">
        <v>39</v>
      </c>
      <c r="N23" s="20" t="s">
        <v>18</v>
      </c>
      <c r="O23" s="20">
        <v>15</v>
      </c>
      <c r="P23" s="20"/>
      <c r="Q23" s="21">
        <v>45514</v>
      </c>
      <c r="R23" s="20">
        <v>110</v>
      </c>
      <c r="S23" s="22">
        <v>7686</v>
      </c>
      <c r="T23" s="23">
        <v>76</v>
      </c>
      <c r="V23" s="37">
        <f t="shared" si="0"/>
        <v>7686</v>
      </c>
      <c r="W23" s="28">
        <f t="shared" si="1"/>
        <v>0</v>
      </c>
      <c r="X23" s="26">
        <f t="shared" si="2"/>
        <v>-28</v>
      </c>
      <c r="Y23" s="47">
        <f t="shared" si="3"/>
        <v>6</v>
      </c>
      <c r="Z23" s="38">
        <f t="shared" si="4"/>
        <v>34</v>
      </c>
      <c r="AA23" s="39">
        <f t="shared" si="5"/>
        <v>-28</v>
      </c>
      <c r="AB23" s="39">
        <f t="shared" si="6"/>
        <v>6</v>
      </c>
      <c r="AC23" s="209"/>
    </row>
    <row r="24" spans="1:32" s="1" customFormat="1" x14ac:dyDescent="0.2">
      <c r="A24" s="11" t="s">
        <v>135</v>
      </c>
      <c r="B24" s="12" t="s">
        <v>20</v>
      </c>
      <c r="C24" s="12" t="s">
        <v>279</v>
      </c>
      <c r="D24" s="12" t="s">
        <v>15</v>
      </c>
      <c r="E24" s="12">
        <v>6312088</v>
      </c>
      <c r="F24" s="13">
        <v>7660</v>
      </c>
      <c r="G24" s="14">
        <v>45512</v>
      </c>
      <c r="H24" s="15" t="s">
        <v>48</v>
      </c>
      <c r="I24" s="16" t="s">
        <v>63</v>
      </c>
      <c r="J24" s="16">
        <v>6314333</v>
      </c>
      <c r="K24" s="17">
        <v>7686</v>
      </c>
      <c r="L24" s="18">
        <v>45514</v>
      </c>
      <c r="M24" s="19" t="s">
        <v>39</v>
      </c>
      <c r="N24" s="20" t="s">
        <v>18</v>
      </c>
      <c r="O24" s="20">
        <v>15</v>
      </c>
      <c r="P24" s="20"/>
      <c r="Q24" s="21">
        <v>45514</v>
      </c>
      <c r="R24" s="20">
        <v>110</v>
      </c>
      <c r="S24" s="22">
        <v>7666</v>
      </c>
      <c r="T24" s="23">
        <v>56</v>
      </c>
      <c r="V24" s="37">
        <f t="shared" si="0"/>
        <v>7666</v>
      </c>
      <c r="W24" s="28">
        <f t="shared" si="1"/>
        <v>0</v>
      </c>
      <c r="X24" s="26">
        <f t="shared" si="2"/>
        <v>-20</v>
      </c>
      <c r="Y24" s="47">
        <f t="shared" si="3"/>
        <v>6</v>
      </c>
      <c r="Z24" s="38">
        <f t="shared" si="4"/>
        <v>26</v>
      </c>
      <c r="AA24" s="39">
        <f t="shared" si="5"/>
        <v>-20</v>
      </c>
      <c r="AB24" s="39">
        <f t="shared" si="6"/>
        <v>6</v>
      </c>
      <c r="AC24" s="209"/>
    </row>
    <row r="25" spans="1:32" s="1" customFormat="1" x14ac:dyDescent="0.2">
      <c r="A25" s="11" t="s">
        <v>5</v>
      </c>
      <c r="B25" s="12" t="s">
        <v>20</v>
      </c>
      <c r="C25" s="12" t="s">
        <v>281</v>
      </c>
      <c r="D25" s="12" t="s">
        <v>218</v>
      </c>
      <c r="E25" s="12">
        <v>6311562</v>
      </c>
      <c r="F25" s="13">
        <v>7660</v>
      </c>
      <c r="G25" s="14">
        <v>45512</v>
      </c>
      <c r="H25" s="15" t="s">
        <v>163</v>
      </c>
      <c r="I25" s="16" t="s">
        <v>8</v>
      </c>
      <c r="J25" s="16">
        <v>6313951</v>
      </c>
      <c r="K25" s="17">
        <v>7685</v>
      </c>
      <c r="L25" s="18">
        <v>45513</v>
      </c>
      <c r="M25" s="19" t="s">
        <v>17</v>
      </c>
      <c r="N25" s="20" t="s">
        <v>247</v>
      </c>
      <c r="O25" s="20"/>
      <c r="P25" s="20">
        <v>25</v>
      </c>
      <c r="Q25" s="21">
        <v>45514</v>
      </c>
      <c r="R25" s="20">
        <v>310</v>
      </c>
      <c r="S25" s="22">
        <v>7699</v>
      </c>
      <c r="T25" s="23">
        <v>55</v>
      </c>
      <c r="V25" s="37">
        <f t="shared" si="0"/>
        <v>7680</v>
      </c>
      <c r="W25" s="46">
        <f t="shared" si="1"/>
        <v>-19</v>
      </c>
      <c r="X25" s="27">
        <f t="shared" si="2"/>
        <v>-5</v>
      </c>
      <c r="Y25" s="204">
        <f t="shared" si="3"/>
        <v>20</v>
      </c>
      <c r="Z25" s="38">
        <f t="shared" si="4"/>
        <v>25</v>
      </c>
      <c r="AA25" s="39">
        <f t="shared" si="5"/>
        <v>14</v>
      </c>
      <c r="AB25" s="39">
        <f t="shared" si="6"/>
        <v>39</v>
      </c>
      <c r="AC25" s="209"/>
    </row>
    <row r="26" spans="1:32" s="1" customFormat="1" x14ac:dyDescent="0.2">
      <c r="A26" s="11" t="s">
        <v>5</v>
      </c>
      <c r="B26" s="12" t="s">
        <v>20</v>
      </c>
      <c r="C26" s="12" t="s">
        <v>284</v>
      </c>
      <c r="D26" s="12" t="s">
        <v>15</v>
      </c>
      <c r="E26" s="12">
        <v>6315170</v>
      </c>
      <c r="F26" s="13">
        <v>7660</v>
      </c>
      <c r="G26" s="14">
        <v>45514</v>
      </c>
      <c r="H26" s="15" t="s">
        <v>48</v>
      </c>
      <c r="I26" s="16" t="s">
        <v>32</v>
      </c>
      <c r="J26" s="16">
        <v>6315950</v>
      </c>
      <c r="K26" s="17">
        <v>7670</v>
      </c>
      <c r="L26" s="18">
        <v>45516</v>
      </c>
      <c r="M26" s="19" t="s">
        <v>35</v>
      </c>
      <c r="N26" s="20" t="s">
        <v>79</v>
      </c>
      <c r="O26" s="20">
        <v>15</v>
      </c>
      <c r="P26" s="20"/>
      <c r="Q26" s="21">
        <v>45516</v>
      </c>
      <c r="R26" s="20">
        <v>55</v>
      </c>
      <c r="S26" s="22">
        <v>7675</v>
      </c>
      <c r="T26" s="23">
        <v>118</v>
      </c>
      <c r="V26" s="37">
        <f t="shared" si="0"/>
        <v>7673</v>
      </c>
      <c r="W26" s="28">
        <f t="shared" si="1"/>
        <v>-2</v>
      </c>
      <c r="X26" s="45">
        <f t="shared" si="2"/>
        <v>3</v>
      </c>
      <c r="Y26" s="204">
        <f t="shared" si="3"/>
        <v>13</v>
      </c>
      <c r="Z26" s="38">
        <f t="shared" si="4"/>
        <v>10</v>
      </c>
      <c r="AA26" s="39">
        <f t="shared" si="5"/>
        <v>5</v>
      </c>
      <c r="AB26" s="39">
        <f t="shared" si="6"/>
        <v>15</v>
      </c>
      <c r="AC26" s="209"/>
    </row>
    <row r="27" spans="1:32" s="1" customFormat="1" x14ac:dyDescent="0.2">
      <c r="A27" s="11" t="s">
        <v>5</v>
      </c>
      <c r="B27" s="12" t="s">
        <v>20</v>
      </c>
      <c r="C27" s="12" t="s">
        <v>286</v>
      </c>
      <c r="D27" s="12" t="s">
        <v>62</v>
      </c>
      <c r="E27" s="12">
        <v>6314387</v>
      </c>
      <c r="F27" s="13">
        <v>7660</v>
      </c>
      <c r="G27" s="14">
        <v>45514</v>
      </c>
      <c r="H27" s="15" t="s">
        <v>48</v>
      </c>
      <c r="I27" s="16" t="s">
        <v>32</v>
      </c>
      <c r="J27" s="16">
        <v>6315997</v>
      </c>
      <c r="K27" s="17">
        <v>7680</v>
      </c>
      <c r="L27" s="18">
        <v>45516</v>
      </c>
      <c r="M27" s="19" t="s">
        <v>35</v>
      </c>
      <c r="N27" s="20" t="s">
        <v>79</v>
      </c>
      <c r="O27" s="20">
        <v>15</v>
      </c>
      <c r="P27" s="20"/>
      <c r="Q27" s="21">
        <v>45516</v>
      </c>
      <c r="R27" s="20">
        <v>55</v>
      </c>
      <c r="S27" s="22">
        <v>7689</v>
      </c>
      <c r="T27" s="23">
        <v>132</v>
      </c>
      <c r="V27" s="37">
        <f t="shared" si="0"/>
        <v>7687</v>
      </c>
      <c r="W27" s="28">
        <f t="shared" si="1"/>
        <v>-2</v>
      </c>
      <c r="X27" s="45">
        <f t="shared" si="2"/>
        <v>7</v>
      </c>
      <c r="Y27" s="204">
        <f t="shared" si="3"/>
        <v>27</v>
      </c>
      <c r="Z27" s="38">
        <f t="shared" si="4"/>
        <v>20</v>
      </c>
      <c r="AA27" s="39">
        <f t="shared" si="5"/>
        <v>9</v>
      </c>
      <c r="AB27" s="39">
        <f t="shared" si="6"/>
        <v>29</v>
      </c>
      <c r="AC27" s="209"/>
    </row>
    <row r="28" spans="1:32" s="1" customFormat="1" x14ac:dyDescent="0.2">
      <c r="A28" s="11"/>
      <c r="B28" s="12" t="s">
        <v>20</v>
      </c>
      <c r="C28" s="12" t="s">
        <v>287</v>
      </c>
      <c r="D28" s="12" t="s">
        <v>67</v>
      </c>
      <c r="E28" s="12">
        <v>6314599</v>
      </c>
      <c r="F28" s="13">
        <v>7660</v>
      </c>
      <c r="G28" s="14">
        <v>45514</v>
      </c>
      <c r="H28" s="15" t="s">
        <v>7</v>
      </c>
      <c r="I28" s="16" t="s">
        <v>101</v>
      </c>
      <c r="J28" s="16">
        <v>6316144</v>
      </c>
      <c r="K28" s="17">
        <v>7670</v>
      </c>
      <c r="L28" s="18">
        <v>45516</v>
      </c>
      <c r="M28" s="19" t="s">
        <v>39</v>
      </c>
      <c r="N28" s="20" t="s">
        <v>115</v>
      </c>
      <c r="O28" s="20">
        <v>15</v>
      </c>
      <c r="P28" s="20"/>
      <c r="Q28" s="21">
        <v>45516</v>
      </c>
      <c r="R28" s="20">
        <v>55</v>
      </c>
      <c r="S28" s="22">
        <v>7697</v>
      </c>
      <c r="T28" s="23">
        <v>118</v>
      </c>
      <c r="V28" s="37">
        <f t="shared" si="0"/>
        <v>7673</v>
      </c>
      <c r="W28" s="24">
        <f t="shared" si="1"/>
        <v>-24</v>
      </c>
      <c r="X28" s="27">
        <f t="shared" si="2"/>
        <v>3</v>
      </c>
      <c r="Y28" s="47">
        <f t="shared" si="3"/>
        <v>13</v>
      </c>
      <c r="Z28" s="38">
        <f t="shared" si="4"/>
        <v>10</v>
      </c>
      <c r="AA28" s="39">
        <f t="shared" si="5"/>
        <v>27</v>
      </c>
      <c r="AB28" s="39">
        <f t="shared" si="6"/>
        <v>37</v>
      </c>
      <c r="AC28" s="209"/>
    </row>
    <row r="29" spans="1:32" ht="30.75" customHeight="1" x14ac:dyDescent="0.2">
      <c r="A29" s="209"/>
      <c r="B29" s="209"/>
      <c r="C29" s="209"/>
      <c r="D29" s="209"/>
      <c r="E29" s="209"/>
      <c r="F29" s="213"/>
      <c r="G29" s="153"/>
      <c r="H29" s="209"/>
      <c r="I29" s="209"/>
      <c r="J29" s="209"/>
      <c r="K29" s="213"/>
      <c r="L29" s="153"/>
      <c r="M29" s="209"/>
      <c r="N29" s="209"/>
      <c r="O29" s="209"/>
      <c r="P29" s="209"/>
      <c r="Q29" s="153"/>
      <c r="R29" s="209"/>
      <c r="S29" s="213"/>
      <c r="T29" s="209"/>
      <c r="U29" s="209"/>
      <c r="V29" s="213"/>
      <c r="W29" s="213"/>
      <c r="X29" s="209"/>
      <c r="Y29" s="155"/>
      <c r="Z29" s="209" t="str">
        <f t="shared" ref="Z29:Z31" si="7">IF(OR(ISBLANK(F29), ISBLANK(K29)), "",K29-F29)</f>
        <v/>
      </c>
      <c r="AA29" s="209" t="str">
        <f t="shared" ref="AA29:AA31" si="8">IF(OR(ISBLANK(K29), ISBLANK(S29)), "",S29-K29)</f>
        <v/>
      </c>
      <c r="AB29" s="209" t="str">
        <f t="shared" ref="AB29:AB31" si="9">IF(OR(ISBLANK(F29), ISBLANK(S29)), "",S29-F29)</f>
        <v/>
      </c>
      <c r="AC29" s="209"/>
      <c r="AE29" s="209"/>
      <c r="AF29" s="209"/>
    </row>
    <row r="30" spans="1:32" ht="30.75" customHeight="1" x14ac:dyDescent="0.2">
      <c r="A30" s="209"/>
      <c r="B30" s="209"/>
      <c r="C30" s="209"/>
      <c r="D30" s="209"/>
      <c r="E30" s="209"/>
      <c r="F30" s="213"/>
      <c r="G30" s="153"/>
      <c r="H30" s="209"/>
      <c r="I30" s="209"/>
      <c r="J30" s="209"/>
      <c r="K30" s="213"/>
      <c r="L30" s="153"/>
      <c r="M30" s="209"/>
      <c r="N30" s="209"/>
      <c r="O30" s="209"/>
      <c r="P30" s="209"/>
      <c r="Q30" s="153"/>
      <c r="R30" s="209"/>
      <c r="S30" s="213"/>
      <c r="T30" s="209"/>
      <c r="U30" s="209"/>
      <c r="V30" s="213"/>
      <c r="W30" s="209"/>
      <c r="X30" s="213"/>
      <c r="Y30" s="154"/>
      <c r="Z30" s="209" t="str">
        <f t="shared" si="7"/>
        <v/>
      </c>
      <c r="AA30" s="209" t="str">
        <f t="shared" si="8"/>
        <v/>
      </c>
      <c r="AB30" s="209" t="str">
        <f t="shared" si="9"/>
        <v/>
      </c>
      <c r="AC30" s="209"/>
      <c r="AE30" s="209"/>
      <c r="AF30" s="209"/>
    </row>
    <row r="31" spans="1:32" ht="30.75" customHeight="1" x14ac:dyDescent="0.2">
      <c r="A31" s="209"/>
      <c r="B31" s="209"/>
      <c r="C31" s="209"/>
      <c r="D31" s="209"/>
      <c r="E31" s="209"/>
      <c r="F31" s="213"/>
      <c r="G31" s="153"/>
      <c r="H31" s="209"/>
      <c r="I31" s="209"/>
      <c r="J31" s="209"/>
      <c r="K31" s="213"/>
      <c r="L31" s="153"/>
      <c r="M31" s="209"/>
      <c r="N31" s="209"/>
      <c r="O31" s="209"/>
      <c r="P31" s="209"/>
      <c r="Q31" s="153"/>
      <c r="R31" s="209"/>
      <c r="S31" s="213"/>
      <c r="T31" s="209"/>
      <c r="U31" s="209"/>
      <c r="V31" s="213"/>
      <c r="W31" s="213"/>
      <c r="X31" s="209"/>
      <c r="Y31" s="154"/>
      <c r="Z31" s="209" t="str">
        <f t="shared" si="7"/>
        <v/>
      </c>
      <c r="AA31" s="209" t="str">
        <f t="shared" si="8"/>
        <v/>
      </c>
      <c r="AB31" s="209" t="str">
        <f t="shared" si="9"/>
        <v/>
      </c>
      <c r="AC31" s="209"/>
      <c r="AE31" s="209"/>
      <c r="AF31" s="209"/>
    </row>
    <row r="32" spans="1:32" ht="30.75" customHeight="1" x14ac:dyDescent="0.2">
      <c r="A32" s="183" t="s">
        <v>86</v>
      </c>
      <c r="B32" s="183" t="s">
        <v>136</v>
      </c>
      <c r="C32" s="183" t="s">
        <v>87</v>
      </c>
      <c r="D32" s="183" t="s">
        <v>88</v>
      </c>
      <c r="E32" s="183" t="s">
        <v>89</v>
      </c>
      <c r="F32" s="183" t="s">
        <v>90</v>
      </c>
      <c r="G32" s="213" t="s">
        <v>3</v>
      </c>
      <c r="H32" s="213" t="s">
        <v>9</v>
      </c>
      <c r="I32" s="213" t="s">
        <v>10</v>
      </c>
      <c r="J32" s="213" t="s">
        <v>1</v>
      </c>
      <c r="K32" s="213" t="s">
        <v>2</v>
      </c>
      <c r="L32" s="213" t="s">
        <v>3</v>
      </c>
      <c r="M32" s="213" t="s">
        <v>9</v>
      </c>
      <c r="N32" s="213" t="s">
        <v>10</v>
      </c>
      <c r="O32" s="183" t="s">
        <v>11</v>
      </c>
      <c r="P32" s="183" t="s">
        <v>12</v>
      </c>
      <c r="Q32" s="213" t="s">
        <v>3</v>
      </c>
      <c r="R32" s="183" t="s">
        <v>100</v>
      </c>
      <c r="S32" s="183" t="s">
        <v>95</v>
      </c>
      <c r="T32" s="213" t="s">
        <v>13</v>
      </c>
      <c r="U32" s="209"/>
      <c r="V32" s="213" t="s">
        <v>60</v>
      </c>
      <c r="W32" s="182" t="s">
        <v>91</v>
      </c>
      <c r="X32" s="182" t="s">
        <v>92</v>
      </c>
      <c r="Y32" s="182" t="s">
        <v>93</v>
      </c>
      <c r="Z32" s="183" t="s">
        <v>94</v>
      </c>
      <c r="AA32" s="183" t="s">
        <v>117</v>
      </c>
      <c r="AB32" s="183" t="s">
        <v>118</v>
      </c>
      <c r="AC32" s="209"/>
      <c r="AE32" s="209"/>
      <c r="AF32" s="209"/>
    </row>
    <row r="33" spans="1:36" ht="30.75" customHeight="1" thickBot="1" x14ac:dyDescent="0.25">
      <c r="A33" s="209" t="s">
        <v>5</v>
      </c>
      <c r="B33" s="209" t="s">
        <v>19</v>
      </c>
      <c r="C33" s="209" t="s">
        <v>50</v>
      </c>
      <c r="D33" s="209" t="s">
        <v>15</v>
      </c>
      <c r="E33" s="209">
        <v>6279823</v>
      </c>
      <c r="F33" s="213">
        <v>7780</v>
      </c>
      <c r="G33" s="153">
        <v>45483</v>
      </c>
      <c r="H33" s="209" t="s">
        <v>7</v>
      </c>
      <c r="I33" s="209" t="s">
        <v>27</v>
      </c>
      <c r="J33" s="209">
        <v>6284498</v>
      </c>
      <c r="K33" s="213">
        <v>7760</v>
      </c>
      <c r="L33" s="153">
        <v>45489</v>
      </c>
      <c r="M33" s="209" t="s">
        <v>17</v>
      </c>
      <c r="N33" s="209" t="s">
        <v>25</v>
      </c>
      <c r="O33" s="209"/>
      <c r="P33" s="209">
        <v>25</v>
      </c>
      <c r="Q33" s="153">
        <v>45489</v>
      </c>
      <c r="R33" s="209">
        <v>310</v>
      </c>
      <c r="S33" s="213">
        <v>7765</v>
      </c>
      <c r="T33" s="209">
        <v>150</v>
      </c>
      <c r="U33" s="209"/>
      <c r="V33" s="213">
        <f t="shared" ref="V33" si="10">IF(RIGHT(C33, 1)="1",
    IF(O33&lt;&gt;"", 500*O33 + T33 + IF(R33&lt;=110, R33, 0), IF(P33&lt;&gt;"", 305*P33 + T33 + IF(R33&lt;=110, R33, 0), "")),
    IF(O33&lt;&gt;"", 500*O33 + T33, IF(P33&lt;&gt;"", 305*P33 + T33, ""))
)</f>
        <v>7775</v>
      </c>
      <c r="W33" s="209">
        <f t="shared" ref="W33" si="11">IF(OR(ISBLANK(V33), ISBLANK(S33), NOT(ISNUMBER(V33)), NOT(ISNUMBER(S33))), "", V33-S33)</f>
        <v>10</v>
      </c>
      <c r="X33" s="213">
        <f t="shared" ref="X33" si="12">IF(OR(ISBLANK(V33), ISBLANK(K33), NOT(ISNUMBER(V33)), NOT(ISNUMBER(K33))), "", V33-K33)</f>
        <v>15</v>
      </c>
      <c r="Y33" s="154">
        <f t="shared" ref="Y33" si="13">IF(OR(ISBLANK(V33), ISBLANK(F33), NOT(ISNUMBER(V33)), NOT(ISNUMBER(F33))), "", V33-F33)</f>
        <v>-5</v>
      </c>
      <c r="Z33" s="209">
        <f t="shared" ref="Z33" si="14">IF(OR(ISBLANK(F33), ISBLANK(K33)), "",K33-F33)</f>
        <v>-20</v>
      </c>
      <c r="AA33" s="209">
        <f t="shared" ref="AA33" si="15">IF(OR(ISBLANK(K33), ISBLANK(S33)), "",S33-K33)</f>
        <v>5</v>
      </c>
      <c r="AB33" s="209">
        <f t="shared" ref="AB33" si="16">IF(OR(ISBLANK(F33), ISBLANK(S33)), "",S33-F33)</f>
        <v>-15</v>
      </c>
      <c r="AC33" s="209"/>
      <c r="AE33" s="209"/>
      <c r="AF33" s="209"/>
    </row>
    <row r="34" spans="1:36" s="1" customFormat="1" ht="80.099999999999994" customHeight="1" x14ac:dyDescent="0.2">
      <c r="A34" s="144" t="s">
        <v>86</v>
      </c>
      <c r="B34" s="145" t="s">
        <v>136</v>
      </c>
      <c r="C34" s="145" t="s">
        <v>87</v>
      </c>
      <c r="D34" s="145" t="s">
        <v>88</v>
      </c>
      <c r="E34" s="145" t="s">
        <v>89</v>
      </c>
      <c r="F34" s="145" t="s">
        <v>90</v>
      </c>
      <c r="G34" s="146" t="s">
        <v>3</v>
      </c>
      <c r="H34" s="147" t="s">
        <v>9</v>
      </c>
      <c r="I34" s="148" t="s">
        <v>10</v>
      </c>
      <c r="J34" s="148" t="s">
        <v>1</v>
      </c>
      <c r="K34" s="148" t="s">
        <v>2</v>
      </c>
      <c r="L34" s="149" t="s">
        <v>3</v>
      </c>
      <c r="M34" s="7" t="s">
        <v>9</v>
      </c>
      <c r="N34" s="8" t="s">
        <v>10</v>
      </c>
      <c r="O34" s="9" t="s">
        <v>11</v>
      </c>
      <c r="P34" s="9" t="s">
        <v>12</v>
      </c>
      <c r="Q34" s="8" t="s">
        <v>3</v>
      </c>
      <c r="R34" s="9" t="s">
        <v>100</v>
      </c>
      <c r="S34" s="9" t="s">
        <v>95</v>
      </c>
      <c r="T34" s="10" t="s">
        <v>13</v>
      </c>
      <c r="V34" s="40" t="s">
        <v>60</v>
      </c>
      <c r="W34" s="143" t="s">
        <v>91</v>
      </c>
      <c r="X34" s="52" t="s">
        <v>92</v>
      </c>
      <c r="Y34" s="53" t="s">
        <v>93</v>
      </c>
      <c r="Z34" s="150" t="s">
        <v>94</v>
      </c>
      <c r="AA34" s="151" t="s">
        <v>117</v>
      </c>
      <c r="AB34" s="152" t="s">
        <v>118</v>
      </c>
      <c r="AC34" s="209"/>
      <c r="AD34" s="209"/>
      <c r="AE34" s="209"/>
      <c r="AF34" s="209"/>
      <c r="AG34" s="209"/>
      <c r="AH34" s="209"/>
      <c r="AI34" s="209"/>
      <c r="AJ34" s="209"/>
    </row>
    <row r="35" spans="1:36" s="1" customFormat="1" x14ac:dyDescent="0.2">
      <c r="A35" s="11" t="s">
        <v>5</v>
      </c>
      <c r="B35" s="12" t="s">
        <v>19</v>
      </c>
      <c r="C35" s="12" t="s">
        <v>50</v>
      </c>
      <c r="D35" s="12" t="s">
        <v>15</v>
      </c>
      <c r="E35" s="12">
        <v>6279823</v>
      </c>
      <c r="F35" s="13">
        <v>7780</v>
      </c>
      <c r="G35" s="14">
        <v>45483</v>
      </c>
      <c r="H35" s="15" t="s">
        <v>7</v>
      </c>
      <c r="I35" s="16" t="s">
        <v>27</v>
      </c>
      <c r="J35" s="16">
        <v>6284498</v>
      </c>
      <c r="K35" s="17">
        <v>7760</v>
      </c>
      <c r="L35" s="18">
        <v>45489</v>
      </c>
      <c r="M35" s="19" t="s">
        <v>17</v>
      </c>
      <c r="N35" s="20" t="s">
        <v>25</v>
      </c>
      <c r="O35" s="20"/>
      <c r="P35" s="20">
        <v>25</v>
      </c>
      <c r="Q35" s="21">
        <v>45489</v>
      </c>
      <c r="R35" s="20">
        <v>310</v>
      </c>
      <c r="S35" s="22">
        <v>7765</v>
      </c>
      <c r="T35" s="23">
        <v>150</v>
      </c>
      <c r="V35" s="37">
        <f t="shared" ref="V35:V81" si="17">IF(RIGHT(C35, 1)="1",
    IF(O35&lt;&gt;"", 500*O35 + T35 + IF(R35&lt;=110, R35, 0), IF(P35&lt;&gt;"", 305*P35 + T35 + IF(R35&lt;=110, R35, 0), "")),
    IF(O35&lt;&gt;"", 500*O35 + T35, IF(P35&lt;&gt;"", 305*P35 + T35, ""))
)</f>
        <v>7775</v>
      </c>
      <c r="W35" s="46">
        <f t="shared" ref="W35:W81" si="18">IF(OR(ISBLANK(V35), ISBLANK(S35), NOT(ISNUMBER(V35)), NOT(ISNUMBER(S35))), "", V35-S35)</f>
        <v>10</v>
      </c>
      <c r="X35" s="26">
        <f t="shared" ref="X35:X81" si="19">IF(OR(ISBLANK(V35), ISBLANK(K35), NOT(ISNUMBER(V35)), NOT(ISNUMBER(K35))), "", V35-K35)</f>
        <v>15</v>
      </c>
      <c r="Y35" s="25">
        <f t="shared" ref="Y35:Y81" si="20">IF(OR(ISBLANK(V35), ISBLANK(F35), NOT(ISNUMBER(V35)), NOT(ISNUMBER(F35))), "", V35-F35)</f>
        <v>-5</v>
      </c>
      <c r="Z35" s="38">
        <f t="shared" ref="Z35:Z81" si="21">IF(OR(ISBLANK(F35), ISBLANK(K35)), "",K35-F35)</f>
        <v>-20</v>
      </c>
      <c r="AA35" s="39">
        <f t="shared" ref="AA35:AA81" si="22">IF(OR(ISBLANK(K35), ISBLANK(S35)), "",S35-K35)</f>
        <v>5</v>
      </c>
      <c r="AB35" s="58">
        <f t="shared" ref="AB35:AB81" si="23">IF(OR(ISBLANK(F35), ISBLANK(S35)), "",S35-F35)</f>
        <v>-15</v>
      </c>
      <c r="AC35" s="209"/>
      <c r="AD35" s="209"/>
      <c r="AE35" s="209"/>
      <c r="AF35" s="209"/>
      <c r="AG35" s="209"/>
      <c r="AH35" s="50"/>
      <c r="AI35" s="50"/>
    </row>
    <row r="36" spans="1:36" s="1" customFormat="1" x14ac:dyDescent="0.2">
      <c r="A36" s="11" t="s">
        <v>5</v>
      </c>
      <c r="B36" s="12" t="s">
        <v>19</v>
      </c>
      <c r="C36" s="12" t="s">
        <v>26</v>
      </c>
      <c r="D36" s="12" t="s">
        <v>15</v>
      </c>
      <c r="E36" s="12">
        <v>6283025</v>
      </c>
      <c r="F36" s="13">
        <v>7780</v>
      </c>
      <c r="G36" s="14">
        <v>45485</v>
      </c>
      <c r="H36" s="15" t="s">
        <v>7</v>
      </c>
      <c r="I36" s="16" t="s">
        <v>16</v>
      </c>
      <c r="J36" s="16">
        <v>6284038</v>
      </c>
      <c r="K36" s="17">
        <v>7750</v>
      </c>
      <c r="L36" s="18">
        <v>45486</v>
      </c>
      <c r="M36" s="19"/>
      <c r="N36" s="20"/>
      <c r="O36" s="20"/>
      <c r="P36" s="20">
        <v>25</v>
      </c>
      <c r="Q36" s="21">
        <v>45486</v>
      </c>
      <c r="R36" s="20">
        <v>55</v>
      </c>
      <c r="S36" s="22">
        <v>7765</v>
      </c>
      <c r="T36" s="23">
        <v>85</v>
      </c>
      <c r="V36" s="37">
        <f t="shared" si="17"/>
        <v>7765</v>
      </c>
      <c r="W36" s="28">
        <f t="shared" si="18"/>
        <v>0</v>
      </c>
      <c r="X36" s="26">
        <f t="shared" si="19"/>
        <v>15</v>
      </c>
      <c r="Y36" s="200">
        <f t="shared" si="20"/>
        <v>-15</v>
      </c>
      <c r="Z36" s="38">
        <f t="shared" si="21"/>
        <v>-30</v>
      </c>
      <c r="AA36" s="39">
        <f t="shared" si="22"/>
        <v>15</v>
      </c>
      <c r="AB36" s="58">
        <f t="shared" si="23"/>
        <v>-15</v>
      </c>
      <c r="AC36" s="209"/>
      <c r="AD36" s="209"/>
      <c r="AE36" s="209"/>
      <c r="AF36" s="209"/>
      <c r="AG36" s="209"/>
      <c r="AH36" s="50"/>
      <c r="AI36" s="50"/>
    </row>
    <row r="37" spans="1:36" s="1" customFormat="1" x14ac:dyDescent="0.2">
      <c r="A37" s="11" t="s">
        <v>28</v>
      </c>
      <c r="B37" s="12" t="s">
        <v>19</v>
      </c>
      <c r="C37" s="12" t="s">
        <v>29</v>
      </c>
      <c r="D37" s="12" t="s">
        <v>30</v>
      </c>
      <c r="E37" s="12">
        <v>6282752</v>
      </c>
      <c r="F37" s="13">
        <v>8135</v>
      </c>
      <c r="G37" s="14">
        <v>45485</v>
      </c>
      <c r="H37" s="15" t="s">
        <v>31</v>
      </c>
      <c r="I37" s="16" t="s">
        <v>32</v>
      </c>
      <c r="J37" s="16">
        <v>6233059</v>
      </c>
      <c r="K37" s="17">
        <v>8170</v>
      </c>
      <c r="L37" s="18">
        <v>45485</v>
      </c>
      <c r="M37" s="19" t="s">
        <v>17</v>
      </c>
      <c r="N37" s="20" t="s">
        <v>18</v>
      </c>
      <c r="O37" s="20"/>
      <c r="P37" s="20">
        <v>26</v>
      </c>
      <c r="Q37" s="21">
        <v>45485</v>
      </c>
      <c r="R37" s="20">
        <v>110</v>
      </c>
      <c r="S37" s="22">
        <v>8150</v>
      </c>
      <c r="T37" s="23">
        <v>120</v>
      </c>
      <c r="V37" s="37">
        <f t="shared" si="17"/>
        <v>8160</v>
      </c>
      <c r="W37" s="28">
        <f t="shared" si="18"/>
        <v>10</v>
      </c>
      <c r="X37" s="45">
        <f t="shared" si="19"/>
        <v>-10</v>
      </c>
      <c r="Y37" s="199">
        <f t="shared" si="20"/>
        <v>25</v>
      </c>
      <c r="Z37" s="38">
        <f t="shared" si="21"/>
        <v>35</v>
      </c>
      <c r="AA37" s="39">
        <f t="shared" si="22"/>
        <v>-20</v>
      </c>
      <c r="AB37" s="58">
        <f t="shared" si="23"/>
        <v>15</v>
      </c>
      <c r="AC37" s="50"/>
      <c r="AD37" s="50"/>
      <c r="AE37" s="50"/>
      <c r="AF37" s="50"/>
      <c r="AG37" s="50"/>
      <c r="AH37" s="50"/>
      <c r="AI37" s="50"/>
    </row>
    <row r="38" spans="1:36" s="1" customFormat="1" x14ac:dyDescent="0.2">
      <c r="A38" s="11" t="s">
        <v>28</v>
      </c>
      <c r="B38" s="12" t="s">
        <v>19</v>
      </c>
      <c r="C38" s="12" t="s">
        <v>42</v>
      </c>
      <c r="D38" s="12" t="s">
        <v>30</v>
      </c>
      <c r="E38" s="12">
        <v>6282683</v>
      </c>
      <c r="F38" s="13">
        <v>8120</v>
      </c>
      <c r="G38" s="14">
        <v>45485</v>
      </c>
      <c r="H38" s="15" t="s">
        <v>31</v>
      </c>
      <c r="I38" s="16" t="s">
        <v>43</v>
      </c>
      <c r="J38" s="16">
        <v>6283550</v>
      </c>
      <c r="K38" s="17">
        <v>8170</v>
      </c>
      <c r="L38" s="18">
        <v>45486</v>
      </c>
      <c r="M38" s="19" t="s">
        <v>44</v>
      </c>
      <c r="N38" s="20" t="s">
        <v>25</v>
      </c>
      <c r="O38" s="20"/>
      <c r="P38" s="20">
        <v>26</v>
      </c>
      <c r="Q38" s="21">
        <v>45486</v>
      </c>
      <c r="R38" s="20">
        <v>310</v>
      </c>
      <c r="S38" s="22">
        <v>8155</v>
      </c>
      <c r="T38" s="23">
        <v>220</v>
      </c>
      <c r="V38" s="37">
        <f t="shared" si="17"/>
        <v>8150</v>
      </c>
      <c r="W38" s="28">
        <f t="shared" si="18"/>
        <v>-5</v>
      </c>
      <c r="X38" s="45">
        <f t="shared" si="19"/>
        <v>-20</v>
      </c>
      <c r="Y38" s="199">
        <f t="shared" si="20"/>
        <v>30</v>
      </c>
      <c r="Z38" s="38">
        <f t="shared" si="21"/>
        <v>50</v>
      </c>
      <c r="AA38" s="39">
        <f t="shared" si="22"/>
        <v>-15</v>
      </c>
      <c r="AB38" s="58">
        <f t="shared" si="23"/>
        <v>35</v>
      </c>
      <c r="AC38" s="50"/>
      <c r="AD38" s="50"/>
      <c r="AE38" s="50"/>
      <c r="AF38" s="50"/>
      <c r="AG38" s="50"/>
      <c r="AH38" s="50"/>
      <c r="AI38" s="50"/>
    </row>
    <row r="39" spans="1:36" s="1" customFormat="1" x14ac:dyDescent="0.2">
      <c r="A39" s="11" t="s">
        <v>5</v>
      </c>
      <c r="B39" s="12" t="s">
        <v>19</v>
      </c>
      <c r="C39" s="12" t="s">
        <v>64</v>
      </c>
      <c r="D39" s="12" t="s">
        <v>65</v>
      </c>
      <c r="E39" s="12">
        <v>6285557</v>
      </c>
      <c r="F39" s="13">
        <v>7650</v>
      </c>
      <c r="G39" s="14">
        <v>45490</v>
      </c>
      <c r="H39" s="15" t="s">
        <v>7</v>
      </c>
      <c r="I39" s="16" t="s">
        <v>66</v>
      </c>
      <c r="J39" s="16">
        <v>6286292</v>
      </c>
      <c r="K39" s="17">
        <v>7630</v>
      </c>
      <c r="L39" s="18">
        <v>45490</v>
      </c>
      <c r="M39" s="19" t="s">
        <v>44</v>
      </c>
      <c r="N39" s="20"/>
      <c r="O39" s="20"/>
      <c r="P39" s="20">
        <v>25</v>
      </c>
      <c r="Q39" s="21">
        <v>45490</v>
      </c>
      <c r="R39" s="20">
        <v>310</v>
      </c>
      <c r="S39" s="22">
        <v>7630</v>
      </c>
      <c r="T39" s="23">
        <v>15</v>
      </c>
      <c r="V39" s="37">
        <f t="shared" si="17"/>
        <v>7640</v>
      </c>
      <c r="W39" s="24">
        <f t="shared" si="18"/>
        <v>10</v>
      </c>
      <c r="X39" s="45">
        <f t="shared" si="19"/>
        <v>10</v>
      </c>
      <c r="Y39" s="200">
        <f t="shared" si="20"/>
        <v>-10</v>
      </c>
      <c r="Z39" s="38">
        <f t="shared" si="21"/>
        <v>-20</v>
      </c>
      <c r="AA39" s="39">
        <f t="shared" si="22"/>
        <v>0</v>
      </c>
      <c r="AB39" s="58">
        <f t="shared" si="23"/>
        <v>-20</v>
      </c>
      <c r="AC39" s="50"/>
      <c r="AD39" s="50"/>
      <c r="AE39" s="50"/>
      <c r="AF39" s="50"/>
      <c r="AG39" s="50"/>
      <c r="AH39" s="50"/>
      <c r="AI39" s="50"/>
    </row>
    <row r="40" spans="1:36" s="1" customFormat="1" x14ac:dyDescent="0.2">
      <c r="A40" s="11" t="s">
        <v>5</v>
      </c>
      <c r="B40" s="12" t="s">
        <v>19</v>
      </c>
      <c r="C40" s="12" t="s">
        <v>69</v>
      </c>
      <c r="D40" s="12" t="s">
        <v>65</v>
      </c>
      <c r="E40" s="12">
        <v>6285497</v>
      </c>
      <c r="F40" s="13">
        <v>7780</v>
      </c>
      <c r="G40" s="14">
        <v>45490</v>
      </c>
      <c r="H40" s="15" t="s">
        <v>31</v>
      </c>
      <c r="I40" s="16" t="s">
        <v>63</v>
      </c>
      <c r="J40" s="16">
        <v>6285679</v>
      </c>
      <c r="K40" s="17">
        <v>7795</v>
      </c>
      <c r="L40" s="18">
        <v>45490</v>
      </c>
      <c r="M40" s="19" t="s">
        <v>17</v>
      </c>
      <c r="N40" s="20"/>
      <c r="O40" s="20"/>
      <c r="P40" s="20">
        <v>25</v>
      </c>
      <c r="Q40" s="21">
        <v>45490</v>
      </c>
      <c r="R40" s="20">
        <v>55</v>
      </c>
      <c r="S40" s="22">
        <v>7790</v>
      </c>
      <c r="T40" s="23">
        <v>35</v>
      </c>
      <c r="V40" s="37">
        <f t="shared" si="17"/>
        <v>7715</v>
      </c>
      <c r="W40" s="46">
        <f t="shared" si="18"/>
        <v>-75</v>
      </c>
      <c r="X40" s="26">
        <f t="shared" si="19"/>
        <v>-80</v>
      </c>
      <c r="Y40" s="25">
        <f t="shared" si="20"/>
        <v>-65</v>
      </c>
      <c r="Z40" s="38">
        <f t="shared" si="21"/>
        <v>15</v>
      </c>
      <c r="AA40" s="39">
        <f t="shared" si="22"/>
        <v>-5</v>
      </c>
      <c r="AB40" s="58">
        <f t="shared" si="23"/>
        <v>10</v>
      </c>
    </row>
    <row r="41" spans="1:36" s="1" customFormat="1" x14ac:dyDescent="0.2">
      <c r="A41" s="11" t="s">
        <v>5</v>
      </c>
      <c r="B41" s="12" t="s">
        <v>19</v>
      </c>
      <c r="C41" s="12" t="s">
        <v>71</v>
      </c>
      <c r="D41" s="12" t="s">
        <v>67</v>
      </c>
      <c r="E41" s="12">
        <v>6286356</v>
      </c>
      <c r="F41" s="13">
        <v>7780</v>
      </c>
      <c r="G41" s="14">
        <v>45490</v>
      </c>
      <c r="H41" s="15" t="s">
        <v>7</v>
      </c>
      <c r="I41" s="16" t="s">
        <v>27</v>
      </c>
      <c r="J41" s="16">
        <v>6286813</v>
      </c>
      <c r="K41" s="17">
        <v>7770</v>
      </c>
      <c r="L41" s="18">
        <v>45491</v>
      </c>
      <c r="M41" s="19" t="s">
        <v>35</v>
      </c>
      <c r="N41" s="20"/>
      <c r="O41" s="20"/>
      <c r="P41" s="20">
        <v>25</v>
      </c>
      <c r="Q41" s="21">
        <v>45491</v>
      </c>
      <c r="R41" s="20">
        <v>55</v>
      </c>
      <c r="S41" s="22">
        <v>7762</v>
      </c>
      <c r="T41" s="23">
        <v>82</v>
      </c>
      <c r="V41" s="37">
        <f t="shared" si="17"/>
        <v>7762</v>
      </c>
      <c r="W41" s="28">
        <f t="shared" si="18"/>
        <v>0</v>
      </c>
      <c r="X41" s="45">
        <f t="shared" si="19"/>
        <v>-8</v>
      </c>
      <c r="Y41" s="199">
        <f t="shared" si="20"/>
        <v>-18</v>
      </c>
      <c r="Z41" s="38">
        <f t="shared" si="21"/>
        <v>-10</v>
      </c>
      <c r="AA41" s="39">
        <f t="shared" si="22"/>
        <v>-8</v>
      </c>
      <c r="AB41" s="58">
        <f t="shared" si="23"/>
        <v>-18</v>
      </c>
    </row>
    <row r="42" spans="1:36" s="1" customFormat="1" x14ac:dyDescent="0.2">
      <c r="A42" s="11" t="s">
        <v>5</v>
      </c>
      <c r="B42" s="12" t="s">
        <v>19</v>
      </c>
      <c r="C42" s="12" t="s">
        <v>70</v>
      </c>
      <c r="D42" s="12" t="s">
        <v>62</v>
      </c>
      <c r="E42" s="12">
        <v>6286687</v>
      </c>
      <c r="F42" s="13">
        <v>7780</v>
      </c>
      <c r="G42" s="14">
        <v>45491</v>
      </c>
      <c r="H42" s="15" t="s">
        <v>7</v>
      </c>
      <c r="I42" s="16" t="s">
        <v>16</v>
      </c>
      <c r="J42" s="16">
        <v>6286938</v>
      </c>
      <c r="K42" s="17">
        <v>7770</v>
      </c>
      <c r="L42" s="18">
        <v>45491</v>
      </c>
      <c r="M42" s="19"/>
      <c r="N42" s="20"/>
      <c r="O42" s="20"/>
      <c r="P42" s="20">
        <v>25</v>
      </c>
      <c r="Q42" s="21">
        <v>45491</v>
      </c>
      <c r="R42" s="20">
        <v>55</v>
      </c>
      <c r="S42" s="22">
        <v>7770</v>
      </c>
      <c r="T42" s="23">
        <v>30</v>
      </c>
      <c r="V42" s="37">
        <f t="shared" si="17"/>
        <v>7710</v>
      </c>
      <c r="W42" s="28">
        <f t="shared" si="18"/>
        <v>-60</v>
      </c>
      <c r="X42" s="45">
        <f t="shared" si="19"/>
        <v>-60</v>
      </c>
      <c r="Y42" s="199">
        <f t="shared" si="20"/>
        <v>-70</v>
      </c>
      <c r="Z42" s="38">
        <f t="shared" si="21"/>
        <v>-10</v>
      </c>
      <c r="AA42" s="39">
        <f t="shared" si="22"/>
        <v>0</v>
      </c>
      <c r="AB42" s="58">
        <f t="shared" si="23"/>
        <v>-10</v>
      </c>
    </row>
    <row r="43" spans="1:36" s="1" customFormat="1" x14ac:dyDescent="0.2">
      <c r="A43" s="11" t="s">
        <v>5</v>
      </c>
      <c r="B43" s="12" t="s">
        <v>19</v>
      </c>
      <c r="C43" s="12" t="s">
        <v>75</v>
      </c>
      <c r="D43" s="12" t="s">
        <v>62</v>
      </c>
      <c r="E43" s="12">
        <v>6286885</v>
      </c>
      <c r="F43" s="13">
        <v>7550</v>
      </c>
      <c r="G43" s="14">
        <v>45491</v>
      </c>
      <c r="H43" s="15" t="s">
        <v>7</v>
      </c>
      <c r="I43" s="16" t="s">
        <v>66</v>
      </c>
      <c r="J43" s="16">
        <v>6287397</v>
      </c>
      <c r="K43" s="17">
        <v>7530</v>
      </c>
      <c r="L43" s="18">
        <v>45491</v>
      </c>
      <c r="M43" s="19"/>
      <c r="N43" s="20" t="s">
        <v>51</v>
      </c>
      <c r="O43" s="20"/>
      <c r="P43" s="20">
        <v>24</v>
      </c>
      <c r="Q43" s="21">
        <v>45491</v>
      </c>
      <c r="R43" s="20">
        <v>310</v>
      </c>
      <c r="S43" s="22">
        <v>7615</v>
      </c>
      <c r="T43" s="23">
        <v>265</v>
      </c>
      <c r="V43" s="37">
        <f t="shared" si="17"/>
        <v>7585</v>
      </c>
      <c r="W43" s="28">
        <f t="shared" si="18"/>
        <v>-30</v>
      </c>
      <c r="X43" s="26">
        <f t="shared" si="19"/>
        <v>55</v>
      </c>
      <c r="Y43" s="200">
        <f t="shared" si="20"/>
        <v>35</v>
      </c>
      <c r="Z43" s="38">
        <f t="shared" si="21"/>
        <v>-20</v>
      </c>
      <c r="AA43" s="39">
        <f t="shared" si="22"/>
        <v>85</v>
      </c>
      <c r="AB43" s="58">
        <f t="shared" si="23"/>
        <v>65</v>
      </c>
    </row>
    <row r="44" spans="1:36" s="1" customFormat="1" x14ac:dyDescent="0.2">
      <c r="A44" s="11" t="s">
        <v>5</v>
      </c>
      <c r="B44" s="12" t="s">
        <v>19</v>
      </c>
      <c r="C44" s="12" t="s">
        <v>83</v>
      </c>
      <c r="D44" s="12" t="s">
        <v>6</v>
      </c>
      <c r="E44" s="12">
        <v>6287117</v>
      </c>
      <c r="F44" s="13">
        <v>7580</v>
      </c>
      <c r="G44" s="14">
        <v>45491</v>
      </c>
      <c r="H44" s="15" t="s">
        <v>7</v>
      </c>
      <c r="I44" s="16" t="s">
        <v>66</v>
      </c>
      <c r="J44" s="16">
        <v>6287430</v>
      </c>
      <c r="K44" s="17">
        <v>7625</v>
      </c>
      <c r="L44" s="18">
        <v>45491</v>
      </c>
      <c r="M44" s="19" t="s">
        <v>44</v>
      </c>
      <c r="N44" s="20" t="s">
        <v>74</v>
      </c>
      <c r="O44" s="20"/>
      <c r="P44" s="20">
        <v>25</v>
      </c>
      <c r="Q44" s="21">
        <v>45491</v>
      </c>
      <c r="R44" s="20">
        <v>310</v>
      </c>
      <c r="S44" s="22">
        <v>7630</v>
      </c>
      <c r="T44" s="23">
        <v>4</v>
      </c>
      <c r="V44" s="37">
        <f t="shared" si="17"/>
        <v>7629</v>
      </c>
      <c r="W44" s="28">
        <f t="shared" si="18"/>
        <v>-1</v>
      </c>
      <c r="X44" s="45">
        <f t="shared" si="19"/>
        <v>4</v>
      </c>
      <c r="Y44" s="199">
        <f t="shared" si="20"/>
        <v>49</v>
      </c>
      <c r="Z44" s="38">
        <f t="shared" si="21"/>
        <v>45</v>
      </c>
      <c r="AA44" s="39">
        <f t="shared" si="22"/>
        <v>5</v>
      </c>
      <c r="AB44" s="58">
        <f t="shared" si="23"/>
        <v>50</v>
      </c>
    </row>
    <row r="45" spans="1:36" s="1" customFormat="1" x14ac:dyDescent="0.2">
      <c r="A45" s="11" t="s">
        <v>5</v>
      </c>
      <c r="B45" s="12" t="s">
        <v>19</v>
      </c>
      <c r="C45" s="12" t="s">
        <v>78</v>
      </c>
      <c r="D45" s="12" t="s">
        <v>62</v>
      </c>
      <c r="E45" s="12">
        <v>6286796</v>
      </c>
      <c r="F45" s="13">
        <v>7780</v>
      </c>
      <c r="G45" s="14">
        <v>45491</v>
      </c>
      <c r="H45" s="15" t="s">
        <v>7</v>
      </c>
      <c r="I45" s="16" t="s">
        <v>16</v>
      </c>
      <c r="J45" s="16">
        <v>6287266</v>
      </c>
      <c r="K45" s="17">
        <v>7770</v>
      </c>
      <c r="L45" s="18">
        <v>45491</v>
      </c>
      <c r="M45" s="19" t="s">
        <v>35</v>
      </c>
      <c r="N45" s="20" t="s">
        <v>79</v>
      </c>
      <c r="O45" s="20"/>
      <c r="P45" s="20">
        <v>25</v>
      </c>
      <c r="Q45" s="21">
        <v>45491</v>
      </c>
      <c r="R45" s="20">
        <v>55</v>
      </c>
      <c r="S45" s="22">
        <v>7770</v>
      </c>
      <c r="T45" s="23">
        <v>89</v>
      </c>
      <c r="V45" s="37">
        <f t="shared" si="17"/>
        <v>7769</v>
      </c>
      <c r="W45" s="28">
        <f t="shared" si="18"/>
        <v>-1</v>
      </c>
      <c r="X45" s="45">
        <f t="shared" si="19"/>
        <v>-1</v>
      </c>
      <c r="Y45" s="199">
        <f t="shared" si="20"/>
        <v>-11</v>
      </c>
      <c r="Z45" s="38">
        <f t="shared" si="21"/>
        <v>-10</v>
      </c>
      <c r="AA45" s="39">
        <f t="shared" si="22"/>
        <v>0</v>
      </c>
      <c r="AB45" s="58">
        <f t="shared" si="23"/>
        <v>-10</v>
      </c>
    </row>
    <row r="46" spans="1:36" s="1" customFormat="1" x14ac:dyDescent="0.2">
      <c r="A46" s="11" t="s">
        <v>5</v>
      </c>
      <c r="B46" s="12" t="s">
        <v>19</v>
      </c>
      <c r="C46" s="12" t="s">
        <v>85</v>
      </c>
      <c r="D46" s="12" t="s">
        <v>6</v>
      </c>
      <c r="E46" s="12">
        <v>6287021</v>
      </c>
      <c r="F46" s="13">
        <v>7780</v>
      </c>
      <c r="G46" s="14">
        <v>45491</v>
      </c>
      <c r="H46" s="15" t="s">
        <v>7</v>
      </c>
      <c r="I46" s="16" t="s">
        <v>66</v>
      </c>
      <c r="J46" s="16">
        <v>6287457</v>
      </c>
      <c r="K46" s="17">
        <v>7750</v>
      </c>
      <c r="L46" s="18">
        <v>45491</v>
      </c>
      <c r="M46" s="19" t="s">
        <v>35</v>
      </c>
      <c r="N46" s="20" t="s">
        <v>79</v>
      </c>
      <c r="O46" s="20"/>
      <c r="P46" s="20">
        <v>25</v>
      </c>
      <c r="Q46" s="21">
        <v>45491</v>
      </c>
      <c r="R46" s="20">
        <v>55</v>
      </c>
      <c r="S46" s="22">
        <v>7768</v>
      </c>
      <c r="T46" s="23">
        <v>88</v>
      </c>
      <c r="V46" s="37">
        <f t="shared" si="17"/>
        <v>7768</v>
      </c>
      <c r="W46" s="28">
        <f t="shared" si="18"/>
        <v>0</v>
      </c>
      <c r="X46" s="26">
        <f t="shared" si="19"/>
        <v>18</v>
      </c>
      <c r="Y46" s="200">
        <f t="shared" si="20"/>
        <v>-12</v>
      </c>
      <c r="Z46" s="38">
        <f t="shared" si="21"/>
        <v>-30</v>
      </c>
      <c r="AA46" s="39">
        <f t="shared" si="22"/>
        <v>18</v>
      </c>
      <c r="AB46" s="58">
        <f t="shared" si="23"/>
        <v>-12</v>
      </c>
    </row>
    <row r="47" spans="1:36" s="1" customFormat="1" x14ac:dyDescent="0.2">
      <c r="A47" s="11" t="s">
        <v>5</v>
      </c>
      <c r="B47" s="12" t="s">
        <v>19</v>
      </c>
      <c r="C47" s="12" t="s">
        <v>105</v>
      </c>
      <c r="D47" s="12" t="s">
        <v>62</v>
      </c>
      <c r="E47" s="12">
        <v>6288851</v>
      </c>
      <c r="F47" s="13">
        <v>7780</v>
      </c>
      <c r="G47" s="14">
        <v>45493</v>
      </c>
      <c r="H47" s="15" t="s">
        <v>31</v>
      </c>
      <c r="I47" s="16" t="s">
        <v>32</v>
      </c>
      <c r="J47" s="16">
        <v>6289087</v>
      </c>
      <c r="K47" s="17">
        <v>7790</v>
      </c>
      <c r="L47" s="18">
        <v>45493</v>
      </c>
      <c r="M47" s="19" t="s">
        <v>17</v>
      </c>
      <c r="N47" s="20" t="s">
        <v>18</v>
      </c>
      <c r="O47" s="20"/>
      <c r="P47" s="20">
        <v>25</v>
      </c>
      <c r="Q47" s="21">
        <v>45493</v>
      </c>
      <c r="R47" s="20">
        <v>55</v>
      </c>
      <c r="S47" s="22">
        <v>7805</v>
      </c>
      <c r="T47" s="23">
        <v>25</v>
      </c>
      <c r="V47" s="37">
        <f t="shared" si="17"/>
        <v>7705</v>
      </c>
      <c r="W47" s="24">
        <f t="shared" si="18"/>
        <v>-100</v>
      </c>
      <c r="X47" s="45">
        <f t="shared" si="19"/>
        <v>-85</v>
      </c>
      <c r="Y47" s="25">
        <f t="shared" si="20"/>
        <v>-75</v>
      </c>
      <c r="Z47" s="38">
        <f t="shared" si="21"/>
        <v>10</v>
      </c>
      <c r="AA47" s="39">
        <f t="shared" si="22"/>
        <v>15</v>
      </c>
      <c r="AB47" s="58">
        <f t="shared" si="23"/>
        <v>25</v>
      </c>
    </row>
    <row r="48" spans="1:36" s="1" customFormat="1" x14ac:dyDescent="0.2">
      <c r="A48" s="11" t="s">
        <v>5</v>
      </c>
      <c r="B48" s="12" t="s">
        <v>19</v>
      </c>
      <c r="C48" s="12" t="s">
        <v>107</v>
      </c>
      <c r="D48" s="12" t="s">
        <v>6</v>
      </c>
      <c r="E48" s="12">
        <v>6288793</v>
      </c>
      <c r="F48" s="13">
        <v>7750</v>
      </c>
      <c r="G48" s="14">
        <v>45493</v>
      </c>
      <c r="H48" s="15" t="s">
        <v>31</v>
      </c>
      <c r="I48" s="16" t="s">
        <v>32</v>
      </c>
      <c r="J48" s="16">
        <v>6289631</v>
      </c>
      <c r="K48" s="17">
        <v>7790</v>
      </c>
      <c r="L48" s="18">
        <v>45495</v>
      </c>
      <c r="M48" s="19" t="s">
        <v>17</v>
      </c>
      <c r="N48" s="20" t="s">
        <v>18</v>
      </c>
      <c r="O48" s="20"/>
      <c r="P48" s="20">
        <v>25</v>
      </c>
      <c r="Q48" s="21">
        <v>45495</v>
      </c>
      <c r="R48" s="20">
        <v>310</v>
      </c>
      <c r="S48" s="22">
        <v>7785</v>
      </c>
      <c r="T48" s="23">
        <v>155</v>
      </c>
      <c r="V48" s="37">
        <f t="shared" si="17"/>
        <v>7780</v>
      </c>
      <c r="W48" s="28">
        <f t="shared" si="18"/>
        <v>-5</v>
      </c>
      <c r="X48" s="45">
        <f t="shared" si="19"/>
        <v>-10</v>
      </c>
      <c r="Y48" s="199">
        <f t="shared" si="20"/>
        <v>30</v>
      </c>
      <c r="Z48" s="38">
        <f t="shared" si="21"/>
        <v>40</v>
      </c>
      <c r="AA48" s="39">
        <f t="shared" si="22"/>
        <v>-5</v>
      </c>
      <c r="AB48" s="58">
        <f t="shared" si="23"/>
        <v>35</v>
      </c>
    </row>
    <row r="49" spans="1:28" s="1" customFormat="1" x14ac:dyDescent="0.2">
      <c r="A49" s="11" t="s">
        <v>5</v>
      </c>
      <c r="B49" s="12" t="s">
        <v>19</v>
      </c>
      <c r="C49" s="12" t="s">
        <v>110</v>
      </c>
      <c r="D49" s="12" t="s">
        <v>62</v>
      </c>
      <c r="E49" s="12">
        <v>6288755</v>
      </c>
      <c r="F49" s="13">
        <v>7780</v>
      </c>
      <c r="G49" s="14">
        <v>45493</v>
      </c>
      <c r="H49" s="15" t="s">
        <v>7</v>
      </c>
      <c r="I49" s="16" t="s">
        <v>27</v>
      </c>
      <c r="J49" s="16">
        <v>6288911</v>
      </c>
      <c r="K49" s="17">
        <v>7775</v>
      </c>
      <c r="L49" s="18">
        <v>45493</v>
      </c>
      <c r="M49" s="19" t="s">
        <v>35</v>
      </c>
      <c r="N49" s="20" t="s">
        <v>101</v>
      </c>
      <c r="O49" s="20"/>
      <c r="P49" s="20">
        <v>25</v>
      </c>
      <c r="Q49" s="21">
        <v>45493</v>
      </c>
      <c r="R49" s="20">
        <v>55</v>
      </c>
      <c r="S49" s="22">
        <v>7749</v>
      </c>
      <c r="T49" s="23">
        <v>72</v>
      </c>
      <c r="V49" s="37">
        <f t="shared" si="17"/>
        <v>7752</v>
      </c>
      <c r="W49" s="28">
        <f t="shared" si="18"/>
        <v>3</v>
      </c>
      <c r="X49" s="45">
        <f t="shared" si="19"/>
        <v>-23</v>
      </c>
      <c r="Y49" s="199">
        <f t="shared" si="20"/>
        <v>-28</v>
      </c>
      <c r="Z49" s="38">
        <f t="shared" si="21"/>
        <v>-5</v>
      </c>
      <c r="AA49" s="39">
        <f t="shared" si="22"/>
        <v>-26</v>
      </c>
      <c r="AB49" s="58">
        <f t="shared" si="23"/>
        <v>-31</v>
      </c>
    </row>
    <row r="50" spans="1:28" s="1" customFormat="1" x14ac:dyDescent="0.2">
      <c r="A50" s="11" t="s">
        <v>5</v>
      </c>
      <c r="B50" s="12" t="s">
        <v>19</v>
      </c>
      <c r="C50" s="12" t="s">
        <v>113</v>
      </c>
      <c r="D50" s="12" t="s">
        <v>62</v>
      </c>
      <c r="E50" s="12">
        <v>6286741</v>
      </c>
      <c r="F50" s="13">
        <v>7590</v>
      </c>
      <c r="G50" s="14">
        <v>45492</v>
      </c>
      <c r="H50" s="15" t="s">
        <v>7</v>
      </c>
      <c r="I50" s="16" t="s">
        <v>66</v>
      </c>
      <c r="J50" s="16">
        <v>6288478</v>
      </c>
      <c r="K50" s="17">
        <v>7590</v>
      </c>
      <c r="L50" s="18">
        <v>45492</v>
      </c>
      <c r="M50" s="19" t="s">
        <v>35</v>
      </c>
      <c r="N50" s="20" t="s">
        <v>79</v>
      </c>
      <c r="O50" s="20"/>
      <c r="P50" s="20">
        <v>24</v>
      </c>
      <c r="Q50" s="21">
        <v>45492</v>
      </c>
      <c r="R50" s="20">
        <v>310</v>
      </c>
      <c r="S50" s="22">
        <v>7585</v>
      </c>
      <c r="T50" s="23">
        <v>259</v>
      </c>
      <c r="V50" s="37">
        <f t="shared" si="17"/>
        <v>7579</v>
      </c>
      <c r="W50" s="28">
        <f t="shared" si="18"/>
        <v>-6</v>
      </c>
      <c r="X50" s="26">
        <f t="shared" si="19"/>
        <v>-11</v>
      </c>
      <c r="Y50" s="200">
        <f t="shared" si="20"/>
        <v>-11</v>
      </c>
      <c r="Z50" s="38">
        <f t="shared" si="21"/>
        <v>0</v>
      </c>
      <c r="AA50" s="39">
        <f t="shared" si="22"/>
        <v>-5</v>
      </c>
      <c r="AB50" s="58">
        <f t="shared" si="23"/>
        <v>-5</v>
      </c>
    </row>
    <row r="51" spans="1:28" s="1" customFormat="1" x14ac:dyDescent="0.2">
      <c r="A51" s="11" t="s">
        <v>5</v>
      </c>
      <c r="B51" s="12" t="s">
        <v>19</v>
      </c>
      <c r="C51" s="12" t="s">
        <v>123</v>
      </c>
      <c r="D51" s="12" t="s">
        <v>62</v>
      </c>
      <c r="E51" s="12">
        <v>6288799</v>
      </c>
      <c r="F51" s="13">
        <v>7720</v>
      </c>
      <c r="G51" s="14">
        <v>45493</v>
      </c>
      <c r="H51" s="15" t="s">
        <v>31</v>
      </c>
      <c r="I51" s="16" t="s">
        <v>32</v>
      </c>
      <c r="J51" s="16">
        <v>6289674</v>
      </c>
      <c r="K51" s="17">
        <v>7740</v>
      </c>
      <c r="L51" s="18">
        <v>45495</v>
      </c>
      <c r="M51" s="19" t="s">
        <v>17</v>
      </c>
      <c r="N51" s="20" t="s">
        <v>79</v>
      </c>
      <c r="O51" s="20"/>
      <c r="P51" s="20">
        <v>25</v>
      </c>
      <c r="Q51" s="21">
        <v>45495</v>
      </c>
      <c r="R51" s="20">
        <v>310</v>
      </c>
      <c r="S51" s="22">
        <v>7752</v>
      </c>
      <c r="T51" s="23">
        <v>122</v>
      </c>
      <c r="V51" s="37">
        <f t="shared" si="17"/>
        <v>7747</v>
      </c>
      <c r="W51" s="28">
        <f t="shared" si="18"/>
        <v>-5</v>
      </c>
      <c r="X51" s="45">
        <f t="shared" si="19"/>
        <v>7</v>
      </c>
      <c r="Y51" s="199">
        <f t="shared" si="20"/>
        <v>27</v>
      </c>
      <c r="Z51" s="38">
        <f t="shared" si="21"/>
        <v>20</v>
      </c>
      <c r="AA51" s="39">
        <f t="shared" si="22"/>
        <v>12</v>
      </c>
      <c r="AB51" s="58">
        <f t="shared" si="23"/>
        <v>32</v>
      </c>
    </row>
    <row r="52" spans="1:28" s="1" customFormat="1" x14ac:dyDescent="0.2">
      <c r="A52" s="11" t="s">
        <v>5</v>
      </c>
      <c r="B52" s="12" t="s">
        <v>19</v>
      </c>
      <c r="C52" s="12" t="s">
        <v>124</v>
      </c>
      <c r="D52" s="12" t="s">
        <v>62</v>
      </c>
      <c r="E52" s="12">
        <v>6288936</v>
      </c>
      <c r="F52" s="13">
        <v>7630</v>
      </c>
      <c r="G52" s="14">
        <v>45493</v>
      </c>
      <c r="H52" s="15" t="s">
        <v>7</v>
      </c>
      <c r="I52" s="16" t="s">
        <v>121</v>
      </c>
      <c r="J52" s="16">
        <v>6289724</v>
      </c>
      <c r="K52" s="17">
        <v>7630</v>
      </c>
      <c r="L52" s="18">
        <v>45495</v>
      </c>
      <c r="M52" s="19" t="s">
        <v>17</v>
      </c>
      <c r="N52" s="20" t="s">
        <v>79</v>
      </c>
      <c r="O52" s="20"/>
      <c r="P52" s="20">
        <v>25</v>
      </c>
      <c r="Q52" s="21">
        <v>45495</v>
      </c>
      <c r="R52" s="20">
        <v>310</v>
      </c>
      <c r="S52" s="22">
        <v>7653</v>
      </c>
      <c r="T52" s="23">
        <v>23</v>
      </c>
      <c r="V52" s="37">
        <f t="shared" si="17"/>
        <v>7648</v>
      </c>
      <c r="W52" s="28">
        <f t="shared" si="18"/>
        <v>-5</v>
      </c>
      <c r="X52" s="26">
        <f t="shared" si="19"/>
        <v>18</v>
      </c>
      <c r="Y52" s="200">
        <f t="shared" si="20"/>
        <v>18</v>
      </c>
      <c r="Z52" s="38">
        <f t="shared" si="21"/>
        <v>0</v>
      </c>
      <c r="AA52" s="39">
        <f t="shared" si="22"/>
        <v>23</v>
      </c>
      <c r="AB52" s="58">
        <f t="shared" si="23"/>
        <v>23</v>
      </c>
    </row>
    <row r="53" spans="1:28" s="1" customFormat="1" x14ac:dyDescent="0.2">
      <c r="A53" s="11" t="s">
        <v>5</v>
      </c>
      <c r="B53" s="12" t="s">
        <v>19</v>
      </c>
      <c r="C53" s="12" t="s">
        <v>128</v>
      </c>
      <c r="D53" s="12" t="s">
        <v>62</v>
      </c>
      <c r="E53" s="12">
        <v>6290367</v>
      </c>
      <c r="F53" s="13">
        <v>7780</v>
      </c>
      <c r="G53" s="14">
        <v>45495</v>
      </c>
      <c r="H53" s="15" t="s">
        <v>7</v>
      </c>
      <c r="I53" s="16" t="s">
        <v>16</v>
      </c>
      <c r="J53" s="16">
        <v>6290752</v>
      </c>
      <c r="K53" s="17">
        <v>7770</v>
      </c>
      <c r="L53" s="18">
        <v>45496</v>
      </c>
      <c r="M53" s="19" t="s">
        <v>44</v>
      </c>
      <c r="N53" s="20" t="s">
        <v>74</v>
      </c>
      <c r="O53" s="20"/>
      <c r="P53" s="20">
        <v>25</v>
      </c>
      <c r="Q53" s="21">
        <v>45496</v>
      </c>
      <c r="R53" s="20">
        <v>55</v>
      </c>
      <c r="S53" s="22">
        <v>7690</v>
      </c>
      <c r="T53" s="23">
        <v>130</v>
      </c>
      <c r="V53" s="37">
        <f t="shared" si="17"/>
        <v>7810</v>
      </c>
      <c r="W53" s="24">
        <f t="shared" si="18"/>
        <v>120</v>
      </c>
      <c r="X53" s="45">
        <f t="shared" si="19"/>
        <v>40</v>
      </c>
      <c r="Y53" s="25">
        <f t="shared" si="20"/>
        <v>30</v>
      </c>
      <c r="Z53" s="38">
        <f t="shared" si="21"/>
        <v>-10</v>
      </c>
      <c r="AA53" s="39">
        <f t="shared" si="22"/>
        <v>-80</v>
      </c>
      <c r="AB53" s="58">
        <f t="shared" si="23"/>
        <v>-90</v>
      </c>
    </row>
    <row r="54" spans="1:28" s="1" customFormat="1" x14ac:dyDescent="0.2">
      <c r="A54" s="11" t="s">
        <v>5</v>
      </c>
      <c r="B54" s="12" t="s">
        <v>19</v>
      </c>
      <c r="C54" s="12" t="s">
        <v>130</v>
      </c>
      <c r="D54" s="12" t="s">
        <v>46</v>
      </c>
      <c r="E54" s="12">
        <v>6289881</v>
      </c>
      <c r="F54" s="13">
        <v>7780</v>
      </c>
      <c r="G54" s="14">
        <v>45495</v>
      </c>
      <c r="H54" s="15" t="s">
        <v>7</v>
      </c>
      <c r="I54" s="16" t="s">
        <v>27</v>
      </c>
      <c r="J54" s="16">
        <v>6290692</v>
      </c>
      <c r="K54" s="17">
        <v>7772</v>
      </c>
      <c r="L54" s="18">
        <v>45495</v>
      </c>
      <c r="M54" s="19" t="s">
        <v>17</v>
      </c>
      <c r="N54" s="20" t="s">
        <v>18</v>
      </c>
      <c r="O54" s="20"/>
      <c r="P54" s="20">
        <v>25</v>
      </c>
      <c r="Q54" s="21">
        <v>45496</v>
      </c>
      <c r="R54" s="20">
        <v>55</v>
      </c>
      <c r="S54" s="22">
        <v>7795</v>
      </c>
      <c r="T54" s="23">
        <v>115</v>
      </c>
      <c r="V54" s="37">
        <f t="shared" si="17"/>
        <v>7795</v>
      </c>
      <c r="W54" s="28">
        <f t="shared" si="18"/>
        <v>0</v>
      </c>
      <c r="X54" s="26">
        <f t="shared" si="19"/>
        <v>23</v>
      </c>
      <c r="Y54" s="200">
        <f t="shared" si="20"/>
        <v>15</v>
      </c>
      <c r="Z54" s="38">
        <f t="shared" si="21"/>
        <v>-8</v>
      </c>
      <c r="AA54" s="39">
        <f t="shared" si="22"/>
        <v>23</v>
      </c>
      <c r="AB54" s="58">
        <f t="shared" si="23"/>
        <v>15</v>
      </c>
    </row>
    <row r="55" spans="1:28" s="1" customFormat="1" x14ac:dyDescent="0.2">
      <c r="A55" s="11" t="s">
        <v>5</v>
      </c>
      <c r="B55" s="12" t="s">
        <v>19</v>
      </c>
      <c r="C55" s="12" t="s">
        <v>132</v>
      </c>
      <c r="D55" s="12" t="s">
        <v>46</v>
      </c>
      <c r="E55" s="12">
        <v>6290051</v>
      </c>
      <c r="F55" s="13">
        <v>7780</v>
      </c>
      <c r="G55" s="14">
        <v>45495</v>
      </c>
      <c r="H55" s="15" t="s">
        <v>7</v>
      </c>
      <c r="I55" s="16" t="s">
        <v>27</v>
      </c>
      <c r="J55" s="16">
        <v>6290587</v>
      </c>
      <c r="K55" s="17">
        <v>7770</v>
      </c>
      <c r="L55" s="18">
        <v>45495</v>
      </c>
      <c r="M55" s="19" t="s">
        <v>17</v>
      </c>
      <c r="N55" s="20" t="s">
        <v>36</v>
      </c>
      <c r="O55" s="20"/>
      <c r="P55" s="20">
        <v>25</v>
      </c>
      <c r="Q55" s="21">
        <v>45495</v>
      </c>
      <c r="R55" s="20">
        <v>55</v>
      </c>
      <c r="S55" s="22">
        <v>7790</v>
      </c>
      <c r="T55" s="23">
        <v>95</v>
      </c>
      <c r="V55" s="37">
        <f t="shared" si="17"/>
        <v>7775</v>
      </c>
      <c r="W55" s="24">
        <f t="shared" si="18"/>
        <v>-15</v>
      </c>
      <c r="X55" s="27">
        <f t="shared" si="19"/>
        <v>5</v>
      </c>
      <c r="Y55" s="200">
        <f t="shared" si="20"/>
        <v>-5</v>
      </c>
      <c r="Z55" s="38">
        <f t="shared" si="21"/>
        <v>-10</v>
      </c>
      <c r="AA55" s="39">
        <f t="shared" si="22"/>
        <v>20</v>
      </c>
      <c r="AB55" s="58">
        <f t="shared" si="23"/>
        <v>10</v>
      </c>
    </row>
    <row r="56" spans="1:28" s="1" customFormat="1" x14ac:dyDescent="0.2">
      <c r="A56" s="11" t="s">
        <v>5</v>
      </c>
      <c r="B56" s="12" t="s">
        <v>19</v>
      </c>
      <c r="C56" s="12" t="s">
        <v>133</v>
      </c>
      <c r="D56" s="12" t="s">
        <v>67</v>
      </c>
      <c r="E56" s="12">
        <v>6290785</v>
      </c>
      <c r="F56" s="13">
        <v>7780</v>
      </c>
      <c r="G56" s="14">
        <v>45496</v>
      </c>
      <c r="H56" s="15" t="s">
        <v>7</v>
      </c>
      <c r="I56" s="16" t="s">
        <v>16</v>
      </c>
      <c r="J56" s="16">
        <v>6290973</v>
      </c>
      <c r="K56" s="17">
        <v>7800</v>
      </c>
      <c r="L56" s="18">
        <v>45496</v>
      </c>
      <c r="M56" s="19" t="s">
        <v>17</v>
      </c>
      <c r="N56" s="20" t="s">
        <v>79</v>
      </c>
      <c r="O56" s="20"/>
      <c r="P56" s="20">
        <v>25</v>
      </c>
      <c r="Q56" s="21">
        <v>45496</v>
      </c>
      <c r="R56" s="20">
        <v>55</v>
      </c>
      <c r="S56" s="22">
        <v>7826</v>
      </c>
      <c r="T56" s="23">
        <v>70</v>
      </c>
      <c r="V56" s="37">
        <f t="shared" si="17"/>
        <v>7750</v>
      </c>
      <c r="W56" s="24">
        <f t="shared" si="18"/>
        <v>-76</v>
      </c>
      <c r="X56" s="45">
        <f t="shared" si="19"/>
        <v>-50</v>
      </c>
      <c r="Y56" s="25">
        <f t="shared" si="20"/>
        <v>-30</v>
      </c>
      <c r="Z56" s="38">
        <f t="shared" si="21"/>
        <v>20</v>
      </c>
      <c r="AA56" s="39">
        <f t="shared" si="22"/>
        <v>26</v>
      </c>
      <c r="AB56" s="58">
        <f t="shared" si="23"/>
        <v>46</v>
      </c>
    </row>
    <row r="57" spans="1:28" s="1" customFormat="1" x14ac:dyDescent="0.2">
      <c r="A57" s="11" t="s">
        <v>5</v>
      </c>
      <c r="B57" s="12" t="s">
        <v>19</v>
      </c>
      <c r="C57" s="12" t="s">
        <v>195</v>
      </c>
      <c r="D57" s="12" t="s">
        <v>62</v>
      </c>
      <c r="E57" s="12">
        <v>6286449</v>
      </c>
      <c r="F57" s="13">
        <v>7780</v>
      </c>
      <c r="G57" s="14">
        <v>45491</v>
      </c>
      <c r="H57" s="15" t="s">
        <v>31</v>
      </c>
      <c r="I57" s="16" t="s">
        <v>16</v>
      </c>
      <c r="J57" s="16">
        <v>6292032</v>
      </c>
      <c r="K57" s="17">
        <v>7760</v>
      </c>
      <c r="L57" s="18">
        <v>45497</v>
      </c>
      <c r="M57" s="19" t="s">
        <v>35</v>
      </c>
      <c r="N57" s="20" t="s">
        <v>79</v>
      </c>
      <c r="O57" s="20">
        <v>15</v>
      </c>
      <c r="P57" s="20"/>
      <c r="Q57" s="21">
        <v>45497</v>
      </c>
      <c r="R57" s="20">
        <v>500</v>
      </c>
      <c r="S57" s="22">
        <v>7707</v>
      </c>
      <c r="T57" s="23">
        <v>237</v>
      </c>
      <c r="V57" s="37">
        <f t="shared" si="17"/>
        <v>7737</v>
      </c>
      <c r="W57" s="46">
        <f t="shared" si="18"/>
        <v>30</v>
      </c>
      <c r="X57" s="27">
        <f t="shared" si="19"/>
        <v>-23</v>
      </c>
      <c r="Y57" s="199">
        <f t="shared" si="20"/>
        <v>-43</v>
      </c>
      <c r="Z57" s="38">
        <f t="shared" si="21"/>
        <v>-20</v>
      </c>
      <c r="AA57" s="39">
        <f t="shared" si="22"/>
        <v>-53</v>
      </c>
      <c r="AB57" s="58">
        <f t="shared" si="23"/>
        <v>-73</v>
      </c>
    </row>
    <row r="58" spans="1:28" s="1" customFormat="1" x14ac:dyDescent="0.2">
      <c r="A58" s="11" t="s">
        <v>5</v>
      </c>
      <c r="B58" s="12" t="s">
        <v>19</v>
      </c>
      <c r="C58" s="12" t="s">
        <v>167</v>
      </c>
      <c r="D58" s="12" t="s">
        <v>46</v>
      </c>
      <c r="E58" s="12">
        <v>6291369</v>
      </c>
      <c r="F58" s="13">
        <v>7780</v>
      </c>
      <c r="G58" s="14">
        <v>45496</v>
      </c>
      <c r="H58" s="15" t="s">
        <v>163</v>
      </c>
      <c r="I58" s="16" t="s">
        <v>63</v>
      </c>
      <c r="J58" s="16">
        <v>6291831</v>
      </c>
      <c r="K58" s="17">
        <v>7772</v>
      </c>
      <c r="L58" s="18">
        <v>45496</v>
      </c>
      <c r="M58" s="19" t="s">
        <v>39</v>
      </c>
      <c r="N58" s="20" t="s">
        <v>18</v>
      </c>
      <c r="O58" s="20">
        <v>15</v>
      </c>
      <c r="P58" s="20"/>
      <c r="Q58" s="21">
        <v>45497</v>
      </c>
      <c r="R58" s="20">
        <v>110</v>
      </c>
      <c r="S58" s="22">
        <v>7780</v>
      </c>
      <c r="T58" s="23">
        <v>180</v>
      </c>
      <c r="V58" s="37">
        <f t="shared" si="17"/>
        <v>7790</v>
      </c>
      <c r="W58" s="28">
        <f t="shared" si="18"/>
        <v>10</v>
      </c>
      <c r="X58" s="26">
        <f t="shared" si="19"/>
        <v>18</v>
      </c>
      <c r="Y58" s="200">
        <f t="shared" si="20"/>
        <v>10</v>
      </c>
      <c r="Z58" s="38">
        <f t="shared" si="21"/>
        <v>-8</v>
      </c>
      <c r="AA58" s="39">
        <f t="shared" si="22"/>
        <v>8</v>
      </c>
      <c r="AB58" s="58">
        <f t="shared" si="23"/>
        <v>0</v>
      </c>
    </row>
    <row r="59" spans="1:28" s="1" customFormat="1" x14ac:dyDescent="0.2">
      <c r="A59" s="11" t="s">
        <v>28</v>
      </c>
      <c r="B59" s="12" t="s">
        <v>19</v>
      </c>
      <c r="C59" s="12" t="s">
        <v>171</v>
      </c>
      <c r="D59" s="12" t="s">
        <v>46</v>
      </c>
      <c r="E59" s="12">
        <v>6292292</v>
      </c>
      <c r="F59" s="13">
        <v>8130</v>
      </c>
      <c r="G59" s="14">
        <v>45497</v>
      </c>
      <c r="H59" s="15" t="s">
        <v>31</v>
      </c>
      <c r="I59" s="16" t="s">
        <v>27</v>
      </c>
      <c r="J59" s="16">
        <v>6292653</v>
      </c>
      <c r="K59" s="17">
        <v>8130</v>
      </c>
      <c r="L59" s="18">
        <v>45497</v>
      </c>
      <c r="M59" s="19" t="s">
        <v>44</v>
      </c>
      <c r="N59" s="20" t="s">
        <v>25</v>
      </c>
      <c r="O59" s="20"/>
      <c r="P59" s="20">
        <v>26</v>
      </c>
      <c r="Q59" s="21">
        <v>45497</v>
      </c>
      <c r="R59" s="20">
        <v>110</v>
      </c>
      <c r="S59" s="22">
        <v>8070</v>
      </c>
      <c r="T59" s="23">
        <v>30</v>
      </c>
      <c r="V59" s="37">
        <f t="shared" si="17"/>
        <v>8070</v>
      </c>
      <c r="W59" s="28">
        <f t="shared" si="18"/>
        <v>0</v>
      </c>
      <c r="X59" s="26">
        <f t="shared" si="19"/>
        <v>-60</v>
      </c>
      <c r="Y59" s="200">
        <f t="shared" si="20"/>
        <v>-60</v>
      </c>
      <c r="Z59" s="38">
        <f t="shared" si="21"/>
        <v>0</v>
      </c>
      <c r="AA59" s="39">
        <f t="shared" si="22"/>
        <v>-60</v>
      </c>
      <c r="AB59" s="58">
        <f t="shared" si="23"/>
        <v>-60</v>
      </c>
    </row>
    <row r="60" spans="1:28" s="1" customFormat="1" x14ac:dyDescent="0.2">
      <c r="A60" s="11" t="s">
        <v>28</v>
      </c>
      <c r="B60" s="12" t="s">
        <v>19</v>
      </c>
      <c r="C60" s="12" t="s">
        <v>172</v>
      </c>
      <c r="D60" s="12" t="s">
        <v>127</v>
      </c>
      <c r="E60" s="12">
        <v>6292017</v>
      </c>
      <c r="F60" s="13">
        <v>7780</v>
      </c>
      <c r="G60" s="14">
        <v>45497</v>
      </c>
      <c r="H60" s="15" t="s">
        <v>31</v>
      </c>
      <c r="I60" s="16" t="s">
        <v>27</v>
      </c>
      <c r="J60" s="16">
        <v>6292726</v>
      </c>
      <c r="K60" s="17">
        <v>7800</v>
      </c>
      <c r="L60" s="18">
        <v>45497</v>
      </c>
      <c r="M60" s="19" t="s">
        <v>44</v>
      </c>
      <c r="N60" s="20" t="s">
        <v>25</v>
      </c>
      <c r="O60" s="20"/>
      <c r="P60" s="20">
        <v>25</v>
      </c>
      <c r="Q60" s="21">
        <v>45497</v>
      </c>
      <c r="R60" s="20">
        <v>110</v>
      </c>
      <c r="S60" s="22">
        <v>7765</v>
      </c>
      <c r="T60" s="23">
        <v>30</v>
      </c>
      <c r="V60" s="37">
        <f t="shared" si="17"/>
        <v>7765</v>
      </c>
      <c r="W60" s="28">
        <f t="shared" si="18"/>
        <v>0</v>
      </c>
      <c r="X60" s="26">
        <f t="shared" si="19"/>
        <v>-35</v>
      </c>
      <c r="Y60" s="200">
        <f t="shared" si="20"/>
        <v>-15</v>
      </c>
      <c r="Z60" s="38">
        <f t="shared" si="21"/>
        <v>20</v>
      </c>
      <c r="AA60" s="39">
        <f t="shared" si="22"/>
        <v>-35</v>
      </c>
      <c r="AB60" s="58">
        <f t="shared" si="23"/>
        <v>-15</v>
      </c>
    </row>
    <row r="61" spans="1:28" s="1" customFormat="1" x14ac:dyDescent="0.2">
      <c r="A61" s="11" t="s">
        <v>28</v>
      </c>
      <c r="B61" s="12" t="s">
        <v>19</v>
      </c>
      <c r="C61" s="12" t="s">
        <v>174</v>
      </c>
      <c r="D61" s="12" t="s">
        <v>127</v>
      </c>
      <c r="E61" s="12">
        <v>6292158</v>
      </c>
      <c r="F61" s="13">
        <v>8465</v>
      </c>
      <c r="G61" s="14">
        <v>45497</v>
      </c>
      <c r="H61" s="15" t="s">
        <v>31</v>
      </c>
      <c r="I61" s="16" t="s">
        <v>16</v>
      </c>
      <c r="J61" s="16">
        <v>6293062</v>
      </c>
      <c r="K61" s="17">
        <v>8500</v>
      </c>
      <c r="L61" s="18">
        <v>45498</v>
      </c>
      <c r="M61" s="19" t="s">
        <v>17</v>
      </c>
      <c r="N61" s="20" t="s">
        <v>79</v>
      </c>
      <c r="O61" s="20"/>
      <c r="P61" s="20">
        <v>27</v>
      </c>
      <c r="Q61" s="21">
        <v>45498</v>
      </c>
      <c r="R61" s="20">
        <v>310</v>
      </c>
      <c r="S61" s="22">
        <v>8508</v>
      </c>
      <c r="T61" s="23">
        <v>265</v>
      </c>
      <c r="V61" s="37">
        <f t="shared" si="17"/>
        <v>8500</v>
      </c>
      <c r="W61" s="46">
        <f t="shared" si="18"/>
        <v>-8</v>
      </c>
      <c r="X61" s="27">
        <f t="shared" si="19"/>
        <v>0</v>
      </c>
      <c r="Y61" s="199">
        <f t="shared" si="20"/>
        <v>35</v>
      </c>
      <c r="Z61" s="38">
        <f t="shared" si="21"/>
        <v>35</v>
      </c>
      <c r="AA61" s="39">
        <f t="shared" si="22"/>
        <v>8</v>
      </c>
      <c r="AB61" s="58">
        <f t="shared" si="23"/>
        <v>43</v>
      </c>
    </row>
    <row r="62" spans="1:28" s="1" customFormat="1" x14ac:dyDescent="0.2">
      <c r="A62" s="11" t="s">
        <v>5</v>
      </c>
      <c r="B62" s="12" t="s">
        <v>19</v>
      </c>
      <c r="C62" s="12" t="s">
        <v>175</v>
      </c>
      <c r="D62" s="12" t="s">
        <v>127</v>
      </c>
      <c r="E62" s="12">
        <v>6291957</v>
      </c>
      <c r="F62" s="13">
        <v>7780</v>
      </c>
      <c r="G62" s="14">
        <v>45497</v>
      </c>
      <c r="H62" s="15" t="s">
        <v>31</v>
      </c>
      <c r="I62" s="16" t="s">
        <v>63</v>
      </c>
      <c r="J62" s="16">
        <v>6292746</v>
      </c>
      <c r="K62" s="17">
        <v>7788</v>
      </c>
      <c r="L62" s="18">
        <v>45497</v>
      </c>
      <c r="M62" s="19" t="s">
        <v>35</v>
      </c>
      <c r="N62" s="20" t="s">
        <v>36</v>
      </c>
      <c r="O62" s="20">
        <v>15</v>
      </c>
      <c r="P62" s="20"/>
      <c r="Q62" s="21">
        <v>45497</v>
      </c>
      <c r="R62" s="20">
        <v>500</v>
      </c>
      <c r="S62" s="22">
        <v>7780</v>
      </c>
      <c r="T62" s="23">
        <v>180</v>
      </c>
      <c r="V62" s="37">
        <f t="shared" si="17"/>
        <v>7680</v>
      </c>
      <c r="W62" s="28">
        <f t="shared" si="18"/>
        <v>-100</v>
      </c>
      <c r="X62" s="26">
        <f t="shared" si="19"/>
        <v>-108</v>
      </c>
      <c r="Y62" s="200">
        <f t="shared" si="20"/>
        <v>-100</v>
      </c>
      <c r="Z62" s="38">
        <f t="shared" si="21"/>
        <v>8</v>
      </c>
      <c r="AA62" s="39">
        <f t="shared" si="22"/>
        <v>-8</v>
      </c>
      <c r="AB62" s="58">
        <f t="shared" si="23"/>
        <v>0</v>
      </c>
    </row>
    <row r="63" spans="1:28" s="1" customFormat="1" x14ac:dyDescent="0.2">
      <c r="A63" s="11" t="s">
        <v>5</v>
      </c>
      <c r="B63" s="12" t="s">
        <v>19</v>
      </c>
      <c r="C63" s="12" t="s">
        <v>64</v>
      </c>
      <c r="D63" s="12" t="s">
        <v>6</v>
      </c>
      <c r="E63" s="12">
        <v>6293828</v>
      </c>
      <c r="F63" s="13">
        <v>7450</v>
      </c>
      <c r="G63" s="14">
        <v>45493</v>
      </c>
      <c r="H63" s="15" t="s">
        <v>7</v>
      </c>
      <c r="I63" s="16" t="s">
        <v>27</v>
      </c>
      <c r="J63" s="16">
        <v>6293828</v>
      </c>
      <c r="K63" s="17">
        <v>7340</v>
      </c>
      <c r="L63" s="18">
        <v>45498</v>
      </c>
      <c r="M63" s="19" t="s">
        <v>39</v>
      </c>
      <c r="N63" s="20" t="s">
        <v>18</v>
      </c>
      <c r="O63" s="20">
        <v>14</v>
      </c>
      <c r="P63" s="20"/>
      <c r="Q63" s="21">
        <v>45499</v>
      </c>
      <c r="R63" s="20">
        <v>501</v>
      </c>
      <c r="S63" s="22">
        <v>7357</v>
      </c>
      <c r="T63" s="23">
        <v>357</v>
      </c>
      <c r="V63" s="37">
        <f t="shared" si="17"/>
        <v>7357</v>
      </c>
      <c r="W63" s="28">
        <f t="shared" si="18"/>
        <v>0</v>
      </c>
      <c r="X63" s="45">
        <f t="shared" si="19"/>
        <v>17</v>
      </c>
      <c r="Y63" s="199">
        <f t="shared" si="20"/>
        <v>-93</v>
      </c>
      <c r="Z63" s="38">
        <f t="shared" si="21"/>
        <v>-110</v>
      </c>
      <c r="AA63" s="39">
        <f t="shared" si="22"/>
        <v>17</v>
      </c>
      <c r="AB63" s="58">
        <f t="shared" si="23"/>
        <v>-93</v>
      </c>
    </row>
    <row r="64" spans="1:28" s="1" customFormat="1" x14ac:dyDescent="0.2">
      <c r="A64" s="11" t="s">
        <v>5</v>
      </c>
      <c r="B64" s="12" t="s">
        <v>19</v>
      </c>
      <c r="C64" s="12" t="s">
        <v>194</v>
      </c>
      <c r="D64" s="12" t="s">
        <v>46</v>
      </c>
      <c r="E64" s="12">
        <v>6291462</v>
      </c>
      <c r="F64" s="13">
        <v>7590</v>
      </c>
      <c r="G64" s="14">
        <v>45496</v>
      </c>
      <c r="H64" s="15" t="s">
        <v>7</v>
      </c>
      <c r="I64" s="16" t="s">
        <v>63</v>
      </c>
      <c r="J64" s="16">
        <v>6296128</v>
      </c>
      <c r="K64" s="17">
        <v>7603</v>
      </c>
      <c r="L64" s="18">
        <v>45500</v>
      </c>
      <c r="M64" s="19" t="s">
        <v>35</v>
      </c>
      <c r="N64" s="20" t="s">
        <v>36</v>
      </c>
      <c r="O64" s="20">
        <v>15</v>
      </c>
      <c r="P64" s="20"/>
      <c r="Q64" s="21">
        <v>45500</v>
      </c>
      <c r="R64" s="20">
        <v>500</v>
      </c>
      <c r="S64" s="22">
        <v>7541</v>
      </c>
      <c r="T64" s="23">
        <v>60</v>
      </c>
      <c r="V64" s="37">
        <f t="shared" si="17"/>
        <v>7560</v>
      </c>
      <c r="W64" s="28">
        <f t="shared" si="18"/>
        <v>19</v>
      </c>
      <c r="X64" s="26">
        <f t="shared" si="19"/>
        <v>-43</v>
      </c>
      <c r="Y64" s="200">
        <f t="shared" si="20"/>
        <v>-30</v>
      </c>
      <c r="Z64" s="38">
        <f t="shared" si="21"/>
        <v>13</v>
      </c>
      <c r="AA64" s="39">
        <f t="shared" si="22"/>
        <v>-62</v>
      </c>
      <c r="AB64" s="58">
        <f t="shared" si="23"/>
        <v>-49</v>
      </c>
    </row>
    <row r="65" spans="1:29" s="1" customFormat="1" x14ac:dyDescent="0.2">
      <c r="A65" s="11" t="s">
        <v>5</v>
      </c>
      <c r="B65" s="12" t="s">
        <v>19</v>
      </c>
      <c r="C65" s="12" t="s">
        <v>187</v>
      </c>
      <c r="D65" s="12" t="s">
        <v>62</v>
      </c>
      <c r="E65" s="12">
        <v>6295026</v>
      </c>
      <c r="F65" s="13">
        <v>8025</v>
      </c>
      <c r="G65" s="14">
        <v>45499</v>
      </c>
      <c r="H65" s="15" t="s">
        <v>7</v>
      </c>
      <c r="I65" s="16" t="s">
        <v>16</v>
      </c>
      <c r="J65" s="16">
        <v>6295266</v>
      </c>
      <c r="K65" s="17">
        <v>8020</v>
      </c>
      <c r="L65" s="18">
        <v>45500</v>
      </c>
      <c r="M65" s="19" t="s">
        <v>39</v>
      </c>
      <c r="N65" s="20" t="s">
        <v>18</v>
      </c>
      <c r="O65" s="20">
        <v>15</v>
      </c>
      <c r="P65" s="20"/>
      <c r="Q65" s="21">
        <v>45500</v>
      </c>
      <c r="R65" s="20">
        <v>55</v>
      </c>
      <c r="S65" s="22">
        <v>8035</v>
      </c>
      <c r="T65" s="23">
        <v>425</v>
      </c>
      <c r="V65" s="37">
        <f t="shared" si="17"/>
        <v>7980</v>
      </c>
      <c r="W65" s="24">
        <f t="shared" si="18"/>
        <v>-55</v>
      </c>
      <c r="X65" s="27">
        <f t="shared" si="19"/>
        <v>-40</v>
      </c>
      <c r="Y65" s="200">
        <f t="shared" si="20"/>
        <v>-45</v>
      </c>
      <c r="Z65" s="38">
        <f t="shared" si="21"/>
        <v>-5</v>
      </c>
      <c r="AA65" s="39">
        <f t="shared" si="22"/>
        <v>15</v>
      </c>
      <c r="AB65" s="58">
        <f t="shared" si="23"/>
        <v>10</v>
      </c>
    </row>
    <row r="66" spans="1:29" s="1" customFormat="1" x14ac:dyDescent="0.2">
      <c r="A66" s="11" t="s">
        <v>28</v>
      </c>
      <c r="B66" s="12" t="s">
        <v>19</v>
      </c>
      <c r="C66" s="12" t="s">
        <v>250</v>
      </c>
      <c r="D66" s="12" t="s">
        <v>15</v>
      </c>
      <c r="E66" s="12">
        <v>6310571</v>
      </c>
      <c r="F66" s="13">
        <v>8135</v>
      </c>
      <c r="G66" s="14">
        <v>45511</v>
      </c>
      <c r="H66" s="15" t="s">
        <v>7</v>
      </c>
      <c r="I66" s="16" t="s">
        <v>40</v>
      </c>
      <c r="J66" s="16">
        <v>6311070</v>
      </c>
      <c r="K66" s="17">
        <v>8150</v>
      </c>
      <c r="L66" s="18">
        <v>45512</v>
      </c>
      <c r="M66" s="19" t="s">
        <v>35</v>
      </c>
      <c r="N66" s="20" t="s">
        <v>74</v>
      </c>
      <c r="O66" s="20">
        <v>16</v>
      </c>
      <c r="P66" s="20"/>
      <c r="Q66" s="21">
        <v>45512</v>
      </c>
      <c r="R66" s="20">
        <v>110</v>
      </c>
      <c r="S66" s="22">
        <v>8110</v>
      </c>
      <c r="T66" s="23">
        <v>0</v>
      </c>
      <c r="V66" s="37">
        <f t="shared" si="17"/>
        <v>8110</v>
      </c>
      <c r="W66" s="28">
        <f t="shared" si="18"/>
        <v>0</v>
      </c>
      <c r="X66" s="26">
        <f t="shared" si="19"/>
        <v>-40</v>
      </c>
      <c r="Y66" s="47">
        <f t="shared" si="20"/>
        <v>-25</v>
      </c>
      <c r="Z66" s="38">
        <f t="shared" si="21"/>
        <v>15</v>
      </c>
      <c r="AA66" s="39">
        <f t="shared" si="22"/>
        <v>-40</v>
      </c>
      <c r="AB66" s="39">
        <f t="shared" si="23"/>
        <v>-25</v>
      </c>
    </row>
    <row r="67" spans="1:29" s="1" customFormat="1" x14ac:dyDescent="0.2">
      <c r="A67" s="11" t="s">
        <v>28</v>
      </c>
      <c r="B67" s="12" t="s">
        <v>19</v>
      </c>
      <c r="C67" s="12" t="s">
        <v>251</v>
      </c>
      <c r="D67" s="12" t="s">
        <v>218</v>
      </c>
      <c r="E67" s="12">
        <v>6309583</v>
      </c>
      <c r="F67" s="13">
        <v>8140</v>
      </c>
      <c r="G67" s="14">
        <v>45511</v>
      </c>
      <c r="H67" s="15" t="s">
        <v>7</v>
      </c>
      <c r="I67" s="16" t="s">
        <v>63</v>
      </c>
      <c r="J67" s="16">
        <v>6310868</v>
      </c>
      <c r="K67" s="17">
        <v>8158</v>
      </c>
      <c r="L67" s="18">
        <v>45512</v>
      </c>
      <c r="M67" s="19" t="s">
        <v>35</v>
      </c>
      <c r="N67" s="20" t="s">
        <v>74</v>
      </c>
      <c r="O67" s="20">
        <v>16</v>
      </c>
      <c r="P67" s="20"/>
      <c r="Q67" s="21">
        <v>45512</v>
      </c>
      <c r="R67" s="20">
        <v>110</v>
      </c>
      <c r="S67" s="22">
        <v>8110</v>
      </c>
      <c r="T67" s="23">
        <v>40</v>
      </c>
      <c r="V67" s="37">
        <f t="shared" si="17"/>
        <v>8150</v>
      </c>
      <c r="W67" s="24">
        <f t="shared" si="18"/>
        <v>40</v>
      </c>
      <c r="X67" s="27">
        <f t="shared" si="19"/>
        <v>-8</v>
      </c>
      <c r="Y67" s="47">
        <f t="shared" si="20"/>
        <v>10</v>
      </c>
      <c r="Z67" s="38">
        <f t="shared" si="21"/>
        <v>18</v>
      </c>
      <c r="AA67" s="39">
        <f t="shared" si="22"/>
        <v>-48</v>
      </c>
      <c r="AB67" s="39">
        <f t="shared" si="23"/>
        <v>-30</v>
      </c>
      <c r="AC67" s="209"/>
    </row>
    <row r="68" spans="1:29" s="1" customFormat="1" x14ac:dyDescent="0.2">
      <c r="A68" s="11" t="s">
        <v>28</v>
      </c>
      <c r="B68" s="12" t="s">
        <v>19</v>
      </c>
      <c r="C68" s="12" t="s">
        <v>253</v>
      </c>
      <c r="D68" s="12" t="s">
        <v>15</v>
      </c>
      <c r="E68" s="12">
        <v>6310421</v>
      </c>
      <c r="F68" s="13">
        <v>8136</v>
      </c>
      <c r="G68" s="14">
        <v>45511</v>
      </c>
      <c r="H68" s="15" t="s">
        <v>7</v>
      </c>
      <c r="I68" s="16" t="s">
        <v>63</v>
      </c>
      <c r="J68" s="16">
        <v>630738</v>
      </c>
      <c r="K68" s="17">
        <v>8153</v>
      </c>
      <c r="L68" s="18">
        <v>45512</v>
      </c>
      <c r="M68" s="19" t="s">
        <v>35</v>
      </c>
      <c r="N68" s="20" t="s">
        <v>36</v>
      </c>
      <c r="O68" s="20">
        <v>16</v>
      </c>
      <c r="P68" s="20"/>
      <c r="Q68" s="21">
        <v>45512</v>
      </c>
      <c r="R68" s="20">
        <v>110</v>
      </c>
      <c r="S68" s="22">
        <v>8136</v>
      </c>
      <c r="T68" s="23">
        <v>28</v>
      </c>
      <c r="V68" s="37">
        <f t="shared" si="17"/>
        <v>8138</v>
      </c>
      <c r="W68" s="28">
        <f t="shared" si="18"/>
        <v>2</v>
      </c>
      <c r="X68" s="26">
        <f t="shared" si="19"/>
        <v>-15</v>
      </c>
      <c r="Y68" s="47">
        <f t="shared" si="20"/>
        <v>2</v>
      </c>
      <c r="Z68" s="38">
        <f t="shared" si="21"/>
        <v>17</v>
      </c>
      <c r="AA68" s="39">
        <f t="shared" si="22"/>
        <v>-17</v>
      </c>
      <c r="AB68" s="39">
        <f t="shared" si="23"/>
        <v>0</v>
      </c>
      <c r="AC68" s="209"/>
    </row>
    <row r="69" spans="1:29" s="1" customFormat="1" x14ac:dyDescent="0.2">
      <c r="A69" s="11" t="s">
        <v>28</v>
      </c>
      <c r="B69" s="12" t="s">
        <v>19</v>
      </c>
      <c r="C69" s="12" t="s">
        <v>255</v>
      </c>
      <c r="D69" s="12" t="s">
        <v>218</v>
      </c>
      <c r="E69" s="12">
        <v>6309910</v>
      </c>
      <c r="F69" s="13">
        <v>8140</v>
      </c>
      <c r="G69" s="14">
        <v>45511</v>
      </c>
      <c r="H69" s="15" t="s">
        <v>7</v>
      </c>
      <c r="I69" s="16" t="s">
        <v>8</v>
      </c>
      <c r="J69" s="16">
        <v>6310613</v>
      </c>
      <c r="K69" s="17">
        <v>8150</v>
      </c>
      <c r="L69" s="18">
        <v>45511</v>
      </c>
      <c r="M69" s="19" t="s">
        <v>35</v>
      </c>
      <c r="N69" s="20" t="s">
        <v>36</v>
      </c>
      <c r="O69" s="20">
        <v>16</v>
      </c>
      <c r="P69" s="20"/>
      <c r="Q69" s="21">
        <v>45512</v>
      </c>
      <c r="R69" s="20">
        <v>110</v>
      </c>
      <c r="S69" s="22">
        <v>8150</v>
      </c>
      <c r="T69" s="23">
        <v>40</v>
      </c>
      <c r="V69" s="37">
        <f t="shared" si="17"/>
        <v>8150</v>
      </c>
      <c r="W69" s="28">
        <f t="shared" si="18"/>
        <v>0</v>
      </c>
      <c r="X69" s="45">
        <f t="shared" si="19"/>
        <v>0</v>
      </c>
      <c r="Y69" s="204">
        <f t="shared" si="20"/>
        <v>10</v>
      </c>
      <c r="Z69" s="38">
        <f t="shared" si="21"/>
        <v>10</v>
      </c>
      <c r="AA69" s="39">
        <f t="shared" si="22"/>
        <v>0</v>
      </c>
      <c r="AB69" s="39">
        <f t="shared" si="23"/>
        <v>10</v>
      </c>
      <c r="AC69" s="209"/>
    </row>
    <row r="70" spans="1:29" s="1" customFormat="1" x14ac:dyDescent="0.2">
      <c r="A70" s="11" t="s">
        <v>28</v>
      </c>
      <c r="B70" s="12" t="s">
        <v>19</v>
      </c>
      <c r="C70" s="12" t="s">
        <v>258</v>
      </c>
      <c r="D70" s="12" t="s">
        <v>62</v>
      </c>
      <c r="E70" s="12">
        <v>6310766</v>
      </c>
      <c r="F70" s="13">
        <v>8135</v>
      </c>
      <c r="G70" s="14">
        <v>45512</v>
      </c>
      <c r="H70" s="15" t="s">
        <v>7</v>
      </c>
      <c r="I70" s="16" t="s">
        <v>40</v>
      </c>
      <c r="J70" s="16">
        <v>6310949</v>
      </c>
      <c r="K70" s="17">
        <v>8155</v>
      </c>
      <c r="L70" s="18">
        <v>45512</v>
      </c>
      <c r="M70" s="19" t="s">
        <v>35</v>
      </c>
      <c r="N70" s="20" t="s">
        <v>74</v>
      </c>
      <c r="O70" s="20">
        <v>16</v>
      </c>
      <c r="P70" s="20"/>
      <c r="Q70" s="21">
        <v>45512</v>
      </c>
      <c r="R70" s="20">
        <v>110</v>
      </c>
      <c r="S70" s="22">
        <v>8110</v>
      </c>
      <c r="T70" s="23">
        <v>20</v>
      </c>
      <c r="V70" s="37">
        <f t="shared" si="17"/>
        <v>8130</v>
      </c>
      <c r="W70" s="46">
        <f t="shared" si="18"/>
        <v>20</v>
      </c>
      <c r="X70" s="26">
        <f t="shared" si="19"/>
        <v>-25</v>
      </c>
      <c r="Y70" s="203">
        <f t="shared" si="20"/>
        <v>-5</v>
      </c>
      <c r="Z70" s="38">
        <f t="shared" si="21"/>
        <v>20</v>
      </c>
      <c r="AA70" s="39">
        <f t="shared" si="22"/>
        <v>-45</v>
      </c>
      <c r="AB70" s="39">
        <f t="shared" si="23"/>
        <v>-25</v>
      </c>
      <c r="AC70" s="209"/>
    </row>
    <row r="71" spans="1:29" s="1" customFormat="1" x14ac:dyDescent="0.2">
      <c r="A71" s="11" t="s">
        <v>5</v>
      </c>
      <c r="B71" s="12" t="s">
        <v>19</v>
      </c>
      <c r="C71" s="12" t="s">
        <v>259</v>
      </c>
      <c r="D71" s="12" t="s">
        <v>62</v>
      </c>
      <c r="E71" s="12">
        <v>6310945</v>
      </c>
      <c r="F71" s="13">
        <v>7780</v>
      </c>
      <c r="G71" s="14">
        <v>45512</v>
      </c>
      <c r="H71" s="15" t="s">
        <v>31</v>
      </c>
      <c r="I71" s="16" t="s">
        <v>43</v>
      </c>
      <c r="J71" s="16">
        <v>6311314</v>
      </c>
      <c r="K71" s="17">
        <v>7790</v>
      </c>
      <c r="L71" s="18">
        <v>45512</v>
      </c>
      <c r="M71" s="19" t="s">
        <v>39</v>
      </c>
      <c r="N71" s="20" t="s">
        <v>51</v>
      </c>
      <c r="O71" s="20">
        <v>15</v>
      </c>
      <c r="P71" s="20"/>
      <c r="Q71" s="21">
        <v>45512</v>
      </c>
      <c r="R71" s="20">
        <v>110</v>
      </c>
      <c r="S71" s="22">
        <v>7760</v>
      </c>
      <c r="T71" s="23">
        <v>115</v>
      </c>
      <c r="V71" s="37">
        <f t="shared" si="17"/>
        <v>7725</v>
      </c>
      <c r="W71" s="28">
        <f t="shared" si="18"/>
        <v>-35</v>
      </c>
      <c r="X71" s="26">
        <f t="shared" si="19"/>
        <v>-65</v>
      </c>
      <c r="Y71" s="47">
        <f t="shared" si="20"/>
        <v>-55</v>
      </c>
      <c r="Z71" s="38">
        <f t="shared" si="21"/>
        <v>10</v>
      </c>
      <c r="AA71" s="39">
        <f t="shared" si="22"/>
        <v>-30</v>
      </c>
      <c r="AB71" s="39">
        <f t="shared" si="23"/>
        <v>-20</v>
      </c>
      <c r="AC71" s="209"/>
    </row>
    <row r="72" spans="1:29" s="1" customFormat="1" x14ac:dyDescent="0.2">
      <c r="A72" s="11" t="s">
        <v>28</v>
      </c>
      <c r="B72" s="12" t="s">
        <v>19</v>
      </c>
      <c r="C72" s="12" t="s">
        <v>260</v>
      </c>
      <c r="D72" s="12" t="s">
        <v>218</v>
      </c>
      <c r="E72" s="12">
        <v>6311208</v>
      </c>
      <c r="F72" s="13">
        <v>8140</v>
      </c>
      <c r="G72" s="14">
        <v>45512</v>
      </c>
      <c r="H72" s="15" t="s">
        <v>7</v>
      </c>
      <c r="I72" s="16" t="s">
        <v>101</v>
      </c>
      <c r="J72" s="16">
        <v>6312046</v>
      </c>
      <c r="K72" s="17">
        <v>8150</v>
      </c>
      <c r="L72" s="18">
        <v>45512</v>
      </c>
      <c r="M72" s="19" t="s">
        <v>35</v>
      </c>
      <c r="N72" s="20" t="s">
        <v>79</v>
      </c>
      <c r="O72" s="20">
        <v>16</v>
      </c>
      <c r="P72" s="20"/>
      <c r="Q72" s="21">
        <v>45512</v>
      </c>
      <c r="R72" s="20">
        <v>110</v>
      </c>
      <c r="S72" s="22">
        <v>8153</v>
      </c>
      <c r="T72" s="23">
        <v>50</v>
      </c>
      <c r="V72" s="37">
        <f t="shared" si="17"/>
        <v>8160</v>
      </c>
      <c r="W72" s="28">
        <f t="shared" si="18"/>
        <v>7</v>
      </c>
      <c r="X72" s="45">
        <f t="shared" si="19"/>
        <v>10</v>
      </c>
      <c r="Y72" s="204">
        <f t="shared" si="20"/>
        <v>20</v>
      </c>
      <c r="Z72" s="38">
        <f t="shared" si="21"/>
        <v>10</v>
      </c>
      <c r="AA72" s="39">
        <f t="shared" si="22"/>
        <v>3</v>
      </c>
      <c r="AB72" s="39">
        <f t="shared" si="23"/>
        <v>13</v>
      </c>
      <c r="AC72" s="209"/>
    </row>
    <row r="73" spans="1:29" s="1" customFormat="1" x14ac:dyDescent="0.2">
      <c r="A73" s="11" t="s">
        <v>28</v>
      </c>
      <c r="B73" s="12" t="s">
        <v>19</v>
      </c>
      <c r="C73" s="12" t="s">
        <v>263</v>
      </c>
      <c r="D73" s="12" t="s">
        <v>15</v>
      </c>
      <c r="E73" s="12">
        <v>6312173</v>
      </c>
      <c r="F73" s="13">
        <v>8135</v>
      </c>
      <c r="G73" s="14">
        <v>45512</v>
      </c>
      <c r="H73" s="15" t="s">
        <v>7</v>
      </c>
      <c r="I73" s="16" t="s">
        <v>101</v>
      </c>
      <c r="J73" s="16">
        <v>6312388</v>
      </c>
      <c r="K73" s="17">
        <v>8145</v>
      </c>
      <c r="L73" s="18">
        <v>45512</v>
      </c>
      <c r="M73" s="19" t="s">
        <v>35</v>
      </c>
      <c r="N73" s="20" t="s">
        <v>36</v>
      </c>
      <c r="O73" s="20">
        <v>16</v>
      </c>
      <c r="P73" s="20"/>
      <c r="Q73" s="21">
        <v>45513</v>
      </c>
      <c r="R73" s="20">
        <v>110</v>
      </c>
      <c r="S73" s="22">
        <v>8157</v>
      </c>
      <c r="T73" s="23">
        <v>37</v>
      </c>
      <c r="V73" s="37">
        <f t="shared" si="17"/>
        <v>8147</v>
      </c>
      <c r="W73" s="46">
        <f t="shared" si="18"/>
        <v>-10</v>
      </c>
      <c r="X73" s="27">
        <f t="shared" si="19"/>
        <v>2</v>
      </c>
      <c r="Y73" s="204">
        <f t="shared" si="20"/>
        <v>12</v>
      </c>
      <c r="Z73" s="38">
        <f t="shared" si="21"/>
        <v>10</v>
      </c>
      <c r="AA73" s="39">
        <f t="shared" si="22"/>
        <v>12</v>
      </c>
      <c r="AB73" s="39">
        <f t="shared" si="23"/>
        <v>22</v>
      </c>
      <c r="AC73" s="209"/>
    </row>
    <row r="74" spans="1:29" s="1" customFormat="1" x14ac:dyDescent="0.2">
      <c r="A74" s="11" t="s">
        <v>28</v>
      </c>
      <c r="B74" s="12" t="s">
        <v>19</v>
      </c>
      <c r="C74" s="12" t="s">
        <v>266</v>
      </c>
      <c r="D74" s="12" t="s">
        <v>62</v>
      </c>
      <c r="E74" s="12">
        <v>6312690</v>
      </c>
      <c r="F74" s="13">
        <v>8135</v>
      </c>
      <c r="G74" s="14">
        <v>45513</v>
      </c>
      <c r="H74" s="15" t="s">
        <v>7</v>
      </c>
      <c r="I74" s="16" t="s">
        <v>16</v>
      </c>
      <c r="J74" s="16">
        <v>6312908</v>
      </c>
      <c r="K74" s="17">
        <v>8150</v>
      </c>
      <c r="L74" s="18">
        <v>45513</v>
      </c>
      <c r="M74" s="19" t="s">
        <v>35</v>
      </c>
      <c r="N74" s="20" t="s">
        <v>74</v>
      </c>
      <c r="O74" s="20">
        <v>16</v>
      </c>
      <c r="P74" s="20"/>
      <c r="Q74" s="21">
        <v>45513</v>
      </c>
      <c r="R74" s="20">
        <v>110</v>
      </c>
      <c r="S74" s="22">
        <v>8110</v>
      </c>
      <c r="T74" s="23">
        <v>10</v>
      </c>
      <c r="V74" s="37">
        <f t="shared" si="17"/>
        <v>8120</v>
      </c>
      <c r="W74" s="28">
        <f t="shared" si="18"/>
        <v>10</v>
      </c>
      <c r="X74" s="26">
        <f t="shared" si="19"/>
        <v>-30</v>
      </c>
      <c r="Y74" s="47">
        <f t="shared" si="20"/>
        <v>-15</v>
      </c>
      <c r="Z74" s="38">
        <f t="shared" si="21"/>
        <v>15</v>
      </c>
      <c r="AA74" s="39">
        <f t="shared" si="22"/>
        <v>-40</v>
      </c>
      <c r="AB74" s="39">
        <f t="shared" si="23"/>
        <v>-25</v>
      </c>
      <c r="AC74" s="209"/>
    </row>
    <row r="75" spans="1:29" s="1" customFormat="1" x14ac:dyDescent="0.2">
      <c r="A75" s="11" t="s">
        <v>28</v>
      </c>
      <c r="B75" s="12" t="s">
        <v>19</v>
      </c>
      <c r="C75" s="12" t="s">
        <v>267</v>
      </c>
      <c r="D75" s="12" t="s">
        <v>62</v>
      </c>
      <c r="E75" s="12">
        <v>6310870</v>
      </c>
      <c r="F75" s="13">
        <v>7700</v>
      </c>
      <c r="G75" s="14">
        <v>45512</v>
      </c>
      <c r="H75" s="15" t="s">
        <v>7</v>
      </c>
      <c r="I75" s="16" t="s">
        <v>27</v>
      </c>
      <c r="J75" s="16">
        <v>6312771</v>
      </c>
      <c r="K75" s="17">
        <v>7760</v>
      </c>
      <c r="L75" s="18">
        <v>45513</v>
      </c>
      <c r="M75" s="19" t="s">
        <v>35</v>
      </c>
      <c r="N75" s="20" t="s">
        <v>74</v>
      </c>
      <c r="O75" s="20">
        <v>15</v>
      </c>
      <c r="P75" s="20"/>
      <c r="Q75" s="21">
        <v>45513</v>
      </c>
      <c r="R75" s="20">
        <v>500</v>
      </c>
      <c r="S75" s="22">
        <v>7700</v>
      </c>
      <c r="T75" s="23">
        <v>200</v>
      </c>
      <c r="V75" s="37">
        <f t="shared" si="17"/>
        <v>7700</v>
      </c>
      <c r="W75" s="28">
        <f t="shared" si="18"/>
        <v>0</v>
      </c>
      <c r="X75" s="26">
        <f t="shared" si="19"/>
        <v>-60</v>
      </c>
      <c r="Y75" s="47">
        <f t="shared" si="20"/>
        <v>0</v>
      </c>
      <c r="Z75" s="38">
        <f t="shared" si="21"/>
        <v>60</v>
      </c>
      <c r="AA75" s="39">
        <f t="shared" si="22"/>
        <v>-60</v>
      </c>
      <c r="AB75" s="39">
        <f t="shared" si="23"/>
        <v>0</v>
      </c>
      <c r="AC75" s="209"/>
    </row>
    <row r="76" spans="1:29" s="1" customFormat="1" x14ac:dyDescent="0.2">
      <c r="A76" s="11" t="s">
        <v>28</v>
      </c>
      <c r="B76" s="12" t="s">
        <v>19</v>
      </c>
      <c r="C76" s="12" t="s">
        <v>268</v>
      </c>
      <c r="D76" s="12" t="s">
        <v>218</v>
      </c>
      <c r="E76" s="12">
        <v>6313415</v>
      </c>
      <c r="F76" s="13">
        <v>8140</v>
      </c>
      <c r="G76" s="14">
        <v>45513</v>
      </c>
      <c r="H76" s="15" t="s">
        <v>7</v>
      </c>
      <c r="I76" s="16" t="s">
        <v>16</v>
      </c>
      <c r="J76" s="16">
        <v>6313415</v>
      </c>
      <c r="K76" s="17">
        <v>8150</v>
      </c>
      <c r="L76" s="18">
        <v>45513</v>
      </c>
      <c r="M76" s="19" t="s">
        <v>35</v>
      </c>
      <c r="N76" s="20" t="s">
        <v>79</v>
      </c>
      <c r="O76" s="20">
        <v>16</v>
      </c>
      <c r="P76" s="20"/>
      <c r="Q76" s="21">
        <v>45513</v>
      </c>
      <c r="R76" s="20">
        <v>110</v>
      </c>
      <c r="S76" s="22">
        <v>8156</v>
      </c>
      <c r="T76" s="23">
        <v>50</v>
      </c>
      <c r="V76" s="37">
        <f t="shared" si="17"/>
        <v>8160</v>
      </c>
      <c r="W76" s="28">
        <f t="shared" si="18"/>
        <v>4</v>
      </c>
      <c r="X76" s="45">
        <f t="shared" si="19"/>
        <v>10</v>
      </c>
      <c r="Y76" s="204">
        <f t="shared" si="20"/>
        <v>20</v>
      </c>
      <c r="Z76" s="38">
        <f t="shared" si="21"/>
        <v>10</v>
      </c>
      <c r="AA76" s="39">
        <f t="shared" si="22"/>
        <v>6</v>
      </c>
      <c r="AB76" s="39">
        <f t="shared" si="23"/>
        <v>16</v>
      </c>
      <c r="AC76" s="209"/>
    </row>
    <row r="77" spans="1:29" s="1" customFormat="1" x14ac:dyDescent="0.2">
      <c r="A77" s="11" t="s">
        <v>28</v>
      </c>
      <c r="B77" s="12" t="s">
        <v>19</v>
      </c>
      <c r="C77" s="12" t="s">
        <v>270</v>
      </c>
      <c r="D77" s="12" t="s">
        <v>15</v>
      </c>
      <c r="E77" s="12">
        <v>6312174</v>
      </c>
      <c r="F77" s="13">
        <v>8040</v>
      </c>
      <c r="G77" s="14">
        <v>45512</v>
      </c>
      <c r="H77" s="15" t="s">
        <v>7</v>
      </c>
      <c r="I77" s="16" t="s">
        <v>16</v>
      </c>
      <c r="J77" s="16">
        <v>6313062</v>
      </c>
      <c r="K77" s="17">
        <v>8000</v>
      </c>
      <c r="L77" s="18">
        <v>45513</v>
      </c>
      <c r="M77" s="19" t="s">
        <v>35</v>
      </c>
      <c r="N77" s="20" t="s">
        <v>74</v>
      </c>
      <c r="O77" s="20">
        <v>15</v>
      </c>
      <c r="P77" s="20"/>
      <c r="Q77" s="21">
        <v>45513</v>
      </c>
      <c r="R77" s="20">
        <v>500</v>
      </c>
      <c r="S77" s="22">
        <v>8041</v>
      </c>
      <c r="T77" s="23">
        <v>490</v>
      </c>
      <c r="V77" s="37">
        <f t="shared" si="17"/>
        <v>7990</v>
      </c>
      <c r="W77" s="24">
        <f t="shared" si="18"/>
        <v>-51</v>
      </c>
      <c r="X77" s="27">
        <f t="shared" si="19"/>
        <v>-10</v>
      </c>
      <c r="Y77" s="47">
        <f t="shared" si="20"/>
        <v>-50</v>
      </c>
      <c r="Z77" s="38">
        <f t="shared" si="21"/>
        <v>-40</v>
      </c>
      <c r="AA77" s="39">
        <f t="shared" si="22"/>
        <v>41</v>
      </c>
      <c r="AB77" s="39">
        <f t="shared" si="23"/>
        <v>1</v>
      </c>
      <c r="AC77" s="209"/>
    </row>
    <row r="78" spans="1:29" s="1" customFormat="1" x14ac:dyDescent="0.2">
      <c r="A78" s="11" t="s">
        <v>28</v>
      </c>
      <c r="B78" s="12" t="s">
        <v>19</v>
      </c>
      <c r="C78" s="12" t="s">
        <v>271</v>
      </c>
      <c r="D78" s="12" t="s">
        <v>62</v>
      </c>
      <c r="E78" s="12">
        <v>6312815</v>
      </c>
      <c r="F78" s="13">
        <v>8120</v>
      </c>
      <c r="G78" s="14">
        <v>45513</v>
      </c>
      <c r="H78" s="15" t="s">
        <v>7</v>
      </c>
      <c r="I78" s="16" t="s">
        <v>16</v>
      </c>
      <c r="J78" s="16">
        <v>6313288</v>
      </c>
      <c r="K78" s="17">
        <v>8140</v>
      </c>
      <c r="L78" s="18">
        <v>45513</v>
      </c>
      <c r="M78" s="19" t="s">
        <v>39</v>
      </c>
      <c r="N78" s="20" t="s">
        <v>18</v>
      </c>
      <c r="O78" s="20">
        <v>16</v>
      </c>
      <c r="P78" s="20"/>
      <c r="Q78" s="21">
        <v>45513</v>
      </c>
      <c r="R78" s="20">
        <v>500</v>
      </c>
      <c r="S78" s="22">
        <v>8100</v>
      </c>
      <c r="T78" s="23">
        <v>90</v>
      </c>
      <c r="V78" s="37">
        <f t="shared" si="17"/>
        <v>8090</v>
      </c>
      <c r="W78" s="28">
        <f t="shared" si="18"/>
        <v>-10</v>
      </c>
      <c r="X78" s="26">
        <f t="shared" si="19"/>
        <v>-50</v>
      </c>
      <c r="Y78" s="47">
        <f t="shared" si="20"/>
        <v>-30</v>
      </c>
      <c r="Z78" s="38">
        <f t="shared" si="21"/>
        <v>20</v>
      </c>
      <c r="AA78" s="39">
        <f t="shared" si="22"/>
        <v>-40</v>
      </c>
      <c r="AB78" s="39">
        <f t="shared" si="23"/>
        <v>-20</v>
      </c>
      <c r="AC78" s="209"/>
    </row>
    <row r="79" spans="1:29" s="1" customFormat="1" x14ac:dyDescent="0.2">
      <c r="A79" s="11" t="s">
        <v>5</v>
      </c>
      <c r="B79" s="12" t="s">
        <v>19</v>
      </c>
      <c r="C79" s="12" t="s">
        <v>272</v>
      </c>
      <c r="D79" s="12" t="s">
        <v>15</v>
      </c>
      <c r="E79" s="12">
        <v>6312304</v>
      </c>
      <c r="F79" s="13">
        <v>7660</v>
      </c>
      <c r="G79" s="14">
        <v>45512</v>
      </c>
      <c r="H79" s="15" t="s">
        <v>163</v>
      </c>
      <c r="I79" s="16" t="s">
        <v>63</v>
      </c>
      <c r="J79" s="16">
        <v>6311066</v>
      </c>
      <c r="K79" s="17">
        <v>7659</v>
      </c>
      <c r="L79" s="18">
        <v>45513</v>
      </c>
      <c r="M79" s="19" t="s">
        <v>39</v>
      </c>
      <c r="N79" s="20" t="s">
        <v>18</v>
      </c>
      <c r="O79" s="20">
        <v>15</v>
      </c>
      <c r="P79" s="20"/>
      <c r="Q79" s="21">
        <v>45513</v>
      </c>
      <c r="R79" s="20">
        <v>110</v>
      </c>
      <c r="S79" s="22">
        <v>7670</v>
      </c>
      <c r="T79" s="23">
        <v>70</v>
      </c>
      <c r="V79" s="37">
        <f t="shared" si="17"/>
        <v>7680</v>
      </c>
      <c r="W79" s="28">
        <f t="shared" si="18"/>
        <v>10</v>
      </c>
      <c r="X79" s="26">
        <f t="shared" si="19"/>
        <v>21</v>
      </c>
      <c r="Y79" s="47">
        <f t="shared" si="20"/>
        <v>20</v>
      </c>
      <c r="Z79" s="38">
        <f t="shared" si="21"/>
        <v>-1</v>
      </c>
      <c r="AA79" s="39">
        <f t="shared" si="22"/>
        <v>11</v>
      </c>
      <c r="AB79" s="39">
        <f t="shared" si="23"/>
        <v>10</v>
      </c>
      <c r="AC79" s="209"/>
    </row>
    <row r="80" spans="1:29" s="1" customFormat="1" x14ac:dyDescent="0.2">
      <c r="A80" s="11" t="s">
        <v>5</v>
      </c>
      <c r="B80" s="12" t="s">
        <v>19</v>
      </c>
      <c r="C80" s="12" t="s">
        <v>280</v>
      </c>
      <c r="D80" s="12" t="s">
        <v>218</v>
      </c>
      <c r="E80" s="12">
        <v>6311907</v>
      </c>
      <c r="F80" s="13">
        <v>7750</v>
      </c>
      <c r="G80" s="14">
        <v>45512</v>
      </c>
      <c r="H80" s="15" t="s">
        <v>163</v>
      </c>
      <c r="I80" s="16" t="s">
        <v>8</v>
      </c>
      <c r="J80" s="16">
        <v>6313672</v>
      </c>
      <c r="K80" s="17">
        <v>7750</v>
      </c>
      <c r="L80" s="18">
        <v>45513</v>
      </c>
      <c r="M80" s="19" t="s">
        <v>17</v>
      </c>
      <c r="N80" s="20" t="s">
        <v>247</v>
      </c>
      <c r="O80" s="20"/>
      <c r="P80" s="20">
        <v>25</v>
      </c>
      <c r="Q80" s="21">
        <v>45514</v>
      </c>
      <c r="R80" s="20">
        <v>310</v>
      </c>
      <c r="S80" s="22">
        <v>7774</v>
      </c>
      <c r="T80" s="23">
        <v>120</v>
      </c>
      <c r="V80" s="37">
        <f t="shared" si="17"/>
        <v>7745</v>
      </c>
      <c r="W80" s="24">
        <f t="shared" si="18"/>
        <v>-29</v>
      </c>
      <c r="X80" s="27">
        <f t="shared" si="19"/>
        <v>-5</v>
      </c>
      <c r="Y80" s="47">
        <f t="shared" si="20"/>
        <v>-5</v>
      </c>
      <c r="Z80" s="38">
        <f t="shared" si="21"/>
        <v>0</v>
      </c>
      <c r="AA80" s="39">
        <f t="shared" si="22"/>
        <v>24</v>
      </c>
      <c r="AB80" s="39">
        <f t="shared" si="23"/>
        <v>24</v>
      </c>
      <c r="AC80" s="209"/>
    </row>
    <row r="81" spans="1:36" s="1" customFormat="1" x14ac:dyDescent="0.2">
      <c r="A81" s="11" t="s">
        <v>5</v>
      </c>
      <c r="B81" s="12" t="s">
        <v>19</v>
      </c>
      <c r="C81" s="12" t="s">
        <v>282</v>
      </c>
      <c r="D81" s="12" t="s">
        <v>62</v>
      </c>
      <c r="E81" s="12">
        <v>6311085</v>
      </c>
      <c r="F81" s="13">
        <v>7720</v>
      </c>
      <c r="G81" s="14">
        <v>45512</v>
      </c>
      <c r="H81" s="15" t="s">
        <v>163</v>
      </c>
      <c r="I81" s="16" t="s">
        <v>32</v>
      </c>
      <c r="J81" s="16">
        <v>6313452</v>
      </c>
      <c r="K81" s="17">
        <v>7720</v>
      </c>
      <c r="L81" s="18">
        <v>45513</v>
      </c>
      <c r="M81" s="19" t="s">
        <v>17</v>
      </c>
      <c r="N81" s="20" t="s">
        <v>51</v>
      </c>
      <c r="O81" s="20"/>
      <c r="P81" s="20">
        <v>25</v>
      </c>
      <c r="Q81" s="21">
        <v>45513</v>
      </c>
      <c r="R81" s="20">
        <v>310</v>
      </c>
      <c r="S81" s="22">
        <v>7695</v>
      </c>
      <c r="T81" s="23">
        <v>70</v>
      </c>
      <c r="V81" s="37">
        <f t="shared" si="17"/>
        <v>7695</v>
      </c>
      <c r="W81" s="28">
        <f t="shared" si="18"/>
        <v>0</v>
      </c>
      <c r="X81" s="26">
        <f t="shared" si="19"/>
        <v>-25</v>
      </c>
      <c r="Y81" s="47">
        <f t="shared" si="20"/>
        <v>-25</v>
      </c>
      <c r="Z81" s="38">
        <f t="shared" si="21"/>
        <v>0</v>
      </c>
      <c r="AA81" s="39">
        <f t="shared" si="22"/>
        <v>-25</v>
      </c>
      <c r="AB81" s="39">
        <f t="shared" si="23"/>
        <v>-25</v>
      </c>
      <c r="AC81" s="209"/>
    </row>
    <row r="82" spans="1:36" ht="30.75" customHeight="1" x14ac:dyDescent="0.2">
      <c r="A82" s="209"/>
      <c r="B82" s="209"/>
      <c r="C82" s="209"/>
      <c r="D82" s="209"/>
      <c r="E82" s="209"/>
      <c r="F82" s="213"/>
      <c r="G82" s="153"/>
      <c r="H82" s="209"/>
      <c r="I82" s="209"/>
      <c r="J82" s="209"/>
      <c r="K82" s="213"/>
      <c r="L82" s="153"/>
      <c r="M82" s="209"/>
      <c r="N82" s="209"/>
      <c r="O82" s="209"/>
      <c r="P82" s="209"/>
      <c r="Q82" s="153"/>
      <c r="R82" s="209"/>
      <c r="S82" s="213"/>
      <c r="T82" s="209"/>
      <c r="U82" s="209"/>
      <c r="V82" s="213"/>
      <c r="W82" s="209"/>
      <c r="X82" s="213"/>
      <c r="Y82" s="154"/>
      <c r="Z82" s="209" t="str">
        <f t="shared" ref="Z82:Z84" si="24">IF(OR(ISBLANK(F82), ISBLANK(K82)), "",K82-F82)</f>
        <v/>
      </c>
      <c r="AA82" s="209" t="str">
        <f t="shared" ref="AA82:AA84" si="25">IF(OR(ISBLANK(K82), ISBLANK(S82)), "",S82-K82)</f>
        <v/>
      </c>
      <c r="AB82" s="209" t="str">
        <f t="shared" ref="AB82:AB84" si="26">IF(OR(ISBLANK(F82), ISBLANK(S82)), "",S82-F82)</f>
        <v/>
      </c>
      <c r="AC82" s="209"/>
      <c r="AE82" s="209"/>
      <c r="AF82" s="209"/>
    </row>
    <row r="83" spans="1:36" ht="30.75" customHeight="1" x14ac:dyDescent="0.2">
      <c r="A83" s="209"/>
      <c r="B83" s="209"/>
      <c r="C83" s="209"/>
      <c r="D83" s="209"/>
      <c r="E83" s="209"/>
      <c r="F83" s="213"/>
      <c r="G83" s="153"/>
      <c r="H83" s="209"/>
      <c r="I83" s="209"/>
      <c r="J83" s="209"/>
      <c r="K83" s="213"/>
      <c r="L83" s="153"/>
      <c r="M83" s="209"/>
      <c r="N83" s="209"/>
      <c r="O83" s="209"/>
      <c r="P83" s="209"/>
      <c r="Q83" s="153"/>
      <c r="R83" s="209"/>
      <c r="S83" s="213"/>
      <c r="T83" s="209"/>
      <c r="U83" s="209"/>
      <c r="V83" s="213"/>
      <c r="W83" s="213"/>
      <c r="X83" s="209"/>
      <c r="Y83" s="154"/>
      <c r="Z83" s="209" t="str">
        <f t="shared" si="24"/>
        <v/>
      </c>
      <c r="AA83" s="209" t="str">
        <f t="shared" si="25"/>
        <v/>
      </c>
      <c r="AB83" s="209" t="str">
        <f t="shared" si="26"/>
        <v/>
      </c>
      <c r="AC83" s="209"/>
      <c r="AE83" s="209"/>
      <c r="AF83" s="209"/>
    </row>
    <row r="84" spans="1:36" ht="30.75" customHeight="1" x14ac:dyDescent="0.2">
      <c r="A84" s="209"/>
      <c r="B84" s="209"/>
      <c r="C84" s="209"/>
      <c r="D84" s="209"/>
      <c r="E84" s="209"/>
      <c r="F84" s="213"/>
      <c r="G84" s="153"/>
      <c r="H84" s="209"/>
      <c r="I84" s="209"/>
      <c r="J84" s="209"/>
      <c r="K84" s="213"/>
      <c r="L84" s="153"/>
      <c r="M84" s="209"/>
      <c r="N84" s="209"/>
      <c r="O84" s="209"/>
      <c r="P84" s="209"/>
      <c r="Q84" s="153"/>
      <c r="R84" s="209"/>
      <c r="S84" s="213"/>
      <c r="T84" s="209"/>
      <c r="U84" s="209"/>
      <c r="V84" s="213"/>
      <c r="W84" s="213"/>
      <c r="X84" s="209"/>
      <c r="Y84" s="154"/>
      <c r="Z84" s="209" t="str">
        <f t="shared" si="24"/>
        <v/>
      </c>
      <c r="AA84" s="209" t="str">
        <f t="shared" si="25"/>
        <v/>
      </c>
      <c r="AB84" s="209" t="str">
        <f t="shared" si="26"/>
        <v/>
      </c>
      <c r="AC84" s="209"/>
      <c r="AE84" s="209"/>
      <c r="AF84" s="209"/>
    </row>
    <row r="85" spans="1:36" ht="30.75" customHeight="1" x14ac:dyDescent="0.2">
      <c r="A85" s="183" t="s">
        <v>86</v>
      </c>
      <c r="B85" s="183" t="s">
        <v>136</v>
      </c>
      <c r="C85" s="183" t="s">
        <v>87</v>
      </c>
      <c r="D85" s="183" t="s">
        <v>88</v>
      </c>
      <c r="E85" s="183" t="s">
        <v>89</v>
      </c>
      <c r="F85" s="183" t="s">
        <v>90</v>
      </c>
      <c r="G85" s="213" t="s">
        <v>3</v>
      </c>
      <c r="H85" s="213" t="s">
        <v>9</v>
      </c>
      <c r="I85" s="213" t="s">
        <v>10</v>
      </c>
      <c r="J85" s="213" t="s">
        <v>1</v>
      </c>
      <c r="K85" s="213" t="s">
        <v>2</v>
      </c>
      <c r="L85" s="213" t="s">
        <v>3</v>
      </c>
      <c r="M85" s="213" t="s">
        <v>9</v>
      </c>
      <c r="N85" s="213" t="s">
        <v>10</v>
      </c>
      <c r="O85" s="183" t="s">
        <v>11</v>
      </c>
      <c r="P85" s="183" t="s">
        <v>12</v>
      </c>
      <c r="Q85" s="213" t="s">
        <v>3</v>
      </c>
      <c r="R85" s="183" t="s">
        <v>100</v>
      </c>
      <c r="S85" s="183" t="s">
        <v>95</v>
      </c>
      <c r="T85" s="213" t="s">
        <v>13</v>
      </c>
      <c r="U85" s="209"/>
      <c r="V85" s="213" t="s">
        <v>60</v>
      </c>
      <c r="W85" s="182" t="s">
        <v>91</v>
      </c>
      <c r="X85" s="182" t="s">
        <v>92</v>
      </c>
      <c r="Y85" s="182" t="s">
        <v>93</v>
      </c>
      <c r="Z85" s="183" t="s">
        <v>94</v>
      </c>
      <c r="AA85" s="183" t="s">
        <v>117</v>
      </c>
      <c r="AB85" s="183" t="s">
        <v>118</v>
      </c>
      <c r="AC85" s="209"/>
      <c r="AE85" s="209"/>
      <c r="AF85" s="209"/>
    </row>
    <row r="86" spans="1:36" ht="30.75" customHeight="1" thickBot="1" x14ac:dyDescent="0.25">
      <c r="A86" s="209" t="s">
        <v>28</v>
      </c>
      <c r="B86" s="209" t="s">
        <v>24</v>
      </c>
      <c r="C86" s="209" t="s">
        <v>45</v>
      </c>
      <c r="D86" s="209" t="s">
        <v>46</v>
      </c>
      <c r="E86" s="209">
        <v>6276804</v>
      </c>
      <c r="F86" s="213">
        <v>8100</v>
      </c>
      <c r="G86" s="153">
        <v>45482</v>
      </c>
      <c r="H86" s="209" t="s">
        <v>31</v>
      </c>
      <c r="I86" s="209" t="s">
        <v>27</v>
      </c>
      <c r="J86" s="209">
        <v>6283782</v>
      </c>
      <c r="K86" s="213">
        <v>8125</v>
      </c>
      <c r="L86" s="153">
        <v>45486</v>
      </c>
      <c r="M86" s="209" t="s">
        <v>17</v>
      </c>
      <c r="N86" s="209" t="s">
        <v>36</v>
      </c>
      <c r="O86" s="209"/>
      <c r="P86" s="209">
        <v>26</v>
      </c>
      <c r="Q86" s="153">
        <v>45486</v>
      </c>
      <c r="R86" s="209">
        <v>310</v>
      </c>
      <c r="S86" s="213">
        <v>8130</v>
      </c>
      <c r="T86" s="209">
        <v>180</v>
      </c>
      <c r="U86" s="209"/>
      <c r="V86" s="213">
        <f t="shared" ref="V86" si="27">IF(RIGHT(C86, 1)="1",
    IF(O86&lt;&gt;"", 500*O86 + T86 + IF(R86&lt;=110, R86, 0), IF(P86&lt;&gt;"", 305*P86 + T86 + IF(R86&lt;=110, R86, 0), "")),
    IF(O86&lt;&gt;"", 500*O86 + T86, IF(P86&lt;&gt;"", 305*P86 + T86, ""))
)</f>
        <v>8110</v>
      </c>
      <c r="W86" s="213">
        <f t="shared" ref="W86" si="28">IF(OR(ISBLANK(V86), ISBLANK(S86), NOT(ISNUMBER(V86)), NOT(ISNUMBER(S86))), "", V86-S86)</f>
        <v>-20</v>
      </c>
      <c r="X86" s="209">
        <f t="shared" ref="X86" si="29">IF(OR(ISBLANK(V86), ISBLANK(K86), NOT(ISNUMBER(V86)), NOT(ISNUMBER(K86))), "", V86-K86)</f>
        <v>-15</v>
      </c>
      <c r="Y86" s="154">
        <f t="shared" ref="Y86" si="30">IF(OR(ISBLANK(V86), ISBLANK(F86), NOT(ISNUMBER(V86)), NOT(ISNUMBER(F86))), "", V86-F86)</f>
        <v>10</v>
      </c>
      <c r="Z86" s="209">
        <f t="shared" ref="Z86" si="31">IF(OR(ISBLANK(F86), ISBLANK(K86)), "",K86-F86)</f>
        <v>25</v>
      </c>
      <c r="AA86" s="209">
        <f t="shared" ref="AA86" si="32">IF(OR(ISBLANK(K86), ISBLANK(S86)), "",S86-K86)</f>
        <v>5</v>
      </c>
      <c r="AB86" s="209">
        <f t="shared" ref="AB86" si="33">IF(OR(ISBLANK(F86), ISBLANK(S86)), "",S86-F86)</f>
        <v>30</v>
      </c>
      <c r="AC86" s="209"/>
      <c r="AE86" s="209"/>
      <c r="AF86" s="209"/>
    </row>
    <row r="87" spans="1:36" s="1" customFormat="1" ht="80.099999999999994" customHeight="1" x14ac:dyDescent="0.2">
      <c r="A87" s="144" t="s">
        <v>86</v>
      </c>
      <c r="B87" s="145" t="s">
        <v>136</v>
      </c>
      <c r="C87" s="145" t="s">
        <v>87</v>
      </c>
      <c r="D87" s="145" t="s">
        <v>88</v>
      </c>
      <c r="E87" s="145" t="s">
        <v>89</v>
      </c>
      <c r="F87" s="145" t="s">
        <v>90</v>
      </c>
      <c r="G87" s="146" t="s">
        <v>3</v>
      </c>
      <c r="H87" s="147" t="s">
        <v>9</v>
      </c>
      <c r="I87" s="148" t="s">
        <v>10</v>
      </c>
      <c r="J87" s="148" t="s">
        <v>1</v>
      </c>
      <c r="K87" s="148" t="s">
        <v>2</v>
      </c>
      <c r="L87" s="149" t="s">
        <v>3</v>
      </c>
      <c r="M87" s="7" t="s">
        <v>9</v>
      </c>
      <c r="N87" s="8" t="s">
        <v>10</v>
      </c>
      <c r="O87" s="9" t="s">
        <v>11</v>
      </c>
      <c r="P87" s="9" t="s">
        <v>12</v>
      </c>
      <c r="Q87" s="8" t="s">
        <v>3</v>
      </c>
      <c r="R87" s="9" t="s">
        <v>100</v>
      </c>
      <c r="S87" s="9" t="s">
        <v>95</v>
      </c>
      <c r="T87" s="10" t="s">
        <v>13</v>
      </c>
      <c r="V87" s="40" t="s">
        <v>60</v>
      </c>
      <c r="W87" s="143" t="s">
        <v>91</v>
      </c>
      <c r="X87" s="52" t="s">
        <v>92</v>
      </c>
      <c r="Y87" s="53" t="s">
        <v>93</v>
      </c>
      <c r="Z87" s="150" t="s">
        <v>94</v>
      </c>
      <c r="AA87" s="151" t="s">
        <v>117</v>
      </c>
      <c r="AB87" s="152" t="s">
        <v>118</v>
      </c>
      <c r="AC87" s="209"/>
      <c r="AD87" s="209"/>
      <c r="AE87" s="209"/>
      <c r="AF87" s="209"/>
      <c r="AG87" s="209"/>
      <c r="AH87" s="209"/>
      <c r="AI87" s="209"/>
      <c r="AJ87" s="209"/>
    </row>
    <row r="88" spans="1:36" s="1" customFormat="1" x14ac:dyDescent="0.2">
      <c r="A88" s="11" t="s">
        <v>28</v>
      </c>
      <c r="B88" s="12" t="s">
        <v>24</v>
      </c>
      <c r="C88" s="12" t="s">
        <v>45</v>
      </c>
      <c r="D88" s="12" t="s">
        <v>46</v>
      </c>
      <c r="E88" s="12">
        <v>6276804</v>
      </c>
      <c r="F88" s="13">
        <v>8100</v>
      </c>
      <c r="G88" s="14">
        <v>45482</v>
      </c>
      <c r="H88" s="15" t="s">
        <v>31</v>
      </c>
      <c r="I88" s="16" t="s">
        <v>27</v>
      </c>
      <c r="J88" s="16">
        <v>6283782</v>
      </c>
      <c r="K88" s="17">
        <v>8125</v>
      </c>
      <c r="L88" s="18">
        <v>45486</v>
      </c>
      <c r="M88" s="19" t="s">
        <v>17</v>
      </c>
      <c r="N88" s="20" t="s">
        <v>36</v>
      </c>
      <c r="O88" s="20"/>
      <c r="P88" s="20">
        <v>26</v>
      </c>
      <c r="Q88" s="21">
        <v>45486</v>
      </c>
      <c r="R88" s="20">
        <v>310</v>
      </c>
      <c r="S88" s="22">
        <v>8130</v>
      </c>
      <c r="T88" s="23">
        <v>180</v>
      </c>
      <c r="V88" s="37">
        <f t="shared" ref="V88:V122" si="34">IF(RIGHT(C88, 1)="1",
    IF(O88&lt;&gt;"", 500*O88 + T88 + IF(R88&lt;=110, R88, 0), IF(P88&lt;&gt;"", 305*P88 + T88 + IF(R88&lt;=110, R88, 0), "")),
    IF(O88&lt;&gt;"", 500*O88 + T88, IF(P88&lt;&gt;"", 305*P88 + T88, ""))
)</f>
        <v>8110</v>
      </c>
      <c r="W88" s="24">
        <f t="shared" ref="W88:W122" si="35">IF(OR(ISBLANK(V88), ISBLANK(S88), NOT(ISNUMBER(V88)), NOT(ISNUMBER(S88))), "", V88-S88)</f>
        <v>-20</v>
      </c>
      <c r="X88" s="45">
        <f t="shared" ref="X88:X122" si="36">IF(OR(ISBLANK(V88), ISBLANK(K88), NOT(ISNUMBER(V88)), NOT(ISNUMBER(K88))), "", V88-K88)</f>
        <v>-15</v>
      </c>
      <c r="Y88" s="25">
        <f t="shared" ref="Y88:Y122" si="37">IF(OR(ISBLANK(V88), ISBLANK(F88), NOT(ISNUMBER(V88)), NOT(ISNUMBER(F88))), "", V88-F88)</f>
        <v>10</v>
      </c>
      <c r="Z88" s="38">
        <f t="shared" ref="Z88:Z122" si="38">IF(OR(ISBLANK(F88), ISBLANK(K88)), "",K88-F88)</f>
        <v>25</v>
      </c>
      <c r="AA88" s="39">
        <f t="shared" ref="AA88:AA122" si="39">IF(OR(ISBLANK(K88), ISBLANK(S88)), "",S88-K88)</f>
        <v>5</v>
      </c>
      <c r="AB88" s="58">
        <f t="shared" ref="AB88:AB122" si="40">IF(OR(ISBLANK(F88), ISBLANK(S88)), "",S88-F88)</f>
        <v>30</v>
      </c>
      <c r="AC88" s="209"/>
      <c r="AD88" s="209"/>
      <c r="AE88" s="209"/>
      <c r="AF88" s="209"/>
      <c r="AG88" s="209"/>
      <c r="AH88" s="50"/>
      <c r="AI88" s="50"/>
    </row>
    <row r="89" spans="1:36" s="1" customFormat="1" x14ac:dyDescent="0.2">
      <c r="A89" s="11" t="s">
        <v>5</v>
      </c>
      <c r="B89" s="12" t="s">
        <v>24</v>
      </c>
      <c r="C89" s="12" t="s">
        <v>59</v>
      </c>
      <c r="D89" s="12" t="s">
        <v>6</v>
      </c>
      <c r="E89" s="12">
        <v>6282999</v>
      </c>
      <c r="F89" s="13">
        <v>7780</v>
      </c>
      <c r="G89" s="14">
        <v>45485</v>
      </c>
      <c r="H89" s="15" t="s">
        <v>7</v>
      </c>
      <c r="I89" s="16" t="s">
        <v>16</v>
      </c>
      <c r="J89" s="16">
        <v>6284077</v>
      </c>
      <c r="K89" s="17">
        <v>7770</v>
      </c>
      <c r="L89" s="18">
        <v>45486</v>
      </c>
      <c r="M89" s="19" t="s">
        <v>17</v>
      </c>
      <c r="N89" s="20" t="s">
        <v>25</v>
      </c>
      <c r="O89" s="20"/>
      <c r="P89" s="20">
        <v>25</v>
      </c>
      <c r="Q89" s="21">
        <v>45489</v>
      </c>
      <c r="R89" s="20">
        <v>55</v>
      </c>
      <c r="S89" s="22">
        <v>7815</v>
      </c>
      <c r="T89" s="23">
        <v>140</v>
      </c>
      <c r="V89" s="37">
        <f t="shared" si="34"/>
        <v>7820</v>
      </c>
      <c r="W89" s="28">
        <f t="shared" si="35"/>
        <v>5</v>
      </c>
      <c r="X89" s="26">
        <f t="shared" si="36"/>
        <v>50</v>
      </c>
      <c r="Y89" s="200">
        <f t="shared" si="37"/>
        <v>40</v>
      </c>
      <c r="Z89" s="38">
        <f t="shared" si="38"/>
        <v>-10</v>
      </c>
      <c r="AA89" s="39">
        <f t="shared" si="39"/>
        <v>45</v>
      </c>
      <c r="AB89" s="58">
        <f t="shared" si="40"/>
        <v>35</v>
      </c>
      <c r="AC89" s="50"/>
      <c r="AD89" s="50"/>
      <c r="AE89" s="50"/>
      <c r="AF89" s="50"/>
      <c r="AG89" s="50"/>
      <c r="AH89" s="50"/>
      <c r="AI89" s="50"/>
    </row>
    <row r="90" spans="1:36" s="1" customFormat="1" x14ac:dyDescent="0.2">
      <c r="A90" s="11" t="s">
        <v>5</v>
      </c>
      <c r="B90" s="12" t="s">
        <v>24</v>
      </c>
      <c r="C90" s="12" t="s">
        <v>34</v>
      </c>
      <c r="D90" s="12" t="s">
        <v>62</v>
      </c>
      <c r="E90" s="12">
        <v>6282743</v>
      </c>
      <c r="F90" s="13">
        <v>7780</v>
      </c>
      <c r="G90" s="14">
        <v>45485</v>
      </c>
      <c r="H90" s="15" t="s">
        <v>7</v>
      </c>
      <c r="I90" s="16" t="s">
        <v>8</v>
      </c>
      <c r="J90" s="16">
        <v>6283463</v>
      </c>
      <c r="K90" s="17">
        <v>7780</v>
      </c>
      <c r="L90" s="18">
        <v>45486</v>
      </c>
      <c r="M90" s="19" t="s">
        <v>35</v>
      </c>
      <c r="N90" s="20" t="s">
        <v>36</v>
      </c>
      <c r="O90" s="20"/>
      <c r="P90" s="20">
        <v>25</v>
      </c>
      <c r="Q90" s="21">
        <v>45486</v>
      </c>
      <c r="R90" s="20">
        <v>55</v>
      </c>
      <c r="S90" s="22">
        <v>7825</v>
      </c>
      <c r="T90" s="23">
        <v>75</v>
      </c>
      <c r="V90" s="37">
        <f t="shared" si="34"/>
        <v>7755</v>
      </c>
      <c r="W90" s="24">
        <f t="shared" si="35"/>
        <v>-70</v>
      </c>
      <c r="X90" s="27">
        <f t="shared" si="36"/>
        <v>-25</v>
      </c>
      <c r="Y90" s="200">
        <f t="shared" si="37"/>
        <v>-25</v>
      </c>
      <c r="Z90" s="38">
        <f t="shared" si="38"/>
        <v>0</v>
      </c>
      <c r="AA90" s="39">
        <f t="shared" si="39"/>
        <v>45</v>
      </c>
      <c r="AB90" s="58">
        <f t="shared" si="40"/>
        <v>45</v>
      </c>
      <c r="AC90" s="50"/>
      <c r="AD90" s="50"/>
      <c r="AE90" s="50"/>
      <c r="AF90" s="50"/>
      <c r="AG90" s="50"/>
      <c r="AH90" s="50"/>
      <c r="AI90" s="50"/>
    </row>
    <row r="91" spans="1:36" s="1" customFormat="1" x14ac:dyDescent="0.2">
      <c r="A91" s="11" t="s">
        <v>28</v>
      </c>
      <c r="B91" s="12" t="s">
        <v>24</v>
      </c>
      <c r="C91" s="12" t="s">
        <v>56</v>
      </c>
      <c r="D91" s="12" t="s">
        <v>6</v>
      </c>
      <c r="E91" s="12">
        <v>6283162</v>
      </c>
      <c r="F91" s="13">
        <v>8135</v>
      </c>
      <c r="G91" s="14">
        <v>45485</v>
      </c>
      <c r="H91" s="15" t="s">
        <v>31</v>
      </c>
      <c r="I91" s="16" t="s">
        <v>43</v>
      </c>
      <c r="J91" s="16">
        <v>6283354</v>
      </c>
      <c r="K91" s="17">
        <v>8190</v>
      </c>
      <c r="L91" s="18">
        <v>45486</v>
      </c>
      <c r="M91" s="19" t="s">
        <v>44</v>
      </c>
      <c r="N91" s="20" t="s">
        <v>51</v>
      </c>
      <c r="O91" s="20"/>
      <c r="P91" s="20">
        <v>26</v>
      </c>
      <c r="Q91" s="21">
        <v>45486</v>
      </c>
      <c r="R91" s="20">
        <v>110</v>
      </c>
      <c r="S91" s="22">
        <v>8165</v>
      </c>
      <c r="T91" s="23">
        <v>125</v>
      </c>
      <c r="V91" s="37">
        <f t="shared" si="34"/>
        <v>8165</v>
      </c>
      <c r="W91" s="28">
        <f t="shared" si="35"/>
        <v>0</v>
      </c>
      <c r="X91" s="45">
        <f t="shared" si="36"/>
        <v>-25</v>
      </c>
      <c r="Y91" s="199">
        <f t="shared" si="37"/>
        <v>30</v>
      </c>
      <c r="Z91" s="38">
        <f t="shared" si="38"/>
        <v>55</v>
      </c>
      <c r="AA91" s="39">
        <f t="shared" si="39"/>
        <v>-25</v>
      </c>
      <c r="AB91" s="58">
        <f t="shared" si="40"/>
        <v>30</v>
      </c>
      <c r="AC91" s="50"/>
      <c r="AD91" s="50"/>
      <c r="AE91" s="50"/>
      <c r="AF91" s="50"/>
      <c r="AG91" s="50"/>
      <c r="AH91" s="50"/>
      <c r="AI91" s="50"/>
    </row>
    <row r="92" spans="1:36" s="1" customFormat="1" x14ac:dyDescent="0.2">
      <c r="A92" s="11" t="s">
        <v>5</v>
      </c>
      <c r="B92" s="12" t="s">
        <v>24</v>
      </c>
      <c r="C92" s="12" t="s">
        <v>81</v>
      </c>
      <c r="D92" s="12" t="s">
        <v>67</v>
      </c>
      <c r="E92" s="12">
        <v>6286357</v>
      </c>
      <c r="F92" s="13">
        <v>7780</v>
      </c>
      <c r="G92" s="14">
        <v>45490</v>
      </c>
      <c r="H92" s="15" t="s">
        <v>7</v>
      </c>
      <c r="I92" s="16" t="s">
        <v>16</v>
      </c>
      <c r="J92" s="16">
        <v>6287023</v>
      </c>
      <c r="K92" s="17">
        <v>7810</v>
      </c>
      <c r="L92" s="18">
        <v>45491</v>
      </c>
      <c r="M92" s="19" t="s">
        <v>35</v>
      </c>
      <c r="N92" s="20" t="s">
        <v>101</v>
      </c>
      <c r="O92" s="20"/>
      <c r="P92" s="20">
        <v>25</v>
      </c>
      <c r="Q92" s="21">
        <v>45491</v>
      </c>
      <c r="R92" s="20">
        <v>55</v>
      </c>
      <c r="S92" s="22">
        <v>7814</v>
      </c>
      <c r="T92" s="23">
        <v>134</v>
      </c>
      <c r="V92" s="37">
        <f t="shared" si="34"/>
        <v>7814</v>
      </c>
      <c r="W92" s="28">
        <f t="shared" si="35"/>
        <v>0</v>
      </c>
      <c r="X92" s="45">
        <f t="shared" si="36"/>
        <v>4</v>
      </c>
      <c r="Y92" s="199">
        <f t="shared" si="37"/>
        <v>34</v>
      </c>
      <c r="Z92" s="38">
        <f t="shared" si="38"/>
        <v>30</v>
      </c>
      <c r="AA92" s="39">
        <f t="shared" si="39"/>
        <v>4</v>
      </c>
      <c r="AB92" s="58">
        <f t="shared" si="40"/>
        <v>34</v>
      </c>
    </row>
    <row r="93" spans="1:36" s="1" customFormat="1" x14ac:dyDescent="0.2">
      <c r="A93" s="11" t="s">
        <v>5</v>
      </c>
      <c r="B93" s="12" t="s">
        <v>24</v>
      </c>
      <c r="C93" s="12" t="s">
        <v>108</v>
      </c>
      <c r="D93" s="12" t="s">
        <v>62</v>
      </c>
      <c r="E93" s="12">
        <v>6287806</v>
      </c>
      <c r="F93" s="13">
        <v>7720</v>
      </c>
      <c r="G93" s="14">
        <v>45492</v>
      </c>
      <c r="H93" s="15" t="s">
        <v>31</v>
      </c>
      <c r="I93" s="16" t="s">
        <v>66</v>
      </c>
      <c r="J93" s="16">
        <v>6289318</v>
      </c>
      <c r="K93" s="17">
        <v>7680</v>
      </c>
      <c r="L93" s="18">
        <v>45493</v>
      </c>
      <c r="M93" s="19" t="s">
        <v>17</v>
      </c>
      <c r="N93" s="20" t="s">
        <v>51</v>
      </c>
      <c r="O93" s="20"/>
      <c r="P93" s="20">
        <v>25</v>
      </c>
      <c r="Q93" s="21">
        <v>45493</v>
      </c>
      <c r="R93" s="20">
        <v>310</v>
      </c>
      <c r="S93" s="22">
        <v>7768</v>
      </c>
      <c r="T93" s="23">
        <v>110</v>
      </c>
      <c r="V93" s="37">
        <f t="shared" si="34"/>
        <v>7735</v>
      </c>
      <c r="W93" s="46">
        <f t="shared" si="35"/>
        <v>-33</v>
      </c>
      <c r="X93" s="26">
        <f t="shared" si="36"/>
        <v>55</v>
      </c>
      <c r="Y93" s="25">
        <f t="shared" si="37"/>
        <v>15</v>
      </c>
      <c r="Z93" s="38">
        <f t="shared" si="38"/>
        <v>-40</v>
      </c>
      <c r="AA93" s="39">
        <f t="shared" si="39"/>
        <v>88</v>
      </c>
      <c r="AB93" s="58">
        <f t="shared" si="40"/>
        <v>48</v>
      </c>
    </row>
    <row r="94" spans="1:36" s="1" customFormat="1" x14ac:dyDescent="0.2">
      <c r="A94" s="11" t="s">
        <v>5</v>
      </c>
      <c r="B94" s="12" t="s">
        <v>24</v>
      </c>
      <c r="C94" s="12" t="s">
        <v>109</v>
      </c>
      <c r="D94" s="12" t="s">
        <v>62</v>
      </c>
      <c r="E94" s="12">
        <v>6287703</v>
      </c>
      <c r="F94" s="13">
        <v>7560</v>
      </c>
      <c r="G94" s="14">
        <v>45492</v>
      </c>
      <c r="H94" s="15" t="s">
        <v>31</v>
      </c>
      <c r="I94" s="16" t="s">
        <v>32</v>
      </c>
      <c r="J94" s="16">
        <v>6289046</v>
      </c>
      <c r="K94" s="17">
        <v>7610</v>
      </c>
      <c r="L94" s="18">
        <v>45493</v>
      </c>
      <c r="M94" s="19" t="s">
        <v>35</v>
      </c>
      <c r="N94" s="20" t="s">
        <v>101</v>
      </c>
      <c r="O94" s="20"/>
      <c r="P94" s="20">
        <v>24</v>
      </c>
      <c r="Q94" s="21">
        <v>45493</v>
      </c>
      <c r="R94" s="20">
        <v>310</v>
      </c>
      <c r="S94" s="22">
        <v>7505</v>
      </c>
      <c r="T94" s="23">
        <v>175</v>
      </c>
      <c r="V94" s="37">
        <f t="shared" si="34"/>
        <v>7495</v>
      </c>
      <c r="W94" s="28">
        <f t="shared" si="35"/>
        <v>-10</v>
      </c>
      <c r="X94" s="26">
        <f t="shared" si="36"/>
        <v>-115</v>
      </c>
      <c r="Y94" s="200">
        <f t="shared" si="37"/>
        <v>-65</v>
      </c>
      <c r="Z94" s="38">
        <f t="shared" si="38"/>
        <v>50</v>
      </c>
      <c r="AA94" s="39">
        <f t="shared" si="39"/>
        <v>-105</v>
      </c>
      <c r="AB94" s="58">
        <f t="shared" si="40"/>
        <v>-55</v>
      </c>
    </row>
    <row r="95" spans="1:36" s="1" customFormat="1" x14ac:dyDescent="0.2">
      <c r="A95" s="11" t="s">
        <v>5</v>
      </c>
      <c r="B95" s="12" t="s">
        <v>24</v>
      </c>
      <c r="C95" s="12" t="s">
        <v>112</v>
      </c>
      <c r="D95" s="12" t="s">
        <v>62</v>
      </c>
      <c r="E95" s="12">
        <v>6287757</v>
      </c>
      <c r="F95" s="13">
        <v>7780</v>
      </c>
      <c r="G95" s="14">
        <v>45492</v>
      </c>
      <c r="H95" s="15" t="s">
        <v>7</v>
      </c>
      <c r="I95" s="16" t="s">
        <v>16</v>
      </c>
      <c r="J95" s="16">
        <v>6288024</v>
      </c>
      <c r="K95" s="17">
        <v>7790</v>
      </c>
      <c r="L95" s="18">
        <v>45492</v>
      </c>
      <c r="M95" s="19"/>
      <c r="N95" s="20" t="s">
        <v>101</v>
      </c>
      <c r="O95" s="20"/>
      <c r="P95" s="20">
        <v>25</v>
      </c>
      <c r="Q95" s="21">
        <v>45492</v>
      </c>
      <c r="R95" s="20">
        <v>55</v>
      </c>
      <c r="S95" s="22">
        <v>7734</v>
      </c>
      <c r="T95" s="23">
        <v>50</v>
      </c>
      <c r="V95" s="37">
        <f t="shared" si="34"/>
        <v>7730</v>
      </c>
      <c r="W95" s="28">
        <f t="shared" si="35"/>
        <v>-4</v>
      </c>
      <c r="X95" s="26">
        <f t="shared" si="36"/>
        <v>-60</v>
      </c>
      <c r="Y95" s="200">
        <f t="shared" si="37"/>
        <v>-50</v>
      </c>
      <c r="Z95" s="38">
        <f t="shared" si="38"/>
        <v>10</v>
      </c>
      <c r="AA95" s="39">
        <f t="shared" si="39"/>
        <v>-56</v>
      </c>
      <c r="AB95" s="58">
        <f t="shared" si="40"/>
        <v>-46</v>
      </c>
    </row>
    <row r="96" spans="1:36" s="1" customFormat="1" x14ac:dyDescent="0.2">
      <c r="A96" s="11" t="s">
        <v>5</v>
      </c>
      <c r="B96" s="12" t="s">
        <v>24</v>
      </c>
      <c r="C96" s="12" t="s">
        <v>119</v>
      </c>
      <c r="D96" s="12" t="s">
        <v>6</v>
      </c>
      <c r="E96" s="12">
        <v>6288853</v>
      </c>
      <c r="F96" s="13">
        <v>7780</v>
      </c>
      <c r="G96" s="14">
        <v>45493</v>
      </c>
      <c r="H96" s="15" t="s">
        <v>31</v>
      </c>
      <c r="I96" s="16" t="s">
        <v>32</v>
      </c>
      <c r="J96" s="16">
        <v>6289151</v>
      </c>
      <c r="K96" s="17">
        <v>7810</v>
      </c>
      <c r="L96" s="18">
        <v>45493</v>
      </c>
      <c r="M96" s="19" t="s">
        <v>44</v>
      </c>
      <c r="N96" s="20" t="s">
        <v>79</v>
      </c>
      <c r="O96" s="20"/>
      <c r="P96" s="20">
        <v>25</v>
      </c>
      <c r="Q96" s="21">
        <v>45493</v>
      </c>
      <c r="R96" s="20">
        <v>55</v>
      </c>
      <c r="S96" s="22">
        <v>7768</v>
      </c>
      <c r="T96" s="23">
        <v>100</v>
      </c>
      <c r="V96" s="37">
        <f t="shared" si="34"/>
        <v>7780</v>
      </c>
      <c r="W96" s="46">
        <f t="shared" si="35"/>
        <v>12</v>
      </c>
      <c r="X96" s="26">
        <f t="shared" si="36"/>
        <v>-30</v>
      </c>
      <c r="Y96" s="25">
        <f t="shared" si="37"/>
        <v>0</v>
      </c>
      <c r="Z96" s="38">
        <f t="shared" si="38"/>
        <v>30</v>
      </c>
      <c r="AA96" s="39">
        <f t="shared" si="39"/>
        <v>-42</v>
      </c>
      <c r="AB96" s="58">
        <f t="shared" si="40"/>
        <v>-12</v>
      </c>
    </row>
    <row r="97" spans="1:28" s="1" customFormat="1" x14ac:dyDescent="0.2">
      <c r="A97" s="11" t="s">
        <v>5</v>
      </c>
      <c r="B97" s="12" t="s">
        <v>24</v>
      </c>
      <c r="C97" s="12" t="s">
        <v>120</v>
      </c>
      <c r="D97" s="12" t="s">
        <v>6</v>
      </c>
      <c r="E97" s="12">
        <v>6288952</v>
      </c>
      <c r="F97" s="13">
        <v>7610</v>
      </c>
      <c r="G97" s="14">
        <v>45493</v>
      </c>
      <c r="H97" s="15" t="s">
        <v>7</v>
      </c>
      <c r="I97" s="16" t="s">
        <v>121</v>
      </c>
      <c r="J97" s="16">
        <v>6289886</v>
      </c>
      <c r="K97" s="17">
        <v>7625</v>
      </c>
      <c r="L97" s="18">
        <v>45495</v>
      </c>
      <c r="M97" s="19" t="s">
        <v>122</v>
      </c>
      <c r="N97" s="20" t="s">
        <v>115</v>
      </c>
      <c r="O97" s="20"/>
      <c r="P97" s="20">
        <v>24</v>
      </c>
      <c r="Q97" s="21">
        <v>45495</v>
      </c>
      <c r="R97" s="20">
        <v>310</v>
      </c>
      <c r="S97" s="22">
        <v>7620</v>
      </c>
      <c r="T97" s="23">
        <v>278</v>
      </c>
      <c r="V97" s="37">
        <f t="shared" si="34"/>
        <v>7598</v>
      </c>
      <c r="W97" s="46">
        <f t="shared" si="35"/>
        <v>-22</v>
      </c>
      <c r="X97" s="26">
        <f t="shared" si="36"/>
        <v>-27</v>
      </c>
      <c r="Y97" s="25">
        <f t="shared" si="37"/>
        <v>-12</v>
      </c>
      <c r="Z97" s="38">
        <f t="shared" si="38"/>
        <v>15</v>
      </c>
      <c r="AA97" s="39">
        <f t="shared" si="39"/>
        <v>-5</v>
      </c>
      <c r="AB97" s="58">
        <f t="shared" si="40"/>
        <v>10</v>
      </c>
    </row>
    <row r="98" spans="1:28" s="1" customFormat="1" x14ac:dyDescent="0.2">
      <c r="A98" s="11" t="s">
        <v>5</v>
      </c>
      <c r="B98" s="12" t="s">
        <v>24</v>
      </c>
      <c r="C98" s="12" t="s">
        <v>134</v>
      </c>
      <c r="D98" s="12" t="s">
        <v>67</v>
      </c>
      <c r="E98" s="12">
        <v>6289694</v>
      </c>
      <c r="F98" s="13">
        <v>7690</v>
      </c>
      <c r="G98" s="14">
        <v>45495</v>
      </c>
      <c r="H98" s="15" t="s">
        <v>7</v>
      </c>
      <c r="I98" s="16" t="s">
        <v>16</v>
      </c>
      <c r="J98" s="16">
        <v>6290832</v>
      </c>
      <c r="K98" s="17">
        <v>7710</v>
      </c>
      <c r="L98" s="18">
        <v>45496</v>
      </c>
      <c r="M98" s="19" t="s">
        <v>44</v>
      </c>
      <c r="N98" s="20" t="s">
        <v>74</v>
      </c>
      <c r="O98" s="20"/>
      <c r="P98" s="20">
        <v>25</v>
      </c>
      <c r="Q98" s="21">
        <v>45496</v>
      </c>
      <c r="R98" s="20">
        <v>310</v>
      </c>
      <c r="S98" s="22">
        <v>7630</v>
      </c>
      <c r="T98" s="23">
        <v>100</v>
      </c>
      <c r="V98" s="37">
        <f t="shared" si="34"/>
        <v>7725</v>
      </c>
      <c r="W98" s="24">
        <f t="shared" si="35"/>
        <v>95</v>
      </c>
      <c r="X98" s="27">
        <f t="shared" si="36"/>
        <v>15</v>
      </c>
      <c r="Y98" s="200">
        <f t="shared" si="37"/>
        <v>35</v>
      </c>
      <c r="Z98" s="38">
        <f t="shared" si="38"/>
        <v>20</v>
      </c>
      <c r="AA98" s="39">
        <f t="shared" si="39"/>
        <v>-80</v>
      </c>
      <c r="AB98" s="58">
        <f t="shared" si="40"/>
        <v>-60</v>
      </c>
    </row>
    <row r="99" spans="1:28" s="1" customFormat="1" x14ac:dyDescent="0.2">
      <c r="A99" s="11" t="s">
        <v>5</v>
      </c>
      <c r="B99" s="12" t="s">
        <v>24</v>
      </c>
      <c r="C99" s="12" t="s">
        <v>129</v>
      </c>
      <c r="D99" s="12" t="s">
        <v>46</v>
      </c>
      <c r="E99" s="12">
        <v>6289871</v>
      </c>
      <c r="F99" s="13">
        <v>7780</v>
      </c>
      <c r="G99" s="14">
        <v>45495</v>
      </c>
      <c r="H99" s="15" t="s">
        <v>7</v>
      </c>
      <c r="I99" s="16" t="s">
        <v>27</v>
      </c>
      <c r="J99" s="16">
        <v>6290541</v>
      </c>
      <c r="K99" s="17">
        <v>7790</v>
      </c>
      <c r="L99" s="18">
        <v>45495</v>
      </c>
      <c r="M99" s="19" t="s">
        <v>44</v>
      </c>
      <c r="N99" s="20" t="s">
        <v>25</v>
      </c>
      <c r="O99" s="20"/>
      <c r="P99" s="20">
        <v>25</v>
      </c>
      <c r="Q99" s="21">
        <v>45495</v>
      </c>
      <c r="R99" s="20">
        <v>55</v>
      </c>
      <c r="S99" s="22">
        <v>7795</v>
      </c>
      <c r="T99" s="23">
        <v>115</v>
      </c>
      <c r="V99" s="37">
        <f t="shared" si="34"/>
        <v>7795</v>
      </c>
      <c r="W99" s="28">
        <f t="shared" si="35"/>
        <v>0</v>
      </c>
      <c r="X99" s="45">
        <f t="shared" si="36"/>
        <v>5</v>
      </c>
      <c r="Y99" s="199">
        <f t="shared" si="37"/>
        <v>15</v>
      </c>
      <c r="Z99" s="38">
        <f t="shared" si="38"/>
        <v>10</v>
      </c>
      <c r="AA99" s="39">
        <f t="shared" si="39"/>
        <v>5</v>
      </c>
      <c r="AB99" s="58">
        <f t="shared" si="40"/>
        <v>15</v>
      </c>
    </row>
    <row r="100" spans="1:28" s="1" customFormat="1" x14ac:dyDescent="0.2">
      <c r="A100" s="11" t="s">
        <v>5</v>
      </c>
      <c r="B100" s="12" t="s">
        <v>24</v>
      </c>
      <c r="C100" s="12" t="s">
        <v>131</v>
      </c>
      <c r="D100" s="12" t="s">
        <v>67</v>
      </c>
      <c r="E100" s="12">
        <v>6290783</v>
      </c>
      <c r="F100" s="13">
        <v>7780</v>
      </c>
      <c r="G100" s="14">
        <v>45496</v>
      </c>
      <c r="H100" s="15" t="s">
        <v>7</v>
      </c>
      <c r="I100" s="16" t="s">
        <v>16</v>
      </c>
      <c r="J100" s="16">
        <v>6290876</v>
      </c>
      <c r="K100" s="17">
        <v>7740</v>
      </c>
      <c r="L100" s="18">
        <v>45496</v>
      </c>
      <c r="M100" s="19" t="s">
        <v>17</v>
      </c>
      <c r="N100" s="20" t="s">
        <v>18</v>
      </c>
      <c r="O100" s="20"/>
      <c r="P100" s="20">
        <v>25</v>
      </c>
      <c r="Q100" s="21">
        <v>45496</v>
      </c>
      <c r="R100" s="20">
        <v>55</v>
      </c>
      <c r="S100" s="22">
        <v>7777</v>
      </c>
      <c r="T100" s="23">
        <v>70</v>
      </c>
      <c r="V100" s="37">
        <f t="shared" si="34"/>
        <v>7750</v>
      </c>
      <c r="W100" s="46">
        <f t="shared" si="35"/>
        <v>-27</v>
      </c>
      <c r="X100" s="27">
        <f t="shared" si="36"/>
        <v>10</v>
      </c>
      <c r="Y100" s="199">
        <f t="shared" si="37"/>
        <v>-30</v>
      </c>
      <c r="Z100" s="38">
        <f t="shared" si="38"/>
        <v>-40</v>
      </c>
      <c r="AA100" s="39">
        <f t="shared" si="39"/>
        <v>37</v>
      </c>
      <c r="AB100" s="58">
        <f t="shared" si="40"/>
        <v>-3</v>
      </c>
    </row>
    <row r="101" spans="1:28" s="1" customFormat="1" x14ac:dyDescent="0.2">
      <c r="A101" s="11" t="s">
        <v>5</v>
      </c>
      <c r="B101" s="12" t="s">
        <v>24</v>
      </c>
      <c r="C101" s="12" t="s">
        <v>156</v>
      </c>
      <c r="D101" s="12" t="s">
        <v>46</v>
      </c>
      <c r="E101" s="12">
        <v>6291469</v>
      </c>
      <c r="F101" s="13">
        <v>7600</v>
      </c>
      <c r="G101" s="14">
        <v>45495</v>
      </c>
      <c r="H101" s="15" t="s">
        <v>7</v>
      </c>
      <c r="I101" s="16" t="s">
        <v>16</v>
      </c>
      <c r="J101" s="16">
        <v>6291898</v>
      </c>
      <c r="K101" s="17">
        <v>7610</v>
      </c>
      <c r="L101" s="18">
        <v>45497</v>
      </c>
      <c r="M101" s="19" t="s">
        <v>35</v>
      </c>
      <c r="N101" s="20" t="s">
        <v>74</v>
      </c>
      <c r="O101" s="20">
        <v>15</v>
      </c>
      <c r="P101" s="20"/>
      <c r="Q101" s="21">
        <v>45497</v>
      </c>
      <c r="R101" s="20">
        <v>500</v>
      </c>
      <c r="S101" s="22">
        <v>7500</v>
      </c>
      <c r="T101" s="23">
        <v>100</v>
      </c>
      <c r="V101" s="37">
        <f t="shared" si="34"/>
        <v>7600</v>
      </c>
      <c r="W101" s="24">
        <f t="shared" si="35"/>
        <v>100</v>
      </c>
      <c r="X101" s="45">
        <f t="shared" si="36"/>
        <v>-10</v>
      </c>
      <c r="Y101" s="25">
        <f t="shared" si="37"/>
        <v>0</v>
      </c>
      <c r="Z101" s="38">
        <f t="shared" si="38"/>
        <v>10</v>
      </c>
      <c r="AA101" s="39">
        <f t="shared" si="39"/>
        <v>-110</v>
      </c>
      <c r="AB101" s="58">
        <f t="shared" si="40"/>
        <v>-100</v>
      </c>
    </row>
    <row r="102" spans="1:28" s="1" customFormat="1" x14ac:dyDescent="0.2">
      <c r="A102" s="11" t="s">
        <v>5</v>
      </c>
      <c r="B102" s="12" t="s">
        <v>24</v>
      </c>
      <c r="C102" s="12" t="s">
        <v>158</v>
      </c>
      <c r="D102" s="12" t="s">
        <v>46</v>
      </c>
      <c r="E102" s="12">
        <v>6291129</v>
      </c>
      <c r="F102" s="13">
        <v>7780</v>
      </c>
      <c r="G102" s="14">
        <v>45496</v>
      </c>
      <c r="H102" s="15" t="s">
        <v>7</v>
      </c>
      <c r="I102" s="16" t="s">
        <v>27</v>
      </c>
      <c r="J102" s="16">
        <v>6291705</v>
      </c>
      <c r="K102" s="17">
        <v>7765</v>
      </c>
      <c r="L102" s="18">
        <v>45496</v>
      </c>
      <c r="M102" s="19" t="s">
        <v>35</v>
      </c>
      <c r="N102" s="20" t="s">
        <v>36</v>
      </c>
      <c r="O102" s="20">
        <v>15</v>
      </c>
      <c r="P102" s="20"/>
      <c r="Q102" s="21">
        <v>45496</v>
      </c>
      <c r="R102" s="20">
        <v>55</v>
      </c>
      <c r="S102" s="22">
        <v>7747</v>
      </c>
      <c r="T102" s="23">
        <v>185</v>
      </c>
      <c r="V102" s="37">
        <f t="shared" si="34"/>
        <v>7740</v>
      </c>
      <c r="W102" s="28">
        <f t="shared" si="35"/>
        <v>-7</v>
      </c>
      <c r="X102" s="45">
        <f t="shared" si="36"/>
        <v>-25</v>
      </c>
      <c r="Y102" s="199">
        <f t="shared" si="37"/>
        <v>-40</v>
      </c>
      <c r="Z102" s="38">
        <f t="shared" si="38"/>
        <v>-15</v>
      </c>
      <c r="AA102" s="39">
        <f t="shared" si="39"/>
        <v>-18</v>
      </c>
      <c r="AB102" s="58">
        <f t="shared" si="40"/>
        <v>-33</v>
      </c>
    </row>
    <row r="103" spans="1:28" s="1" customFormat="1" x14ac:dyDescent="0.4">
      <c r="A103" s="11" t="s">
        <v>5</v>
      </c>
      <c r="B103" s="12" t="s">
        <v>24</v>
      </c>
      <c r="C103" s="12" t="s">
        <v>159</v>
      </c>
      <c r="D103" s="12" t="s">
        <v>46</v>
      </c>
      <c r="E103" s="12">
        <v>6291380</v>
      </c>
      <c r="F103" s="13">
        <v>7780</v>
      </c>
      <c r="G103" s="14">
        <v>45496</v>
      </c>
      <c r="H103" s="15" t="s">
        <v>7</v>
      </c>
      <c r="I103" s="16" t="s">
        <v>27</v>
      </c>
      <c r="J103" s="142">
        <v>6291658</v>
      </c>
      <c r="K103" s="17">
        <v>7785</v>
      </c>
      <c r="L103" s="18">
        <v>45496</v>
      </c>
      <c r="M103" s="19" t="s">
        <v>44</v>
      </c>
      <c r="N103" s="20" t="s">
        <v>25</v>
      </c>
      <c r="O103" s="20">
        <v>15</v>
      </c>
      <c r="P103" s="20"/>
      <c r="Q103" s="21">
        <v>45496</v>
      </c>
      <c r="R103" s="20">
        <v>55</v>
      </c>
      <c r="S103" s="22">
        <v>7795</v>
      </c>
      <c r="T103" s="23">
        <v>240</v>
      </c>
      <c r="V103" s="37">
        <f t="shared" si="34"/>
        <v>7795</v>
      </c>
      <c r="W103" s="28">
        <f t="shared" si="35"/>
        <v>0</v>
      </c>
      <c r="X103" s="45">
        <f t="shared" si="36"/>
        <v>10</v>
      </c>
      <c r="Y103" s="199">
        <f t="shared" si="37"/>
        <v>15</v>
      </c>
      <c r="Z103" s="38">
        <f t="shared" si="38"/>
        <v>5</v>
      </c>
      <c r="AA103" s="39">
        <f t="shared" si="39"/>
        <v>10</v>
      </c>
      <c r="AB103" s="58">
        <f t="shared" si="40"/>
        <v>15</v>
      </c>
    </row>
    <row r="104" spans="1:28" s="1" customFormat="1" x14ac:dyDescent="0.2">
      <c r="A104" s="11" t="s">
        <v>5</v>
      </c>
      <c r="B104" s="12" t="s">
        <v>24</v>
      </c>
      <c r="C104" s="12" t="s">
        <v>161</v>
      </c>
      <c r="D104" s="12" t="s">
        <v>127</v>
      </c>
      <c r="E104" s="12">
        <v>6291927</v>
      </c>
      <c r="F104" s="13">
        <v>7780</v>
      </c>
      <c r="G104" s="14">
        <v>45497</v>
      </c>
      <c r="H104" s="15" t="s">
        <v>31</v>
      </c>
      <c r="I104" s="16" t="s">
        <v>121</v>
      </c>
      <c r="J104" s="16">
        <v>6292207</v>
      </c>
      <c r="K104" s="17">
        <v>7770</v>
      </c>
      <c r="L104" s="18">
        <v>45496</v>
      </c>
      <c r="M104" s="19" t="s">
        <v>17</v>
      </c>
      <c r="N104" s="20" t="s">
        <v>79</v>
      </c>
      <c r="O104" s="20"/>
      <c r="P104" s="20">
        <v>25</v>
      </c>
      <c r="Q104" s="21">
        <v>45497</v>
      </c>
      <c r="R104" s="20">
        <v>110</v>
      </c>
      <c r="S104" s="22">
        <v>7760</v>
      </c>
      <c r="T104" s="23">
        <v>25</v>
      </c>
      <c r="V104" s="37">
        <f t="shared" si="34"/>
        <v>7760</v>
      </c>
      <c r="W104" s="28">
        <f t="shared" si="35"/>
        <v>0</v>
      </c>
      <c r="X104" s="45">
        <f t="shared" si="36"/>
        <v>-10</v>
      </c>
      <c r="Y104" s="199">
        <f t="shared" si="37"/>
        <v>-20</v>
      </c>
      <c r="Z104" s="38">
        <f t="shared" si="38"/>
        <v>-10</v>
      </c>
      <c r="AA104" s="39">
        <f t="shared" si="39"/>
        <v>-10</v>
      </c>
      <c r="AB104" s="58">
        <f t="shared" si="40"/>
        <v>-20</v>
      </c>
    </row>
    <row r="105" spans="1:28" s="1" customFormat="1" x14ac:dyDescent="0.2">
      <c r="A105" s="11" t="s">
        <v>5</v>
      </c>
      <c r="B105" s="12" t="s">
        <v>24</v>
      </c>
      <c r="C105" s="12" t="s">
        <v>166</v>
      </c>
      <c r="D105" s="12" t="s">
        <v>46</v>
      </c>
      <c r="E105" s="12">
        <v>6291231</v>
      </c>
      <c r="F105" s="13">
        <v>7150</v>
      </c>
      <c r="G105" s="14">
        <v>45496</v>
      </c>
      <c r="H105" s="15" t="s">
        <v>163</v>
      </c>
      <c r="I105" s="16" t="s">
        <v>121</v>
      </c>
      <c r="J105" s="16">
        <v>6292099</v>
      </c>
      <c r="K105" s="17">
        <v>7150</v>
      </c>
      <c r="L105" s="18">
        <v>45497</v>
      </c>
      <c r="M105" s="19" t="s">
        <v>39</v>
      </c>
      <c r="N105" s="20" t="s">
        <v>51</v>
      </c>
      <c r="O105" s="20">
        <v>14</v>
      </c>
      <c r="P105" s="20"/>
      <c r="Q105" s="21">
        <v>45497</v>
      </c>
      <c r="R105" s="20">
        <v>500</v>
      </c>
      <c r="S105" s="22">
        <v>7155</v>
      </c>
      <c r="T105" s="23">
        <v>150</v>
      </c>
      <c r="V105" s="37">
        <f t="shared" si="34"/>
        <v>7150</v>
      </c>
      <c r="W105" s="24">
        <f t="shared" si="35"/>
        <v>-5</v>
      </c>
      <c r="X105" s="27">
        <f t="shared" si="36"/>
        <v>0</v>
      </c>
      <c r="Y105" s="200">
        <f t="shared" si="37"/>
        <v>0</v>
      </c>
      <c r="Z105" s="38">
        <f t="shared" si="38"/>
        <v>0</v>
      </c>
      <c r="AA105" s="39">
        <f t="shared" si="39"/>
        <v>5</v>
      </c>
      <c r="AB105" s="58">
        <f t="shared" si="40"/>
        <v>5</v>
      </c>
    </row>
    <row r="106" spans="1:28" s="1" customFormat="1" x14ac:dyDescent="0.2">
      <c r="A106" s="11" t="s">
        <v>5</v>
      </c>
      <c r="B106" s="12" t="s">
        <v>24</v>
      </c>
      <c r="C106" s="12" t="s">
        <v>157</v>
      </c>
      <c r="D106" s="12" t="s">
        <v>46</v>
      </c>
      <c r="E106" s="12">
        <v>6289995</v>
      </c>
      <c r="F106" s="13">
        <v>7660</v>
      </c>
      <c r="G106" s="14">
        <v>45495</v>
      </c>
      <c r="H106" s="15" t="s">
        <v>163</v>
      </c>
      <c r="I106" s="16" t="s">
        <v>8</v>
      </c>
      <c r="J106" s="16">
        <v>6291450</v>
      </c>
      <c r="K106" s="17">
        <v>7660</v>
      </c>
      <c r="L106" s="18">
        <v>45496</v>
      </c>
      <c r="M106" s="19" t="s">
        <v>39</v>
      </c>
      <c r="N106" s="20" t="s">
        <v>41</v>
      </c>
      <c r="O106" s="20">
        <v>15</v>
      </c>
      <c r="P106" s="20"/>
      <c r="Q106" s="21">
        <v>45496</v>
      </c>
      <c r="R106" s="20">
        <v>500</v>
      </c>
      <c r="S106" s="22">
        <v>7667</v>
      </c>
      <c r="T106" s="23">
        <v>165</v>
      </c>
      <c r="V106" s="37">
        <f t="shared" si="34"/>
        <v>7665</v>
      </c>
      <c r="W106" s="28">
        <f t="shared" si="35"/>
        <v>-2</v>
      </c>
      <c r="X106" s="26">
        <f t="shared" si="36"/>
        <v>5</v>
      </c>
      <c r="Y106" s="200">
        <f t="shared" si="37"/>
        <v>5</v>
      </c>
      <c r="Z106" s="38">
        <f t="shared" si="38"/>
        <v>0</v>
      </c>
      <c r="AA106" s="39">
        <f t="shared" si="39"/>
        <v>7</v>
      </c>
      <c r="AB106" s="58">
        <f t="shared" si="40"/>
        <v>7</v>
      </c>
    </row>
    <row r="107" spans="1:28" s="1" customFormat="1" x14ac:dyDescent="0.2">
      <c r="A107" s="11" t="s">
        <v>5</v>
      </c>
      <c r="B107" s="12" t="s">
        <v>24</v>
      </c>
      <c r="C107" s="12" t="s">
        <v>165</v>
      </c>
      <c r="D107" s="12" t="s">
        <v>62</v>
      </c>
      <c r="E107" s="12">
        <v>6291652</v>
      </c>
      <c r="F107" s="13">
        <v>7780</v>
      </c>
      <c r="G107" s="14">
        <v>45496</v>
      </c>
      <c r="H107" s="15" t="s">
        <v>163</v>
      </c>
      <c r="I107" s="16" t="s">
        <v>32</v>
      </c>
      <c r="J107" s="16">
        <v>6291901</v>
      </c>
      <c r="K107" s="17">
        <v>7780</v>
      </c>
      <c r="L107" s="18">
        <v>45497</v>
      </c>
      <c r="M107" s="19" t="s">
        <v>39</v>
      </c>
      <c r="N107" s="20" t="s">
        <v>18</v>
      </c>
      <c r="O107" s="20">
        <v>15</v>
      </c>
      <c r="P107" s="20"/>
      <c r="Q107" s="21">
        <v>45497</v>
      </c>
      <c r="R107" s="20">
        <v>110</v>
      </c>
      <c r="S107" s="22">
        <v>7795</v>
      </c>
      <c r="T107" s="23">
        <v>180</v>
      </c>
      <c r="V107" s="37">
        <f t="shared" si="34"/>
        <v>7790</v>
      </c>
      <c r="W107" s="28">
        <f t="shared" si="35"/>
        <v>-5</v>
      </c>
      <c r="X107" s="26">
        <f t="shared" si="36"/>
        <v>10</v>
      </c>
      <c r="Y107" s="200">
        <f t="shared" si="37"/>
        <v>10</v>
      </c>
      <c r="Z107" s="38">
        <f t="shared" si="38"/>
        <v>0</v>
      </c>
      <c r="AA107" s="39">
        <f t="shared" si="39"/>
        <v>15</v>
      </c>
      <c r="AB107" s="58">
        <f t="shared" si="40"/>
        <v>15</v>
      </c>
    </row>
    <row r="108" spans="1:28" s="1" customFormat="1" x14ac:dyDescent="0.2">
      <c r="A108" s="11" t="s">
        <v>5</v>
      </c>
      <c r="B108" s="12" t="s">
        <v>24</v>
      </c>
      <c r="C108" s="12" t="s">
        <v>134</v>
      </c>
      <c r="D108" s="12" t="s">
        <v>67</v>
      </c>
      <c r="E108" s="12">
        <v>6290838</v>
      </c>
      <c r="F108" s="13">
        <v>7680</v>
      </c>
      <c r="G108" s="14">
        <v>45496</v>
      </c>
      <c r="H108" s="15" t="s">
        <v>7</v>
      </c>
      <c r="I108" s="16" t="s">
        <v>63</v>
      </c>
      <c r="J108" s="16">
        <v>6292805</v>
      </c>
      <c r="K108" s="17">
        <v>7700</v>
      </c>
      <c r="L108" s="18">
        <v>45497</v>
      </c>
      <c r="M108" s="19" t="s">
        <v>35</v>
      </c>
      <c r="N108" s="20" t="s">
        <v>36</v>
      </c>
      <c r="O108" s="20">
        <v>15</v>
      </c>
      <c r="P108" s="20"/>
      <c r="Q108" s="21">
        <v>45497</v>
      </c>
      <c r="R108" s="20">
        <v>500</v>
      </c>
      <c r="S108" s="22">
        <v>7687</v>
      </c>
      <c r="T108" s="23">
        <v>187</v>
      </c>
      <c r="V108" s="37">
        <f t="shared" si="34"/>
        <v>7687</v>
      </c>
      <c r="W108" s="28">
        <f t="shared" si="35"/>
        <v>0</v>
      </c>
      <c r="X108" s="26">
        <f t="shared" si="36"/>
        <v>-13</v>
      </c>
      <c r="Y108" s="200">
        <f t="shared" si="37"/>
        <v>7</v>
      </c>
      <c r="Z108" s="38">
        <f t="shared" si="38"/>
        <v>20</v>
      </c>
      <c r="AA108" s="39">
        <f t="shared" si="39"/>
        <v>-13</v>
      </c>
      <c r="AB108" s="58">
        <f t="shared" si="40"/>
        <v>7</v>
      </c>
    </row>
    <row r="109" spans="1:28" s="1" customFormat="1" x14ac:dyDescent="0.2">
      <c r="A109" s="11" t="s">
        <v>5</v>
      </c>
      <c r="B109" s="12" t="s">
        <v>24</v>
      </c>
      <c r="C109" s="12" t="s">
        <v>170</v>
      </c>
      <c r="D109" s="12" t="s">
        <v>127</v>
      </c>
      <c r="E109" s="12">
        <v>6292019</v>
      </c>
      <c r="F109" s="13">
        <v>7780</v>
      </c>
      <c r="G109" s="14">
        <v>45497</v>
      </c>
      <c r="H109" s="15" t="s">
        <v>31</v>
      </c>
      <c r="I109" s="16" t="s">
        <v>27</v>
      </c>
      <c r="J109" s="16">
        <v>6292772</v>
      </c>
      <c r="K109" s="17">
        <v>7800</v>
      </c>
      <c r="L109" s="18">
        <v>45497</v>
      </c>
      <c r="M109" s="19" t="s">
        <v>44</v>
      </c>
      <c r="N109" s="20" t="s">
        <v>74</v>
      </c>
      <c r="O109" s="20"/>
      <c r="P109" s="20">
        <v>25</v>
      </c>
      <c r="Q109" s="21">
        <v>45497</v>
      </c>
      <c r="R109" s="20">
        <v>110</v>
      </c>
      <c r="S109" s="22">
        <v>7735</v>
      </c>
      <c r="T109" s="23">
        <v>30</v>
      </c>
      <c r="V109" s="37">
        <f t="shared" si="34"/>
        <v>7765</v>
      </c>
      <c r="W109" s="46">
        <f t="shared" si="35"/>
        <v>30</v>
      </c>
      <c r="X109" s="26">
        <f t="shared" si="36"/>
        <v>-35</v>
      </c>
      <c r="Y109" s="25">
        <f t="shared" si="37"/>
        <v>-15</v>
      </c>
      <c r="Z109" s="38">
        <f t="shared" si="38"/>
        <v>20</v>
      </c>
      <c r="AA109" s="39">
        <f t="shared" si="39"/>
        <v>-65</v>
      </c>
      <c r="AB109" s="58">
        <f t="shared" si="40"/>
        <v>-45</v>
      </c>
    </row>
    <row r="110" spans="1:28" s="1" customFormat="1" x14ac:dyDescent="0.2">
      <c r="A110" s="11" t="s">
        <v>5</v>
      </c>
      <c r="B110" s="12" t="s">
        <v>24</v>
      </c>
      <c r="C110" s="12" t="s">
        <v>176</v>
      </c>
      <c r="D110" s="12" t="s">
        <v>127</v>
      </c>
      <c r="E110" s="12">
        <v>6291966</v>
      </c>
      <c r="F110" s="13">
        <v>7730</v>
      </c>
      <c r="G110" s="14">
        <v>45497</v>
      </c>
      <c r="H110" s="15" t="s">
        <v>7</v>
      </c>
      <c r="I110" s="16" t="s">
        <v>63</v>
      </c>
      <c r="J110" s="16">
        <v>6292655</v>
      </c>
      <c r="K110" s="17">
        <v>7736</v>
      </c>
      <c r="L110" s="18">
        <v>45497</v>
      </c>
      <c r="M110" s="19" t="s">
        <v>35</v>
      </c>
      <c r="N110" s="20" t="s">
        <v>36</v>
      </c>
      <c r="O110" s="20">
        <v>15</v>
      </c>
      <c r="P110" s="20"/>
      <c r="Q110" s="21">
        <v>45497</v>
      </c>
      <c r="R110" s="20">
        <v>500</v>
      </c>
      <c r="S110" s="22">
        <v>7727</v>
      </c>
      <c r="T110" s="23">
        <v>117</v>
      </c>
      <c r="V110" s="37">
        <f t="shared" si="34"/>
        <v>7617</v>
      </c>
      <c r="W110" s="28">
        <f t="shared" si="35"/>
        <v>-110</v>
      </c>
      <c r="X110" s="26">
        <f t="shared" si="36"/>
        <v>-119</v>
      </c>
      <c r="Y110" s="200">
        <f t="shared" si="37"/>
        <v>-113</v>
      </c>
      <c r="Z110" s="38">
        <f t="shared" si="38"/>
        <v>6</v>
      </c>
      <c r="AA110" s="39">
        <f t="shared" si="39"/>
        <v>-9</v>
      </c>
      <c r="AB110" s="58">
        <f t="shared" si="40"/>
        <v>-3</v>
      </c>
    </row>
    <row r="111" spans="1:28" s="1" customFormat="1" x14ac:dyDescent="0.2">
      <c r="A111" s="11" t="s">
        <v>28</v>
      </c>
      <c r="B111" s="12" t="s">
        <v>24</v>
      </c>
      <c r="C111" s="12" t="s">
        <v>178</v>
      </c>
      <c r="D111" s="12" t="s">
        <v>127</v>
      </c>
      <c r="E111" s="12">
        <v>6292116</v>
      </c>
      <c r="F111" s="13">
        <v>8500</v>
      </c>
      <c r="G111" s="14">
        <v>45497</v>
      </c>
      <c r="H111" s="15" t="s">
        <v>31</v>
      </c>
      <c r="I111" s="16" t="s">
        <v>121</v>
      </c>
      <c r="J111" s="16">
        <v>6293927</v>
      </c>
      <c r="K111" s="17">
        <v>8540</v>
      </c>
      <c r="L111" s="18">
        <v>45498</v>
      </c>
      <c r="M111" s="19" t="s">
        <v>17</v>
      </c>
      <c r="N111" s="20" t="s">
        <v>79</v>
      </c>
      <c r="O111" s="20"/>
      <c r="P111" s="20">
        <v>28</v>
      </c>
      <c r="Q111" s="21">
        <v>45498</v>
      </c>
      <c r="R111" s="20">
        <v>310</v>
      </c>
      <c r="S111" s="22">
        <v>8541</v>
      </c>
      <c r="T111" s="23">
        <v>1</v>
      </c>
      <c r="V111" s="37">
        <f t="shared" si="34"/>
        <v>8541</v>
      </c>
      <c r="W111" s="28">
        <f t="shared" si="35"/>
        <v>0</v>
      </c>
      <c r="X111" s="45">
        <f t="shared" si="36"/>
        <v>1</v>
      </c>
      <c r="Y111" s="199">
        <f t="shared" si="37"/>
        <v>41</v>
      </c>
      <c r="Z111" s="38">
        <f t="shared" si="38"/>
        <v>40</v>
      </c>
      <c r="AA111" s="39">
        <f t="shared" si="39"/>
        <v>1</v>
      </c>
      <c r="AB111" s="58">
        <f t="shared" si="40"/>
        <v>41</v>
      </c>
    </row>
    <row r="112" spans="1:28" s="1" customFormat="1" x14ac:dyDescent="0.2">
      <c r="A112" s="11" t="s">
        <v>5</v>
      </c>
      <c r="B112" s="12" t="s">
        <v>24</v>
      </c>
      <c r="C112" s="12" t="s">
        <v>179</v>
      </c>
      <c r="D112" s="12" t="s">
        <v>62</v>
      </c>
      <c r="E112" s="12">
        <v>6291702</v>
      </c>
      <c r="F112" s="13">
        <v>7750</v>
      </c>
      <c r="G112" s="14">
        <v>45496</v>
      </c>
      <c r="H112" s="15" t="s">
        <v>7</v>
      </c>
      <c r="I112" s="16" t="s">
        <v>8</v>
      </c>
      <c r="J112" s="16">
        <v>6293642</v>
      </c>
      <c r="K112" s="17">
        <v>7760</v>
      </c>
      <c r="L112" s="18">
        <v>45498</v>
      </c>
      <c r="M112" s="19" t="s">
        <v>39</v>
      </c>
      <c r="N112" s="20" t="s">
        <v>41</v>
      </c>
      <c r="O112" s="20">
        <v>15</v>
      </c>
      <c r="P112" s="20"/>
      <c r="Q112" s="21">
        <v>45498</v>
      </c>
      <c r="R112" s="20">
        <v>501</v>
      </c>
      <c r="S112" s="22">
        <v>7776</v>
      </c>
      <c r="T112" s="23">
        <v>270</v>
      </c>
      <c r="V112" s="37">
        <f t="shared" si="34"/>
        <v>7770</v>
      </c>
      <c r="W112" s="28">
        <f t="shared" si="35"/>
        <v>-6</v>
      </c>
      <c r="X112" s="45">
        <f t="shared" si="36"/>
        <v>10</v>
      </c>
      <c r="Y112" s="199">
        <f t="shared" si="37"/>
        <v>20</v>
      </c>
      <c r="Z112" s="38">
        <f t="shared" si="38"/>
        <v>10</v>
      </c>
      <c r="AA112" s="39">
        <f t="shared" si="39"/>
        <v>16</v>
      </c>
      <c r="AB112" s="58">
        <f t="shared" si="40"/>
        <v>26</v>
      </c>
    </row>
    <row r="113" spans="1:36" s="1" customFormat="1" x14ac:dyDescent="0.2">
      <c r="A113" s="11" t="s">
        <v>5</v>
      </c>
      <c r="B113" s="12" t="s">
        <v>24</v>
      </c>
      <c r="C113" s="12" t="s">
        <v>193</v>
      </c>
      <c r="D113" s="12" t="s">
        <v>65</v>
      </c>
      <c r="E113" s="12">
        <v>6295743</v>
      </c>
      <c r="F113" s="13">
        <v>7780</v>
      </c>
      <c r="G113" s="14">
        <v>45500</v>
      </c>
      <c r="H113" s="15" t="s">
        <v>7</v>
      </c>
      <c r="I113" s="16" t="s">
        <v>8</v>
      </c>
      <c r="J113" s="16">
        <v>6295944</v>
      </c>
      <c r="K113" s="17">
        <v>7785</v>
      </c>
      <c r="L113" s="18">
        <v>45500</v>
      </c>
      <c r="M113" s="19" t="s">
        <v>39</v>
      </c>
      <c r="N113" s="20" t="s">
        <v>25</v>
      </c>
      <c r="O113" s="20">
        <v>15</v>
      </c>
      <c r="P113" s="20"/>
      <c r="Q113" s="21">
        <v>45500</v>
      </c>
      <c r="R113" s="20">
        <v>55</v>
      </c>
      <c r="S113" s="22">
        <v>7806</v>
      </c>
      <c r="T113" s="23">
        <v>240</v>
      </c>
      <c r="V113" s="37">
        <f t="shared" si="34"/>
        <v>7795</v>
      </c>
      <c r="W113" s="46">
        <f t="shared" si="35"/>
        <v>-11</v>
      </c>
      <c r="X113" s="27">
        <f t="shared" si="36"/>
        <v>10</v>
      </c>
      <c r="Y113" s="199">
        <f t="shared" si="37"/>
        <v>15</v>
      </c>
      <c r="Z113" s="38">
        <f t="shared" si="38"/>
        <v>5</v>
      </c>
      <c r="AA113" s="39">
        <f t="shared" si="39"/>
        <v>21</v>
      </c>
      <c r="AB113" s="58">
        <f t="shared" si="40"/>
        <v>26</v>
      </c>
    </row>
    <row r="114" spans="1:36" s="1" customFormat="1" x14ac:dyDescent="0.2">
      <c r="A114" s="11" t="s">
        <v>5</v>
      </c>
      <c r="B114" s="12" t="s">
        <v>24</v>
      </c>
      <c r="C114" s="12" t="s">
        <v>220</v>
      </c>
      <c r="D114" s="12" t="s">
        <v>62</v>
      </c>
      <c r="E114" s="12">
        <v>6305413</v>
      </c>
      <c r="F114" s="13">
        <v>7780</v>
      </c>
      <c r="G114" s="14">
        <v>45507</v>
      </c>
      <c r="H114" s="15" t="s">
        <v>7</v>
      </c>
      <c r="I114" s="16" t="s">
        <v>32</v>
      </c>
      <c r="J114" s="16">
        <v>6305685</v>
      </c>
      <c r="K114" s="17">
        <v>7790</v>
      </c>
      <c r="L114" s="18">
        <v>45507</v>
      </c>
      <c r="M114" s="19" t="s">
        <v>35</v>
      </c>
      <c r="N114" s="20" t="s">
        <v>36</v>
      </c>
      <c r="O114" s="20">
        <v>15</v>
      </c>
      <c r="P114" s="20"/>
      <c r="Q114" s="21">
        <v>45509</v>
      </c>
      <c r="R114" s="20">
        <v>55</v>
      </c>
      <c r="S114" s="22">
        <v>7816</v>
      </c>
      <c r="T114" s="23">
        <v>252</v>
      </c>
      <c r="V114" s="37">
        <f t="shared" si="34"/>
        <v>7807</v>
      </c>
      <c r="W114" s="28">
        <f t="shared" si="35"/>
        <v>-9</v>
      </c>
      <c r="X114" s="45">
        <f t="shared" si="36"/>
        <v>17</v>
      </c>
      <c r="Y114" s="199">
        <f t="shared" si="37"/>
        <v>27</v>
      </c>
      <c r="Z114" s="38">
        <f t="shared" si="38"/>
        <v>10</v>
      </c>
      <c r="AA114" s="39">
        <f t="shared" si="39"/>
        <v>26</v>
      </c>
      <c r="AB114" s="58">
        <f t="shared" si="40"/>
        <v>36</v>
      </c>
    </row>
    <row r="115" spans="1:36" s="1" customFormat="1" x14ac:dyDescent="0.2">
      <c r="A115" s="11" t="s">
        <v>5</v>
      </c>
      <c r="B115" s="12" t="s">
        <v>24</v>
      </c>
      <c r="C115" s="12" t="s">
        <v>242</v>
      </c>
      <c r="D115" s="12" t="s">
        <v>62</v>
      </c>
      <c r="E115" s="12">
        <v>6310772</v>
      </c>
      <c r="F115" s="13">
        <v>7780</v>
      </c>
      <c r="G115" s="14">
        <v>45512</v>
      </c>
      <c r="H115" s="15" t="s">
        <v>31</v>
      </c>
      <c r="I115" s="16" t="s">
        <v>27</v>
      </c>
      <c r="J115" s="16">
        <v>6311047</v>
      </c>
      <c r="K115" s="17">
        <v>7800</v>
      </c>
      <c r="L115" s="18">
        <v>45512</v>
      </c>
      <c r="M115" s="19" t="s">
        <v>17</v>
      </c>
      <c r="N115" s="20" t="s">
        <v>115</v>
      </c>
      <c r="O115" s="20">
        <v>15</v>
      </c>
      <c r="P115" s="20"/>
      <c r="Q115" s="21">
        <v>45512</v>
      </c>
      <c r="R115" s="20">
        <v>500</v>
      </c>
      <c r="S115" s="22">
        <v>7610</v>
      </c>
      <c r="T115" s="23">
        <v>200</v>
      </c>
      <c r="V115" s="37">
        <f t="shared" si="34"/>
        <v>7700</v>
      </c>
      <c r="W115" s="46">
        <f t="shared" si="35"/>
        <v>90</v>
      </c>
      <c r="X115" s="26">
        <f t="shared" si="36"/>
        <v>-100</v>
      </c>
      <c r="Y115" s="203">
        <f t="shared" si="37"/>
        <v>-80</v>
      </c>
      <c r="Z115" s="38">
        <f t="shared" si="38"/>
        <v>20</v>
      </c>
      <c r="AA115" s="39">
        <f t="shared" si="39"/>
        <v>-190</v>
      </c>
      <c r="AB115" s="39">
        <f t="shared" si="40"/>
        <v>-170</v>
      </c>
    </row>
    <row r="116" spans="1:36" s="1" customFormat="1" x14ac:dyDescent="0.2">
      <c r="A116" s="11" t="s">
        <v>5</v>
      </c>
      <c r="B116" s="12" t="s">
        <v>24</v>
      </c>
      <c r="C116" s="12" t="s">
        <v>245</v>
      </c>
      <c r="D116" s="12" t="s">
        <v>15</v>
      </c>
      <c r="E116" s="12">
        <v>6310436</v>
      </c>
      <c r="F116" s="13">
        <v>7790</v>
      </c>
      <c r="G116" s="14">
        <v>45511</v>
      </c>
      <c r="H116" s="15" t="s">
        <v>31</v>
      </c>
      <c r="I116" s="16" t="s">
        <v>27</v>
      </c>
      <c r="J116" s="16">
        <v>6310724</v>
      </c>
      <c r="K116" s="17">
        <v>7820</v>
      </c>
      <c r="L116" s="18">
        <v>45512</v>
      </c>
      <c r="M116" s="19" t="s">
        <v>17</v>
      </c>
      <c r="N116" s="20" t="s">
        <v>238</v>
      </c>
      <c r="O116" s="20">
        <v>15</v>
      </c>
      <c r="P116" s="20"/>
      <c r="Q116" s="21">
        <v>45512</v>
      </c>
      <c r="R116" s="20">
        <v>110</v>
      </c>
      <c r="S116" s="22">
        <v>7831</v>
      </c>
      <c r="T116" s="23">
        <v>220</v>
      </c>
      <c r="V116" s="37">
        <f t="shared" si="34"/>
        <v>7830</v>
      </c>
      <c r="W116" s="28">
        <f t="shared" si="35"/>
        <v>-1</v>
      </c>
      <c r="X116" s="45">
        <f t="shared" si="36"/>
        <v>10</v>
      </c>
      <c r="Y116" s="204">
        <f t="shared" si="37"/>
        <v>40</v>
      </c>
      <c r="Z116" s="38">
        <f t="shared" si="38"/>
        <v>30</v>
      </c>
      <c r="AA116" s="39">
        <f t="shared" si="39"/>
        <v>11</v>
      </c>
      <c r="AB116" s="39">
        <f t="shared" si="40"/>
        <v>41</v>
      </c>
    </row>
    <row r="117" spans="1:36" s="1" customFormat="1" x14ac:dyDescent="0.2">
      <c r="A117" s="11" t="s">
        <v>28</v>
      </c>
      <c r="B117" s="12" t="s">
        <v>24</v>
      </c>
      <c r="C117" s="12" t="s">
        <v>252</v>
      </c>
      <c r="D117" s="12" t="s">
        <v>218</v>
      </c>
      <c r="E117" s="12">
        <v>6309945</v>
      </c>
      <c r="F117" s="13">
        <v>8140</v>
      </c>
      <c r="G117" s="14">
        <v>45511</v>
      </c>
      <c r="H117" s="15" t="s">
        <v>7</v>
      </c>
      <c r="I117" s="16" t="s">
        <v>32</v>
      </c>
      <c r="J117" s="16">
        <v>631160</v>
      </c>
      <c r="K117" s="17">
        <v>8170</v>
      </c>
      <c r="L117" s="18">
        <v>45512</v>
      </c>
      <c r="M117" s="19" t="s">
        <v>35</v>
      </c>
      <c r="N117" s="20" t="s">
        <v>74</v>
      </c>
      <c r="O117" s="20">
        <v>16</v>
      </c>
      <c r="P117" s="20"/>
      <c r="Q117" s="21">
        <v>45512</v>
      </c>
      <c r="R117" s="20">
        <v>110</v>
      </c>
      <c r="S117" s="22">
        <v>8110</v>
      </c>
      <c r="T117" s="23">
        <v>20</v>
      </c>
      <c r="V117" s="37">
        <f t="shared" si="34"/>
        <v>8130</v>
      </c>
      <c r="W117" s="46">
        <f t="shared" si="35"/>
        <v>20</v>
      </c>
      <c r="X117" s="26">
        <f t="shared" si="36"/>
        <v>-40</v>
      </c>
      <c r="Y117" s="203">
        <f t="shared" si="37"/>
        <v>-10</v>
      </c>
      <c r="Z117" s="38">
        <f t="shared" si="38"/>
        <v>30</v>
      </c>
      <c r="AA117" s="39">
        <f t="shared" si="39"/>
        <v>-60</v>
      </c>
      <c r="AB117" s="39">
        <f t="shared" si="40"/>
        <v>-30</v>
      </c>
      <c r="AC117" s="209"/>
    </row>
    <row r="118" spans="1:36" s="1" customFormat="1" x14ac:dyDescent="0.2">
      <c r="A118" s="11" t="s">
        <v>28</v>
      </c>
      <c r="B118" s="12" t="s">
        <v>24</v>
      </c>
      <c r="C118" s="12" t="s">
        <v>254</v>
      </c>
      <c r="D118" s="12" t="s">
        <v>218</v>
      </c>
      <c r="E118" s="12">
        <v>6309679</v>
      </c>
      <c r="F118" s="13">
        <v>8140</v>
      </c>
      <c r="G118" s="14">
        <v>45511</v>
      </c>
      <c r="H118" s="15" t="s">
        <v>7</v>
      </c>
      <c r="I118" s="16" t="s">
        <v>63</v>
      </c>
      <c r="J118" s="16">
        <v>6310801</v>
      </c>
      <c r="K118" s="17">
        <v>8175</v>
      </c>
      <c r="L118" s="18">
        <v>45512</v>
      </c>
      <c r="M118" s="19" t="s">
        <v>35</v>
      </c>
      <c r="N118" s="20" t="s">
        <v>36</v>
      </c>
      <c r="O118" s="20">
        <v>16</v>
      </c>
      <c r="P118" s="20"/>
      <c r="Q118" s="21">
        <v>45512</v>
      </c>
      <c r="R118" s="20">
        <v>110</v>
      </c>
      <c r="S118" s="22">
        <v>8165</v>
      </c>
      <c r="T118" s="23">
        <v>46</v>
      </c>
      <c r="V118" s="37">
        <f t="shared" si="34"/>
        <v>8156</v>
      </c>
      <c r="W118" s="28">
        <f t="shared" si="35"/>
        <v>-9</v>
      </c>
      <c r="X118" s="26">
        <f t="shared" si="36"/>
        <v>-19</v>
      </c>
      <c r="Y118" s="47">
        <f t="shared" si="37"/>
        <v>16</v>
      </c>
      <c r="Z118" s="38">
        <f t="shared" si="38"/>
        <v>35</v>
      </c>
      <c r="AA118" s="39">
        <f t="shared" si="39"/>
        <v>-10</v>
      </c>
      <c r="AB118" s="39">
        <f t="shared" si="40"/>
        <v>25</v>
      </c>
      <c r="AC118" s="209"/>
    </row>
    <row r="119" spans="1:36" s="1" customFormat="1" x14ac:dyDescent="0.2">
      <c r="A119" s="11" t="s">
        <v>28</v>
      </c>
      <c r="B119" s="12" t="s">
        <v>24</v>
      </c>
      <c r="C119" s="12" t="s">
        <v>264</v>
      </c>
      <c r="D119" s="12" t="s">
        <v>218</v>
      </c>
      <c r="E119" s="12">
        <v>6310179</v>
      </c>
      <c r="F119" s="13">
        <v>8115</v>
      </c>
      <c r="G119" s="14">
        <v>45511</v>
      </c>
      <c r="H119" s="15" t="s">
        <v>7</v>
      </c>
      <c r="I119" s="16" t="s">
        <v>101</v>
      </c>
      <c r="J119" s="16"/>
      <c r="K119" s="17">
        <v>8110</v>
      </c>
      <c r="L119" s="18">
        <v>45512</v>
      </c>
      <c r="M119" s="19" t="s">
        <v>35</v>
      </c>
      <c r="N119" s="20" t="s">
        <v>36</v>
      </c>
      <c r="O119" s="20">
        <v>16</v>
      </c>
      <c r="P119" s="20"/>
      <c r="Q119" s="21">
        <v>45513</v>
      </c>
      <c r="R119" s="20">
        <v>500</v>
      </c>
      <c r="S119" s="22">
        <v>8091</v>
      </c>
      <c r="T119" s="23">
        <v>38</v>
      </c>
      <c r="V119" s="37">
        <f t="shared" si="34"/>
        <v>8038</v>
      </c>
      <c r="W119" s="28">
        <f t="shared" si="35"/>
        <v>-53</v>
      </c>
      <c r="X119" s="45">
        <f t="shared" si="36"/>
        <v>-72</v>
      </c>
      <c r="Y119" s="204">
        <f t="shared" si="37"/>
        <v>-77</v>
      </c>
      <c r="Z119" s="38">
        <f t="shared" si="38"/>
        <v>-5</v>
      </c>
      <c r="AA119" s="39">
        <f t="shared" si="39"/>
        <v>-19</v>
      </c>
      <c r="AB119" s="39">
        <f t="shared" si="40"/>
        <v>-24</v>
      </c>
      <c r="AC119" s="209"/>
    </row>
    <row r="120" spans="1:36" s="1" customFormat="1" x14ac:dyDescent="0.2">
      <c r="A120" s="11" t="s">
        <v>28</v>
      </c>
      <c r="B120" s="12" t="s">
        <v>24</v>
      </c>
      <c r="C120" s="12" t="s">
        <v>269</v>
      </c>
      <c r="D120" s="12" t="s">
        <v>62</v>
      </c>
      <c r="E120" s="12">
        <v>6312504</v>
      </c>
      <c r="F120" s="13">
        <v>8140</v>
      </c>
      <c r="G120" s="14">
        <v>45513</v>
      </c>
      <c r="H120" s="15" t="s">
        <v>7</v>
      </c>
      <c r="I120" s="16" t="s">
        <v>27</v>
      </c>
      <c r="J120" s="16">
        <v>6312697</v>
      </c>
      <c r="K120" s="17">
        <v>8170</v>
      </c>
      <c r="L120" s="18">
        <v>45513</v>
      </c>
      <c r="M120" s="19" t="s">
        <v>39</v>
      </c>
      <c r="N120" s="20" t="s">
        <v>18</v>
      </c>
      <c r="O120" s="20">
        <v>16</v>
      </c>
      <c r="P120" s="20"/>
      <c r="Q120" s="21">
        <v>45513</v>
      </c>
      <c r="R120" s="20">
        <v>110</v>
      </c>
      <c r="S120" s="22">
        <v>8150</v>
      </c>
      <c r="T120" s="23">
        <v>15</v>
      </c>
      <c r="V120" s="37">
        <f t="shared" si="34"/>
        <v>8125</v>
      </c>
      <c r="W120" s="46">
        <f t="shared" si="35"/>
        <v>-25</v>
      </c>
      <c r="X120" s="26">
        <f t="shared" si="36"/>
        <v>-45</v>
      </c>
      <c r="Y120" s="203">
        <f t="shared" si="37"/>
        <v>-15</v>
      </c>
      <c r="Z120" s="38">
        <f t="shared" si="38"/>
        <v>30</v>
      </c>
      <c r="AA120" s="39">
        <f t="shared" si="39"/>
        <v>-20</v>
      </c>
      <c r="AB120" s="39">
        <f t="shared" si="40"/>
        <v>10</v>
      </c>
      <c r="AC120" s="209"/>
    </row>
    <row r="121" spans="1:36" s="1" customFormat="1" x14ac:dyDescent="0.2">
      <c r="A121" s="11" t="s">
        <v>5</v>
      </c>
      <c r="B121" s="12" t="s">
        <v>24</v>
      </c>
      <c r="C121" s="12" t="s">
        <v>283</v>
      </c>
      <c r="D121" s="12" t="s">
        <v>62</v>
      </c>
      <c r="E121" s="12">
        <v>6310877</v>
      </c>
      <c r="F121" s="13">
        <v>7680</v>
      </c>
      <c r="G121" s="14">
        <v>45512</v>
      </c>
      <c r="H121" s="15" t="s">
        <v>163</v>
      </c>
      <c r="I121" s="16" t="s">
        <v>8</v>
      </c>
      <c r="J121" s="16">
        <v>6313772</v>
      </c>
      <c r="K121" s="17">
        <v>7700</v>
      </c>
      <c r="L121" s="18">
        <v>45513</v>
      </c>
      <c r="M121" s="19" t="s">
        <v>17</v>
      </c>
      <c r="N121" s="20" t="s">
        <v>51</v>
      </c>
      <c r="O121" s="20"/>
      <c r="P121" s="20">
        <v>25</v>
      </c>
      <c r="Q121" s="21">
        <v>45513</v>
      </c>
      <c r="R121" s="20">
        <v>310</v>
      </c>
      <c r="S121" s="22">
        <v>7700</v>
      </c>
      <c r="T121" s="23">
        <v>40</v>
      </c>
      <c r="V121" s="37">
        <f t="shared" si="34"/>
        <v>7665</v>
      </c>
      <c r="W121" s="24">
        <f t="shared" si="35"/>
        <v>-35</v>
      </c>
      <c r="X121" s="45">
        <f t="shared" si="36"/>
        <v>-35</v>
      </c>
      <c r="Y121" s="203">
        <f t="shared" si="37"/>
        <v>-15</v>
      </c>
      <c r="Z121" s="38">
        <f t="shared" si="38"/>
        <v>20</v>
      </c>
      <c r="AA121" s="39">
        <f t="shared" si="39"/>
        <v>0</v>
      </c>
      <c r="AB121" s="39">
        <f t="shared" si="40"/>
        <v>20</v>
      </c>
      <c r="AC121" s="209"/>
    </row>
    <row r="122" spans="1:36" s="1" customFormat="1" x14ac:dyDescent="0.2">
      <c r="A122" s="11" t="s">
        <v>28</v>
      </c>
      <c r="B122" s="12" t="s">
        <v>24</v>
      </c>
      <c r="C122" s="12" t="s">
        <v>285</v>
      </c>
      <c r="D122" s="12" t="s">
        <v>218</v>
      </c>
      <c r="E122" s="12">
        <v>6312980</v>
      </c>
      <c r="F122" s="13">
        <v>8140</v>
      </c>
      <c r="G122" s="14">
        <v>45513</v>
      </c>
      <c r="H122" s="15" t="s">
        <v>7</v>
      </c>
      <c r="I122" s="16" t="s">
        <v>16</v>
      </c>
      <c r="J122" s="16">
        <v>6313635</v>
      </c>
      <c r="K122" s="17">
        <v>8160</v>
      </c>
      <c r="L122" s="18">
        <v>45513</v>
      </c>
      <c r="M122" s="19" t="s">
        <v>35</v>
      </c>
      <c r="N122" s="20" t="s">
        <v>79</v>
      </c>
      <c r="O122" s="20">
        <v>16</v>
      </c>
      <c r="P122" s="20"/>
      <c r="Q122" s="21">
        <v>45513</v>
      </c>
      <c r="R122" s="20">
        <v>110</v>
      </c>
      <c r="S122" s="22">
        <v>8164</v>
      </c>
      <c r="T122" s="23">
        <v>50</v>
      </c>
      <c r="V122" s="37">
        <f t="shared" si="34"/>
        <v>8160</v>
      </c>
      <c r="W122" s="46">
        <f t="shared" si="35"/>
        <v>-4</v>
      </c>
      <c r="X122" s="27">
        <f t="shared" si="36"/>
        <v>0</v>
      </c>
      <c r="Y122" s="204">
        <f t="shared" si="37"/>
        <v>20</v>
      </c>
      <c r="Z122" s="38">
        <f t="shared" si="38"/>
        <v>20</v>
      </c>
      <c r="AA122" s="39">
        <f t="shared" si="39"/>
        <v>4</v>
      </c>
      <c r="AB122" s="39">
        <f t="shared" si="40"/>
        <v>24</v>
      </c>
      <c r="AC122" s="209"/>
    </row>
    <row r="123" spans="1:36" ht="30.75" customHeight="1" x14ac:dyDescent="0.2">
      <c r="A123" s="209"/>
      <c r="B123" s="209"/>
      <c r="C123" s="209"/>
      <c r="D123" s="209"/>
      <c r="E123" s="209"/>
      <c r="F123" s="213"/>
      <c r="G123" s="153"/>
      <c r="H123" s="209"/>
      <c r="I123" s="209"/>
      <c r="J123" s="209"/>
      <c r="K123" s="213"/>
      <c r="L123" s="153"/>
      <c r="M123" s="209"/>
      <c r="N123" s="209"/>
      <c r="O123" s="209"/>
      <c r="P123" s="209"/>
      <c r="Q123" s="153"/>
      <c r="R123" s="209"/>
      <c r="S123" s="213"/>
      <c r="T123" s="209"/>
      <c r="U123" s="209"/>
      <c r="V123" s="213"/>
      <c r="W123" s="209"/>
      <c r="X123" s="213"/>
      <c r="Y123" s="154"/>
      <c r="Z123" s="209" t="str">
        <f t="shared" ref="Z123:Z125" si="41">IF(OR(ISBLANK(F123), ISBLANK(K123)), "",K123-F123)</f>
        <v/>
      </c>
      <c r="AA123" s="209" t="str">
        <f t="shared" ref="AA123:AA125" si="42">IF(OR(ISBLANK(K123), ISBLANK(S123)), "",S123-K123)</f>
        <v/>
      </c>
      <c r="AB123" s="209" t="str">
        <f t="shared" ref="AB123:AB125" si="43">IF(OR(ISBLANK(F123), ISBLANK(S123)), "",S123-F123)</f>
        <v/>
      </c>
      <c r="AC123" s="209"/>
      <c r="AE123" s="209"/>
      <c r="AF123" s="209"/>
    </row>
    <row r="124" spans="1:36" ht="30.75" customHeight="1" x14ac:dyDescent="0.2">
      <c r="A124" s="209"/>
      <c r="B124" s="209"/>
      <c r="C124" s="209"/>
      <c r="D124" s="209"/>
      <c r="E124" s="209"/>
      <c r="F124" s="213"/>
      <c r="G124" s="153"/>
      <c r="H124" s="209"/>
      <c r="I124" s="209"/>
      <c r="J124" s="209"/>
      <c r="K124" s="213"/>
      <c r="L124" s="153"/>
      <c r="M124" s="209"/>
      <c r="N124" s="209"/>
      <c r="O124" s="209"/>
      <c r="P124" s="209"/>
      <c r="Q124" s="153"/>
      <c r="R124" s="209"/>
      <c r="S124" s="213"/>
      <c r="T124" s="209"/>
      <c r="U124" s="209"/>
      <c r="V124" s="213"/>
      <c r="W124" s="209"/>
      <c r="X124" s="213"/>
      <c r="Y124" s="154"/>
      <c r="Z124" s="209" t="str">
        <f t="shared" si="41"/>
        <v/>
      </c>
      <c r="AA124" s="209" t="str">
        <f t="shared" si="42"/>
        <v/>
      </c>
      <c r="AB124" s="209" t="str">
        <f t="shared" si="43"/>
        <v/>
      </c>
      <c r="AC124" s="209"/>
      <c r="AE124" s="209"/>
      <c r="AF124" s="209"/>
    </row>
    <row r="125" spans="1:36" ht="30.75" customHeight="1" x14ac:dyDescent="0.2">
      <c r="A125" s="209"/>
      <c r="B125" s="209"/>
      <c r="C125" s="209"/>
      <c r="D125" s="209"/>
      <c r="E125" s="209"/>
      <c r="F125" s="213"/>
      <c r="G125" s="153"/>
      <c r="H125" s="209"/>
      <c r="I125" s="209"/>
      <c r="J125" s="209"/>
      <c r="K125" s="213"/>
      <c r="L125" s="153"/>
      <c r="M125" s="209"/>
      <c r="N125" s="209"/>
      <c r="O125" s="209"/>
      <c r="P125" s="209"/>
      <c r="Q125" s="153"/>
      <c r="R125" s="209"/>
      <c r="S125" s="213"/>
      <c r="T125" s="209"/>
      <c r="U125" s="209"/>
      <c r="V125" s="213"/>
      <c r="W125" s="213"/>
      <c r="X125" s="209"/>
      <c r="Y125" s="154"/>
      <c r="Z125" s="209" t="str">
        <f t="shared" si="41"/>
        <v/>
      </c>
      <c r="AA125" s="209" t="str">
        <f t="shared" si="42"/>
        <v/>
      </c>
      <c r="AB125" s="209" t="str">
        <f t="shared" si="43"/>
        <v/>
      </c>
      <c r="AC125" s="209"/>
      <c r="AE125" s="209"/>
      <c r="AF125" s="209"/>
    </row>
    <row r="126" spans="1:36" ht="30.75" customHeight="1" x14ac:dyDescent="0.2">
      <c r="A126" s="183" t="s">
        <v>86</v>
      </c>
      <c r="B126" s="183" t="s">
        <v>136</v>
      </c>
      <c r="C126" s="183" t="s">
        <v>87</v>
      </c>
      <c r="D126" s="183" t="s">
        <v>88</v>
      </c>
      <c r="E126" s="183" t="s">
        <v>89</v>
      </c>
      <c r="F126" s="183" t="s">
        <v>90</v>
      </c>
      <c r="G126" s="213" t="s">
        <v>3</v>
      </c>
      <c r="H126" s="213" t="s">
        <v>9</v>
      </c>
      <c r="I126" s="213" t="s">
        <v>10</v>
      </c>
      <c r="J126" s="213" t="s">
        <v>1</v>
      </c>
      <c r="K126" s="213" t="s">
        <v>2</v>
      </c>
      <c r="L126" s="213" t="s">
        <v>3</v>
      </c>
      <c r="M126" s="213" t="s">
        <v>9</v>
      </c>
      <c r="N126" s="213" t="s">
        <v>10</v>
      </c>
      <c r="O126" s="183" t="s">
        <v>11</v>
      </c>
      <c r="P126" s="183" t="s">
        <v>12</v>
      </c>
      <c r="Q126" s="213" t="s">
        <v>3</v>
      </c>
      <c r="R126" s="183" t="s">
        <v>100</v>
      </c>
      <c r="S126" s="183" t="s">
        <v>95</v>
      </c>
      <c r="T126" s="213" t="s">
        <v>13</v>
      </c>
      <c r="U126" s="209"/>
      <c r="V126" s="213" t="s">
        <v>60</v>
      </c>
      <c r="W126" s="182" t="s">
        <v>91</v>
      </c>
      <c r="X126" s="182" t="s">
        <v>92</v>
      </c>
      <c r="Y126" s="182" t="s">
        <v>93</v>
      </c>
      <c r="Z126" s="183" t="s">
        <v>94</v>
      </c>
      <c r="AA126" s="183" t="s">
        <v>117</v>
      </c>
      <c r="AB126" s="183" t="s">
        <v>118</v>
      </c>
      <c r="AC126" s="209"/>
      <c r="AE126" s="209"/>
      <c r="AF126" s="209"/>
    </row>
    <row r="127" spans="1:36" ht="30.75" customHeight="1" thickBot="1" x14ac:dyDescent="0.25">
      <c r="A127" s="209" t="s">
        <v>5</v>
      </c>
      <c r="B127" s="209" t="s">
        <v>21</v>
      </c>
      <c r="C127" s="209" t="s">
        <v>37</v>
      </c>
      <c r="D127" s="209" t="s">
        <v>30</v>
      </c>
      <c r="E127" s="209">
        <v>6282759</v>
      </c>
      <c r="F127" s="213">
        <v>7780</v>
      </c>
      <c r="G127" s="153">
        <v>45485</v>
      </c>
      <c r="H127" s="209" t="s">
        <v>7</v>
      </c>
      <c r="I127" s="209" t="s">
        <v>16</v>
      </c>
      <c r="J127" s="209">
        <v>6283982</v>
      </c>
      <c r="K127" s="213">
        <v>7650</v>
      </c>
      <c r="L127" s="153">
        <v>45486</v>
      </c>
      <c r="M127" s="209"/>
      <c r="N127" s="209"/>
      <c r="O127" s="209"/>
      <c r="P127" s="209">
        <v>24</v>
      </c>
      <c r="Q127" s="153">
        <v>45486</v>
      </c>
      <c r="R127" s="209">
        <v>55</v>
      </c>
      <c r="S127" s="213">
        <v>7650</v>
      </c>
      <c r="T127" s="209">
        <v>275</v>
      </c>
      <c r="U127" s="209"/>
      <c r="V127" s="213">
        <f t="shared" ref="V127" si="44">IF(RIGHT(C127, 1)="1",
    IF(O127&lt;&gt;"", 500*O127 + T127 + IF(R127&lt;=110, R127, 0), IF(P127&lt;&gt;"", 305*P127 + T127 + IF(R127&lt;=110, R127, 0), "")),
    IF(O127&lt;&gt;"", 500*O127 + T127, IF(P127&lt;&gt;"", 305*P127 + T127, ""))
)</f>
        <v>7650</v>
      </c>
      <c r="W127" s="213">
        <f t="shared" ref="W127" si="45">IF(OR(ISBLANK(V127), ISBLANK(S127), NOT(ISNUMBER(V127)), NOT(ISNUMBER(S127))), "", V127-S127)</f>
        <v>0</v>
      </c>
      <c r="X127" s="209">
        <f t="shared" ref="X127" si="46">IF(OR(ISBLANK(V127), ISBLANK(K127), NOT(ISNUMBER(V127)), NOT(ISNUMBER(K127))), "", V127-K127)</f>
        <v>0</v>
      </c>
      <c r="Y127" s="154">
        <f t="shared" ref="Y127" si="47">IF(OR(ISBLANK(V127), ISBLANK(F127), NOT(ISNUMBER(V127)), NOT(ISNUMBER(F127))), "", V127-F127)</f>
        <v>-130</v>
      </c>
      <c r="Z127" s="209">
        <f t="shared" ref="Z127" si="48">IF(OR(ISBLANK(F127), ISBLANK(K127)), "",K127-F127)</f>
        <v>-130</v>
      </c>
      <c r="AA127" s="209">
        <f t="shared" ref="AA127" si="49">IF(OR(ISBLANK(K127), ISBLANK(S127)), "",S127-K127)</f>
        <v>0</v>
      </c>
      <c r="AB127" s="209">
        <f t="shared" ref="AB127" si="50">IF(OR(ISBLANK(F127), ISBLANK(S127)), "",S127-F127)</f>
        <v>-130</v>
      </c>
      <c r="AC127" s="209"/>
      <c r="AE127" s="209"/>
      <c r="AF127" s="209"/>
    </row>
    <row r="128" spans="1:36" s="1" customFormat="1" ht="80.099999999999994" customHeight="1" x14ac:dyDescent="0.2">
      <c r="A128" s="144" t="s">
        <v>86</v>
      </c>
      <c r="B128" s="145" t="s">
        <v>136</v>
      </c>
      <c r="C128" s="145" t="s">
        <v>87</v>
      </c>
      <c r="D128" s="145" t="s">
        <v>88</v>
      </c>
      <c r="E128" s="145" t="s">
        <v>89</v>
      </c>
      <c r="F128" s="145" t="s">
        <v>90</v>
      </c>
      <c r="G128" s="146" t="s">
        <v>3</v>
      </c>
      <c r="H128" s="147" t="s">
        <v>9</v>
      </c>
      <c r="I128" s="148" t="s">
        <v>10</v>
      </c>
      <c r="J128" s="148" t="s">
        <v>1</v>
      </c>
      <c r="K128" s="148" t="s">
        <v>2</v>
      </c>
      <c r="L128" s="149" t="s">
        <v>3</v>
      </c>
      <c r="M128" s="7" t="s">
        <v>9</v>
      </c>
      <c r="N128" s="8" t="s">
        <v>10</v>
      </c>
      <c r="O128" s="9" t="s">
        <v>11</v>
      </c>
      <c r="P128" s="9" t="s">
        <v>12</v>
      </c>
      <c r="Q128" s="8" t="s">
        <v>3</v>
      </c>
      <c r="R128" s="9" t="s">
        <v>100</v>
      </c>
      <c r="S128" s="9" t="s">
        <v>95</v>
      </c>
      <c r="T128" s="10" t="s">
        <v>13</v>
      </c>
      <c r="V128" s="40" t="s">
        <v>60</v>
      </c>
      <c r="W128" s="143" t="s">
        <v>91</v>
      </c>
      <c r="X128" s="52" t="s">
        <v>92</v>
      </c>
      <c r="Y128" s="53" t="s">
        <v>93</v>
      </c>
      <c r="Z128" s="150" t="s">
        <v>94</v>
      </c>
      <c r="AA128" s="151" t="s">
        <v>117</v>
      </c>
      <c r="AB128" s="152" t="s">
        <v>118</v>
      </c>
      <c r="AC128" s="209"/>
      <c r="AD128" s="209"/>
      <c r="AE128" s="209"/>
      <c r="AF128" s="209"/>
      <c r="AG128" s="209"/>
      <c r="AH128" s="209"/>
      <c r="AI128" s="209"/>
      <c r="AJ128" s="209"/>
    </row>
    <row r="129" spans="1:35" s="1" customFormat="1" x14ac:dyDescent="0.2">
      <c r="A129" s="11" t="s">
        <v>5</v>
      </c>
      <c r="B129" s="12" t="s">
        <v>21</v>
      </c>
      <c r="C129" s="12" t="s">
        <v>37</v>
      </c>
      <c r="D129" s="12" t="s">
        <v>30</v>
      </c>
      <c r="E129" s="12">
        <v>6282759</v>
      </c>
      <c r="F129" s="13">
        <v>7780</v>
      </c>
      <c r="G129" s="195">
        <v>45485</v>
      </c>
      <c r="H129" s="15" t="s">
        <v>7</v>
      </c>
      <c r="I129" s="16" t="s">
        <v>16</v>
      </c>
      <c r="J129" s="16">
        <v>6283982</v>
      </c>
      <c r="K129" s="17">
        <v>7650</v>
      </c>
      <c r="L129" s="18">
        <v>45486</v>
      </c>
      <c r="M129" s="19"/>
      <c r="N129" s="20"/>
      <c r="O129" s="20"/>
      <c r="P129" s="20">
        <v>24</v>
      </c>
      <c r="Q129" s="21">
        <v>45486</v>
      </c>
      <c r="R129" s="20">
        <v>55</v>
      </c>
      <c r="S129" s="22">
        <v>7650</v>
      </c>
      <c r="T129" s="23">
        <v>275</v>
      </c>
      <c r="V129" s="37">
        <f t="shared" ref="V129:V173" si="51">IF(RIGHT(C129, 1)="1",
    IF(O129&lt;&gt;"", 500*O129 + T129 + IF(R129&lt;=110, R129, 0), IF(P129&lt;&gt;"", 305*P129 + T129 + IF(R129&lt;=110, R129, 0), "")),
    IF(O129&lt;&gt;"", 500*O129 + T129, IF(P129&lt;&gt;"", 305*P129 + T129, ""))
)</f>
        <v>7650</v>
      </c>
      <c r="W129" s="28">
        <f t="shared" ref="W129:W173" si="52">IF(OR(ISBLANK(V129), ISBLANK(S129), NOT(ISNUMBER(V129)), NOT(ISNUMBER(S129))), "", V129-S129)</f>
        <v>0</v>
      </c>
      <c r="X129" s="45">
        <f t="shared" ref="X129:X173" si="53">IF(OR(ISBLANK(V129), ISBLANK(K129), NOT(ISNUMBER(V129)), NOT(ISNUMBER(K129))), "", V129-K129)</f>
        <v>0</v>
      </c>
      <c r="Y129" s="199">
        <f t="shared" ref="Y129:Y173" si="54">IF(OR(ISBLANK(V129), ISBLANK(F129), NOT(ISNUMBER(V129)), NOT(ISNUMBER(F129))), "", V129-F129)</f>
        <v>-130</v>
      </c>
      <c r="Z129" s="38">
        <f t="shared" ref="Z129:Z173" si="55">IF(OR(ISBLANK(F129), ISBLANK(K129)), "",K129-F129)</f>
        <v>-130</v>
      </c>
      <c r="AA129" s="39">
        <f t="shared" ref="AA129:AA173" si="56">IF(OR(ISBLANK(K129), ISBLANK(S129)), "",S129-K129)</f>
        <v>0</v>
      </c>
      <c r="AB129" s="58">
        <f t="shared" ref="AB129:AB173" si="57">IF(OR(ISBLANK(F129), ISBLANK(S129)), "",S129-F129)</f>
        <v>-130</v>
      </c>
      <c r="AC129" s="50"/>
      <c r="AD129" s="50"/>
      <c r="AE129" s="50"/>
      <c r="AF129" s="50"/>
      <c r="AG129" s="50"/>
      <c r="AH129" s="50"/>
      <c r="AI129" s="50"/>
    </row>
    <row r="130" spans="1:35" s="1" customFormat="1" x14ac:dyDescent="0.2">
      <c r="A130" s="11" t="s">
        <v>28</v>
      </c>
      <c r="B130" s="12" t="s">
        <v>21</v>
      </c>
      <c r="C130" s="12" t="s">
        <v>52</v>
      </c>
      <c r="D130" s="12" t="s">
        <v>30</v>
      </c>
      <c r="E130" s="12">
        <v>6282895</v>
      </c>
      <c r="F130" s="13">
        <v>8100</v>
      </c>
      <c r="G130" s="195">
        <v>45485</v>
      </c>
      <c r="H130" s="15" t="s">
        <v>31</v>
      </c>
      <c r="I130" s="16" t="s">
        <v>27</v>
      </c>
      <c r="J130" s="16">
        <v>6283863</v>
      </c>
      <c r="K130" s="17">
        <v>8150</v>
      </c>
      <c r="L130" s="18">
        <v>45486</v>
      </c>
      <c r="M130" s="19" t="s">
        <v>44</v>
      </c>
      <c r="N130" s="20" t="s">
        <v>18</v>
      </c>
      <c r="O130" s="20"/>
      <c r="P130" s="20">
        <v>26</v>
      </c>
      <c r="Q130" s="21">
        <v>45486</v>
      </c>
      <c r="R130" s="20">
        <v>310</v>
      </c>
      <c r="S130" s="22">
        <v>8120</v>
      </c>
      <c r="T130" s="23">
        <v>120</v>
      </c>
      <c r="V130" s="37">
        <f t="shared" si="51"/>
        <v>8050</v>
      </c>
      <c r="W130" s="46">
        <f t="shared" si="52"/>
        <v>-70</v>
      </c>
      <c r="X130" s="26">
        <f t="shared" si="53"/>
        <v>-100</v>
      </c>
      <c r="Y130" s="25">
        <f t="shared" si="54"/>
        <v>-50</v>
      </c>
      <c r="Z130" s="38">
        <f t="shared" si="55"/>
        <v>50</v>
      </c>
      <c r="AA130" s="39">
        <f t="shared" si="56"/>
        <v>-30</v>
      </c>
      <c r="AB130" s="58">
        <f t="shared" si="57"/>
        <v>20</v>
      </c>
      <c r="AC130" s="50"/>
      <c r="AD130" s="50"/>
      <c r="AE130" s="50"/>
      <c r="AF130" s="50"/>
      <c r="AG130" s="50"/>
      <c r="AH130" s="50"/>
      <c r="AI130" s="50"/>
    </row>
    <row r="131" spans="1:35" s="1" customFormat="1" x14ac:dyDescent="0.2">
      <c r="A131" s="11" t="s">
        <v>5</v>
      </c>
      <c r="B131" s="12" t="s">
        <v>21</v>
      </c>
      <c r="C131" s="12" t="s">
        <v>53</v>
      </c>
      <c r="D131" s="12" t="s">
        <v>15</v>
      </c>
      <c r="E131" s="12">
        <v>6283163</v>
      </c>
      <c r="F131" s="13">
        <v>7780</v>
      </c>
      <c r="G131" s="195">
        <v>45485</v>
      </c>
      <c r="H131" s="15" t="s">
        <v>7</v>
      </c>
      <c r="I131" s="16" t="s">
        <v>16</v>
      </c>
      <c r="J131" s="16">
        <v>6284658</v>
      </c>
      <c r="K131" s="17">
        <v>7710</v>
      </c>
      <c r="L131" s="18">
        <v>45489</v>
      </c>
      <c r="M131" s="19" t="s">
        <v>17</v>
      </c>
      <c r="N131" s="20" t="s">
        <v>18</v>
      </c>
      <c r="O131" s="20"/>
      <c r="P131" s="20">
        <v>25</v>
      </c>
      <c r="Q131" s="21">
        <v>45489</v>
      </c>
      <c r="R131" s="20">
        <v>55</v>
      </c>
      <c r="S131" s="22">
        <v>7689</v>
      </c>
      <c r="T131" s="23">
        <v>9</v>
      </c>
      <c r="V131" s="37">
        <f t="shared" si="51"/>
        <v>7689</v>
      </c>
      <c r="W131" s="28">
        <f t="shared" si="52"/>
        <v>0</v>
      </c>
      <c r="X131" s="45">
        <f t="shared" si="53"/>
        <v>-21</v>
      </c>
      <c r="Y131" s="199">
        <f t="shared" si="54"/>
        <v>-91</v>
      </c>
      <c r="Z131" s="38">
        <f t="shared" si="55"/>
        <v>-70</v>
      </c>
      <c r="AA131" s="39">
        <f t="shared" si="56"/>
        <v>-21</v>
      </c>
      <c r="AB131" s="58">
        <f t="shared" si="57"/>
        <v>-91</v>
      </c>
      <c r="AC131" s="50"/>
      <c r="AD131" s="50"/>
      <c r="AE131" s="50"/>
      <c r="AF131" s="50"/>
      <c r="AG131" s="50"/>
      <c r="AH131" s="50"/>
      <c r="AI131" s="50"/>
    </row>
    <row r="132" spans="1:35" s="1" customFormat="1" x14ac:dyDescent="0.2">
      <c r="A132" s="11" t="s">
        <v>5</v>
      </c>
      <c r="B132" s="12" t="s">
        <v>21</v>
      </c>
      <c r="C132" s="12" t="s">
        <v>61</v>
      </c>
      <c r="D132" s="12" t="s">
        <v>62</v>
      </c>
      <c r="E132" s="12">
        <v>6285496</v>
      </c>
      <c r="F132" s="13">
        <v>7780</v>
      </c>
      <c r="G132" s="195">
        <v>45490</v>
      </c>
      <c r="H132" s="15" t="s">
        <v>31</v>
      </c>
      <c r="I132" s="16" t="s">
        <v>63</v>
      </c>
      <c r="J132" s="16">
        <v>6285597</v>
      </c>
      <c r="K132" s="17">
        <v>7747</v>
      </c>
      <c r="L132" s="18">
        <v>45490</v>
      </c>
      <c r="M132" s="19" t="s">
        <v>35</v>
      </c>
      <c r="N132" s="20"/>
      <c r="O132" s="20"/>
      <c r="P132" s="20">
        <v>25</v>
      </c>
      <c r="Q132" s="21">
        <v>45490</v>
      </c>
      <c r="R132" s="20">
        <v>55</v>
      </c>
      <c r="S132" s="22">
        <v>7780</v>
      </c>
      <c r="T132" s="23">
        <v>40</v>
      </c>
      <c r="V132" s="37">
        <f t="shared" si="51"/>
        <v>7720</v>
      </c>
      <c r="W132" s="24">
        <f t="shared" si="52"/>
        <v>-60</v>
      </c>
      <c r="X132" s="27">
        <f t="shared" si="53"/>
        <v>-27</v>
      </c>
      <c r="Y132" s="200">
        <f t="shared" si="54"/>
        <v>-60</v>
      </c>
      <c r="Z132" s="38">
        <f t="shared" si="55"/>
        <v>-33</v>
      </c>
      <c r="AA132" s="39">
        <f t="shared" si="56"/>
        <v>33</v>
      </c>
      <c r="AB132" s="58">
        <f t="shared" si="57"/>
        <v>0</v>
      </c>
      <c r="AC132" s="50"/>
      <c r="AD132" s="50"/>
      <c r="AE132" s="50"/>
      <c r="AF132" s="50"/>
      <c r="AG132" s="50"/>
      <c r="AH132" s="50"/>
      <c r="AI132" s="50"/>
    </row>
    <row r="133" spans="1:35" s="1" customFormat="1" x14ac:dyDescent="0.2">
      <c r="A133" s="11" t="s">
        <v>5</v>
      </c>
      <c r="B133" s="12" t="s">
        <v>21</v>
      </c>
      <c r="C133" s="12" t="s">
        <v>72</v>
      </c>
      <c r="D133" s="12" t="s">
        <v>67</v>
      </c>
      <c r="E133" s="12">
        <v>6286568</v>
      </c>
      <c r="F133" s="13">
        <v>7780</v>
      </c>
      <c r="G133" s="195">
        <v>45490</v>
      </c>
      <c r="H133" s="15" t="s">
        <v>7</v>
      </c>
      <c r="I133" s="16" t="s">
        <v>27</v>
      </c>
      <c r="J133" s="16">
        <v>6286728</v>
      </c>
      <c r="K133" s="17">
        <v>7730</v>
      </c>
      <c r="L133" s="18">
        <v>45491</v>
      </c>
      <c r="M133" s="19" t="s">
        <v>17</v>
      </c>
      <c r="N133" s="20"/>
      <c r="O133" s="20"/>
      <c r="P133" s="20">
        <v>25</v>
      </c>
      <c r="Q133" s="21">
        <v>45491</v>
      </c>
      <c r="R133" s="20">
        <v>55</v>
      </c>
      <c r="S133" s="22">
        <v>7820</v>
      </c>
      <c r="T133" s="23">
        <v>24</v>
      </c>
      <c r="V133" s="37">
        <f t="shared" si="51"/>
        <v>7704</v>
      </c>
      <c r="W133" s="24">
        <f t="shared" si="52"/>
        <v>-116</v>
      </c>
      <c r="X133" s="27">
        <f t="shared" si="53"/>
        <v>-26</v>
      </c>
      <c r="Y133" s="200">
        <f t="shared" si="54"/>
        <v>-76</v>
      </c>
      <c r="Z133" s="38">
        <f t="shared" si="55"/>
        <v>-50</v>
      </c>
      <c r="AA133" s="39">
        <f t="shared" si="56"/>
        <v>90</v>
      </c>
      <c r="AB133" s="58">
        <f t="shared" si="57"/>
        <v>40</v>
      </c>
      <c r="AC133" s="50"/>
      <c r="AD133" s="50"/>
      <c r="AE133" s="50"/>
      <c r="AF133" s="50"/>
      <c r="AG133" s="50"/>
      <c r="AH133" s="50"/>
      <c r="AI133" s="50"/>
    </row>
    <row r="134" spans="1:35" s="1" customFormat="1" x14ac:dyDescent="0.2">
      <c r="A134" s="11" t="s">
        <v>5</v>
      </c>
      <c r="B134" s="12" t="s">
        <v>21</v>
      </c>
      <c r="C134" s="12" t="s">
        <v>68</v>
      </c>
      <c r="D134" s="12" t="s">
        <v>62</v>
      </c>
      <c r="E134" s="12">
        <v>6286740</v>
      </c>
      <c r="F134" s="13">
        <v>7780</v>
      </c>
      <c r="G134" s="195">
        <v>45491</v>
      </c>
      <c r="H134" s="15" t="s">
        <v>7</v>
      </c>
      <c r="I134" s="16" t="s">
        <v>27</v>
      </c>
      <c r="J134" s="16">
        <v>6286860</v>
      </c>
      <c r="K134" s="17">
        <v>7730</v>
      </c>
      <c r="L134" s="18">
        <v>45491</v>
      </c>
      <c r="M134" s="19" t="s">
        <v>17</v>
      </c>
      <c r="N134" s="20"/>
      <c r="O134" s="20"/>
      <c r="P134" s="20">
        <v>25</v>
      </c>
      <c r="Q134" s="21">
        <v>45491</v>
      </c>
      <c r="R134" s="20">
        <v>55</v>
      </c>
      <c r="S134" s="22">
        <v>7747</v>
      </c>
      <c r="T134" s="23">
        <v>67</v>
      </c>
      <c r="V134" s="37">
        <f t="shared" si="51"/>
        <v>7692</v>
      </c>
      <c r="W134" s="46">
        <f t="shared" si="52"/>
        <v>-55</v>
      </c>
      <c r="X134" s="27">
        <f t="shared" si="53"/>
        <v>-38</v>
      </c>
      <c r="Y134" s="199">
        <f t="shared" si="54"/>
        <v>-88</v>
      </c>
      <c r="Z134" s="38">
        <f t="shared" si="55"/>
        <v>-50</v>
      </c>
      <c r="AA134" s="39">
        <f t="shared" si="56"/>
        <v>17</v>
      </c>
      <c r="AB134" s="58">
        <f t="shared" si="57"/>
        <v>-33</v>
      </c>
    </row>
    <row r="135" spans="1:35" s="1" customFormat="1" x14ac:dyDescent="0.2">
      <c r="A135" s="11" t="s">
        <v>5</v>
      </c>
      <c r="B135" s="12" t="s">
        <v>21</v>
      </c>
      <c r="C135" s="12" t="s">
        <v>84</v>
      </c>
      <c r="D135" s="12" t="s">
        <v>6</v>
      </c>
      <c r="E135" s="12">
        <v>6287259</v>
      </c>
      <c r="F135" s="13">
        <v>7780</v>
      </c>
      <c r="G135" s="195">
        <v>45491</v>
      </c>
      <c r="H135" s="15" t="s">
        <v>7</v>
      </c>
      <c r="I135" s="16" t="s">
        <v>40</v>
      </c>
      <c r="J135" s="16">
        <v>6287756</v>
      </c>
      <c r="K135" s="17">
        <v>7732</v>
      </c>
      <c r="L135" s="18">
        <v>45492</v>
      </c>
      <c r="M135" s="19" t="s">
        <v>35</v>
      </c>
      <c r="N135" s="20" t="s">
        <v>36</v>
      </c>
      <c r="O135" s="20"/>
      <c r="P135" s="20">
        <v>25</v>
      </c>
      <c r="Q135" s="21">
        <v>45492</v>
      </c>
      <c r="R135" s="20">
        <v>60</v>
      </c>
      <c r="S135" s="22">
        <v>7707</v>
      </c>
      <c r="T135" s="23">
        <v>24</v>
      </c>
      <c r="V135" s="37">
        <f t="shared" si="51"/>
        <v>7709</v>
      </c>
      <c r="W135" s="28">
        <f t="shared" si="52"/>
        <v>2</v>
      </c>
      <c r="X135" s="45">
        <f t="shared" si="53"/>
        <v>-23</v>
      </c>
      <c r="Y135" s="199">
        <f t="shared" si="54"/>
        <v>-71</v>
      </c>
      <c r="Z135" s="38">
        <f t="shared" si="55"/>
        <v>-48</v>
      </c>
      <c r="AA135" s="39">
        <f t="shared" si="56"/>
        <v>-25</v>
      </c>
      <c r="AB135" s="58">
        <f t="shared" si="57"/>
        <v>-73</v>
      </c>
    </row>
    <row r="136" spans="1:35" s="1" customFormat="1" x14ac:dyDescent="0.2">
      <c r="A136" s="11" t="s">
        <v>5</v>
      </c>
      <c r="B136" s="12" t="s">
        <v>21</v>
      </c>
      <c r="C136" s="12" t="s">
        <v>77</v>
      </c>
      <c r="D136" s="12" t="s">
        <v>62</v>
      </c>
      <c r="E136" s="12">
        <v>6286795</v>
      </c>
      <c r="F136" s="13">
        <v>7780</v>
      </c>
      <c r="G136" s="195">
        <v>45491</v>
      </c>
      <c r="H136" s="15" t="s">
        <v>7</v>
      </c>
      <c r="I136" s="16" t="s">
        <v>16</v>
      </c>
      <c r="J136" s="16">
        <v>6287160</v>
      </c>
      <c r="K136" s="17">
        <v>7730</v>
      </c>
      <c r="L136" s="18">
        <v>45491</v>
      </c>
      <c r="M136" s="19" t="s">
        <v>17</v>
      </c>
      <c r="N136" s="20" t="s">
        <v>51</v>
      </c>
      <c r="O136" s="20"/>
      <c r="P136" s="20">
        <v>25</v>
      </c>
      <c r="Q136" s="21">
        <v>45491</v>
      </c>
      <c r="R136" s="20">
        <v>110</v>
      </c>
      <c r="S136" s="22">
        <v>7750</v>
      </c>
      <c r="T136" s="23">
        <v>50</v>
      </c>
      <c r="V136" s="37">
        <f t="shared" si="51"/>
        <v>7785</v>
      </c>
      <c r="W136" s="46">
        <f t="shared" si="52"/>
        <v>35</v>
      </c>
      <c r="X136" s="26">
        <f t="shared" si="53"/>
        <v>55</v>
      </c>
      <c r="Y136" s="25">
        <f t="shared" si="54"/>
        <v>5</v>
      </c>
      <c r="Z136" s="38">
        <f t="shared" si="55"/>
        <v>-50</v>
      </c>
      <c r="AA136" s="39">
        <f t="shared" si="56"/>
        <v>20</v>
      </c>
      <c r="AB136" s="58">
        <f t="shared" si="57"/>
        <v>-30</v>
      </c>
    </row>
    <row r="137" spans="1:35" s="1" customFormat="1" x14ac:dyDescent="0.2">
      <c r="A137" s="11" t="s">
        <v>5</v>
      </c>
      <c r="B137" s="12" t="s">
        <v>21</v>
      </c>
      <c r="C137" s="12" t="s">
        <v>103</v>
      </c>
      <c r="D137" s="12" t="s">
        <v>62</v>
      </c>
      <c r="E137" s="12">
        <v>6288754</v>
      </c>
      <c r="F137" s="13">
        <v>7780</v>
      </c>
      <c r="G137" s="195">
        <v>45493</v>
      </c>
      <c r="H137" s="15" t="s">
        <v>7</v>
      </c>
      <c r="I137" s="16" t="s">
        <v>16</v>
      </c>
      <c r="J137" s="16">
        <v>6288972</v>
      </c>
      <c r="K137" s="17">
        <v>7720</v>
      </c>
      <c r="L137" s="18">
        <v>45493</v>
      </c>
      <c r="M137" s="19" t="s">
        <v>17</v>
      </c>
      <c r="N137" s="20" t="s">
        <v>18</v>
      </c>
      <c r="O137" s="20"/>
      <c r="P137" s="20">
        <v>25</v>
      </c>
      <c r="Q137" s="21">
        <v>45493</v>
      </c>
      <c r="R137" s="20">
        <v>55</v>
      </c>
      <c r="S137" s="22">
        <v>7746</v>
      </c>
      <c r="T137" s="23">
        <v>26</v>
      </c>
      <c r="V137" s="37">
        <f t="shared" si="51"/>
        <v>7706</v>
      </c>
      <c r="W137" s="46">
        <f t="shared" si="52"/>
        <v>-40</v>
      </c>
      <c r="X137" s="27">
        <f t="shared" si="53"/>
        <v>-14</v>
      </c>
      <c r="Y137" s="199">
        <f t="shared" si="54"/>
        <v>-74</v>
      </c>
      <c r="Z137" s="38">
        <f t="shared" si="55"/>
        <v>-60</v>
      </c>
      <c r="AA137" s="39">
        <f t="shared" si="56"/>
        <v>26</v>
      </c>
      <c r="AB137" s="58">
        <f t="shared" si="57"/>
        <v>-34</v>
      </c>
    </row>
    <row r="138" spans="1:35" s="1" customFormat="1" x14ac:dyDescent="0.2">
      <c r="A138" s="11" t="s">
        <v>5</v>
      </c>
      <c r="B138" s="12" t="s">
        <v>21</v>
      </c>
      <c r="C138" s="12" t="s">
        <v>104</v>
      </c>
      <c r="D138" s="12" t="s">
        <v>6</v>
      </c>
      <c r="E138" s="12">
        <v>6288378</v>
      </c>
      <c r="F138" s="13">
        <v>7700</v>
      </c>
      <c r="G138" s="195">
        <v>45492</v>
      </c>
      <c r="H138" s="15" t="s">
        <v>7</v>
      </c>
      <c r="I138" s="16" t="s">
        <v>66</v>
      </c>
      <c r="J138" s="16">
        <v>6289369</v>
      </c>
      <c r="K138" s="17">
        <v>7690</v>
      </c>
      <c r="L138" s="18">
        <v>45493</v>
      </c>
      <c r="M138" s="19" t="s">
        <v>17</v>
      </c>
      <c r="N138" s="20" t="s">
        <v>51</v>
      </c>
      <c r="O138" s="20"/>
      <c r="P138" s="20">
        <v>25</v>
      </c>
      <c r="Q138" s="21">
        <v>45494</v>
      </c>
      <c r="R138" s="20">
        <v>310</v>
      </c>
      <c r="S138" s="22">
        <v>7687</v>
      </c>
      <c r="T138" s="23">
        <v>57</v>
      </c>
      <c r="V138" s="37">
        <f t="shared" si="51"/>
        <v>7682</v>
      </c>
      <c r="W138" s="28">
        <f t="shared" si="52"/>
        <v>-5</v>
      </c>
      <c r="X138" s="45">
        <f t="shared" si="53"/>
        <v>-8</v>
      </c>
      <c r="Y138" s="199">
        <f t="shared" si="54"/>
        <v>-18</v>
      </c>
      <c r="Z138" s="38">
        <f t="shared" si="55"/>
        <v>-10</v>
      </c>
      <c r="AA138" s="39">
        <f t="shared" si="56"/>
        <v>-3</v>
      </c>
      <c r="AB138" s="58">
        <f t="shared" si="57"/>
        <v>-13</v>
      </c>
    </row>
    <row r="139" spans="1:35" s="1" customFormat="1" x14ac:dyDescent="0.2">
      <c r="A139" s="11" t="s">
        <v>5</v>
      </c>
      <c r="B139" s="12" t="s">
        <v>21</v>
      </c>
      <c r="C139" s="12" t="s">
        <v>114</v>
      </c>
      <c r="D139" s="12" t="s">
        <v>62</v>
      </c>
      <c r="E139" s="12">
        <v>6288932</v>
      </c>
      <c r="F139" s="13">
        <v>7780</v>
      </c>
      <c r="G139" s="195">
        <v>45493</v>
      </c>
      <c r="H139" s="15" t="s">
        <v>7</v>
      </c>
      <c r="I139" s="16" t="s">
        <v>8</v>
      </c>
      <c r="J139" s="16">
        <v>6289766</v>
      </c>
      <c r="K139" s="17">
        <v>7770</v>
      </c>
      <c r="L139" s="18">
        <v>45495</v>
      </c>
      <c r="M139" s="19" t="s">
        <v>44</v>
      </c>
      <c r="N139" s="20" t="s">
        <v>115</v>
      </c>
      <c r="O139" s="20"/>
      <c r="P139" s="20">
        <v>25</v>
      </c>
      <c r="Q139" s="21">
        <v>45495</v>
      </c>
      <c r="R139" s="20">
        <v>310</v>
      </c>
      <c r="S139" s="22">
        <v>7780</v>
      </c>
      <c r="T139" s="23">
        <v>140</v>
      </c>
      <c r="V139" s="37">
        <f t="shared" si="51"/>
        <v>7765</v>
      </c>
      <c r="W139" s="24">
        <f t="shared" si="52"/>
        <v>-15</v>
      </c>
      <c r="X139" s="27">
        <f t="shared" si="53"/>
        <v>-5</v>
      </c>
      <c r="Y139" s="200">
        <f t="shared" si="54"/>
        <v>-15</v>
      </c>
      <c r="Z139" s="38">
        <f t="shared" si="55"/>
        <v>-10</v>
      </c>
      <c r="AA139" s="39">
        <f t="shared" si="56"/>
        <v>10</v>
      </c>
      <c r="AB139" s="58">
        <f t="shared" si="57"/>
        <v>0</v>
      </c>
    </row>
    <row r="140" spans="1:35" s="1" customFormat="1" x14ac:dyDescent="0.2">
      <c r="A140" s="11" t="s">
        <v>5</v>
      </c>
      <c r="B140" s="12" t="s">
        <v>21</v>
      </c>
      <c r="C140" s="12" t="s">
        <v>196</v>
      </c>
      <c r="D140" s="12" t="s">
        <v>6</v>
      </c>
      <c r="E140" s="12">
        <v>6289583</v>
      </c>
      <c r="F140" s="13">
        <v>7780</v>
      </c>
      <c r="G140" s="195">
        <v>45492</v>
      </c>
      <c r="H140" s="15" t="s">
        <v>7</v>
      </c>
      <c r="I140" s="16" t="s">
        <v>66</v>
      </c>
      <c r="J140" s="16">
        <v>6288652</v>
      </c>
      <c r="K140" s="17">
        <v>7750</v>
      </c>
      <c r="L140" s="18">
        <v>45492</v>
      </c>
      <c r="M140" s="19"/>
      <c r="N140" s="20" t="s">
        <v>25</v>
      </c>
      <c r="O140" s="20"/>
      <c r="P140" s="20">
        <v>25</v>
      </c>
      <c r="Q140" s="21">
        <v>45493</v>
      </c>
      <c r="R140" s="20">
        <v>55</v>
      </c>
      <c r="S140" s="22">
        <v>7708</v>
      </c>
      <c r="T140" s="23">
        <v>27</v>
      </c>
      <c r="V140" s="37">
        <f t="shared" si="51"/>
        <v>7707</v>
      </c>
      <c r="W140" s="28">
        <f t="shared" si="52"/>
        <v>-1</v>
      </c>
      <c r="X140" s="45">
        <f t="shared" si="53"/>
        <v>-43</v>
      </c>
      <c r="Y140" s="199">
        <f t="shared" si="54"/>
        <v>-73</v>
      </c>
      <c r="Z140" s="38">
        <f t="shared" si="55"/>
        <v>-30</v>
      </c>
      <c r="AA140" s="39">
        <f t="shared" si="56"/>
        <v>-42</v>
      </c>
      <c r="AB140" s="58">
        <f t="shared" si="57"/>
        <v>-72</v>
      </c>
    </row>
    <row r="141" spans="1:35" s="1" customFormat="1" x14ac:dyDescent="0.2">
      <c r="A141" s="11" t="s">
        <v>5</v>
      </c>
      <c r="B141" s="12" t="s">
        <v>21</v>
      </c>
      <c r="C141" s="12" t="s">
        <v>126</v>
      </c>
      <c r="D141" s="12" t="s">
        <v>127</v>
      </c>
      <c r="E141" s="12">
        <v>6289013</v>
      </c>
      <c r="F141" s="13">
        <v>7780</v>
      </c>
      <c r="G141" s="195">
        <v>45493</v>
      </c>
      <c r="H141" s="15" t="s">
        <v>7</v>
      </c>
      <c r="I141" s="16" t="s">
        <v>121</v>
      </c>
      <c r="J141" s="16">
        <v>6290124</v>
      </c>
      <c r="K141" s="17">
        <v>7720</v>
      </c>
      <c r="L141" s="18">
        <v>45495</v>
      </c>
      <c r="M141" s="19" t="s">
        <v>44</v>
      </c>
      <c r="N141" s="20" t="s">
        <v>25</v>
      </c>
      <c r="O141" s="20"/>
      <c r="P141" s="20">
        <v>25</v>
      </c>
      <c r="Q141" s="21">
        <v>45495</v>
      </c>
      <c r="R141" s="20">
        <v>55</v>
      </c>
      <c r="S141" s="22">
        <v>7722</v>
      </c>
      <c r="T141" s="23">
        <v>42</v>
      </c>
      <c r="V141" s="37">
        <f t="shared" si="51"/>
        <v>7722</v>
      </c>
      <c r="W141" s="28">
        <f t="shared" si="52"/>
        <v>0</v>
      </c>
      <c r="X141" s="45">
        <f t="shared" si="53"/>
        <v>2</v>
      </c>
      <c r="Y141" s="199">
        <f t="shared" si="54"/>
        <v>-58</v>
      </c>
      <c r="Z141" s="38">
        <f t="shared" si="55"/>
        <v>-60</v>
      </c>
      <c r="AA141" s="39">
        <f t="shared" si="56"/>
        <v>2</v>
      </c>
      <c r="AB141" s="58">
        <f t="shared" si="57"/>
        <v>-58</v>
      </c>
    </row>
    <row r="142" spans="1:35" s="1" customFormat="1" x14ac:dyDescent="0.2">
      <c r="A142" s="11" t="s">
        <v>5</v>
      </c>
      <c r="B142" s="12" t="s">
        <v>21</v>
      </c>
      <c r="C142" s="12" t="s">
        <v>168</v>
      </c>
      <c r="D142" s="12" t="s">
        <v>62</v>
      </c>
      <c r="E142" s="12">
        <v>6288798</v>
      </c>
      <c r="F142" s="13">
        <v>7780</v>
      </c>
      <c r="G142" s="195">
        <v>45493</v>
      </c>
      <c r="H142" s="15" t="s">
        <v>163</v>
      </c>
      <c r="I142" s="16" t="s">
        <v>8</v>
      </c>
      <c r="J142" s="16">
        <v>6292190</v>
      </c>
      <c r="K142" s="17">
        <v>7738</v>
      </c>
      <c r="L142" s="18">
        <v>45497</v>
      </c>
      <c r="M142" s="19" t="s">
        <v>39</v>
      </c>
      <c r="N142" s="20" t="s">
        <v>41</v>
      </c>
      <c r="O142" s="20">
        <v>15</v>
      </c>
      <c r="P142" s="20"/>
      <c r="Q142" s="21">
        <v>45497</v>
      </c>
      <c r="R142" s="20">
        <v>505</v>
      </c>
      <c r="S142" s="22">
        <v>7735</v>
      </c>
      <c r="T142" s="23">
        <v>185</v>
      </c>
      <c r="V142" s="37">
        <f t="shared" si="51"/>
        <v>7685</v>
      </c>
      <c r="W142" s="28">
        <f t="shared" si="52"/>
        <v>-50</v>
      </c>
      <c r="X142" s="45">
        <f t="shared" si="53"/>
        <v>-53</v>
      </c>
      <c r="Y142" s="199">
        <f t="shared" si="54"/>
        <v>-95</v>
      </c>
      <c r="Z142" s="38">
        <f t="shared" si="55"/>
        <v>-42</v>
      </c>
      <c r="AA142" s="39">
        <f t="shared" si="56"/>
        <v>-3</v>
      </c>
      <c r="AB142" s="58">
        <f t="shared" si="57"/>
        <v>-45</v>
      </c>
    </row>
    <row r="143" spans="1:35" s="1" customFormat="1" x14ac:dyDescent="0.2">
      <c r="A143" s="11" t="s">
        <v>5</v>
      </c>
      <c r="B143" s="12" t="s">
        <v>21</v>
      </c>
      <c r="C143" s="12" t="s">
        <v>189</v>
      </c>
      <c r="D143" s="12" t="s">
        <v>6</v>
      </c>
      <c r="E143" s="12">
        <v>6295335</v>
      </c>
      <c r="F143" s="13">
        <v>7680</v>
      </c>
      <c r="G143" s="188">
        <v>45500</v>
      </c>
      <c r="H143" s="15" t="s">
        <v>7</v>
      </c>
      <c r="I143" s="16" t="s">
        <v>8</v>
      </c>
      <c r="J143" s="16">
        <v>6295609</v>
      </c>
      <c r="K143" s="17">
        <v>7670</v>
      </c>
      <c r="L143" s="18">
        <v>45500</v>
      </c>
      <c r="M143" s="19" t="s">
        <v>35</v>
      </c>
      <c r="N143" s="20" t="s">
        <v>115</v>
      </c>
      <c r="O143" s="20">
        <v>15</v>
      </c>
      <c r="P143" s="20"/>
      <c r="Q143" s="21">
        <v>45500</v>
      </c>
      <c r="R143" s="20">
        <v>500</v>
      </c>
      <c r="S143" s="22">
        <v>7650</v>
      </c>
      <c r="T143" s="23">
        <v>160</v>
      </c>
      <c r="V143" s="37">
        <f t="shared" si="51"/>
        <v>7660</v>
      </c>
      <c r="W143" s="28">
        <f t="shared" si="52"/>
        <v>10</v>
      </c>
      <c r="X143" s="45">
        <f t="shared" si="53"/>
        <v>-10</v>
      </c>
      <c r="Y143" s="199">
        <f t="shared" si="54"/>
        <v>-20</v>
      </c>
      <c r="Z143" s="38">
        <f t="shared" si="55"/>
        <v>-10</v>
      </c>
      <c r="AA143" s="39">
        <f t="shared" si="56"/>
        <v>-20</v>
      </c>
      <c r="AB143" s="58">
        <f t="shared" si="57"/>
        <v>-30</v>
      </c>
    </row>
    <row r="144" spans="1:35" s="1" customFormat="1" x14ac:dyDescent="0.2">
      <c r="A144" s="11" t="s">
        <v>5</v>
      </c>
      <c r="B144" s="12" t="s">
        <v>21</v>
      </c>
      <c r="C144" s="12" t="s">
        <v>190</v>
      </c>
      <c r="D144" s="12" t="s">
        <v>6</v>
      </c>
      <c r="E144" s="12">
        <v>6295568</v>
      </c>
      <c r="F144" s="13">
        <v>7720</v>
      </c>
      <c r="G144" s="188">
        <v>45500</v>
      </c>
      <c r="H144" s="15" t="s">
        <v>7</v>
      </c>
      <c r="I144" s="16" t="s">
        <v>27</v>
      </c>
      <c r="J144" s="16">
        <v>6296018</v>
      </c>
      <c r="K144" s="17">
        <v>7600</v>
      </c>
      <c r="L144" s="18">
        <v>45500</v>
      </c>
      <c r="M144" s="19" t="s">
        <v>35</v>
      </c>
      <c r="N144" s="20" t="s">
        <v>36</v>
      </c>
      <c r="O144" s="20">
        <v>15</v>
      </c>
      <c r="P144" s="20"/>
      <c r="Q144" s="21">
        <v>45500</v>
      </c>
      <c r="R144" s="20">
        <v>500</v>
      </c>
      <c r="S144" s="22">
        <v>7683</v>
      </c>
      <c r="T144" s="23">
        <v>206</v>
      </c>
      <c r="V144" s="37">
        <f t="shared" si="51"/>
        <v>7706</v>
      </c>
      <c r="W144" s="46">
        <f t="shared" si="52"/>
        <v>23</v>
      </c>
      <c r="X144" s="26">
        <f t="shared" si="53"/>
        <v>106</v>
      </c>
      <c r="Y144" s="25">
        <f t="shared" si="54"/>
        <v>-14</v>
      </c>
      <c r="Z144" s="38">
        <f t="shared" si="55"/>
        <v>-120</v>
      </c>
      <c r="AA144" s="39">
        <f t="shared" si="56"/>
        <v>83</v>
      </c>
      <c r="AB144" s="58">
        <f t="shared" si="57"/>
        <v>-37</v>
      </c>
    </row>
    <row r="145" spans="1:28" s="1" customFormat="1" x14ac:dyDescent="0.2">
      <c r="A145" s="11" t="s">
        <v>5</v>
      </c>
      <c r="B145" s="12" t="s">
        <v>21</v>
      </c>
      <c r="C145" s="12" t="s">
        <v>191</v>
      </c>
      <c r="D145" s="12" t="s">
        <v>62</v>
      </c>
      <c r="E145" s="12">
        <v>6295190</v>
      </c>
      <c r="F145" s="13">
        <v>7700</v>
      </c>
      <c r="G145" s="188">
        <v>45499</v>
      </c>
      <c r="H145" s="15" t="s">
        <v>7</v>
      </c>
      <c r="I145" s="16" t="s">
        <v>16</v>
      </c>
      <c r="J145" s="16">
        <v>6295374</v>
      </c>
      <c r="K145" s="17">
        <v>7690</v>
      </c>
      <c r="L145" s="18">
        <v>45500</v>
      </c>
      <c r="M145" s="19" t="s">
        <v>39</v>
      </c>
      <c r="N145" s="20" t="s">
        <v>18</v>
      </c>
      <c r="O145" s="20">
        <v>15</v>
      </c>
      <c r="P145" s="20"/>
      <c r="Q145" s="21">
        <v>45500</v>
      </c>
      <c r="R145" s="20">
        <v>500</v>
      </c>
      <c r="S145" s="22">
        <v>7705</v>
      </c>
      <c r="T145" s="23">
        <v>198</v>
      </c>
      <c r="V145" s="37">
        <f t="shared" si="51"/>
        <v>7698</v>
      </c>
      <c r="W145" s="46">
        <f t="shared" si="52"/>
        <v>-7</v>
      </c>
      <c r="X145" s="26">
        <f t="shared" si="53"/>
        <v>8</v>
      </c>
      <c r="Y145" s="25">
        <f t="shared" si="54"/>
        <v>-2</v>
      </c>
      <c r="Z145" s="38">
        <f t="shared" si="55"/>
        <v>-10</v>
      </c>
      <c r="AA145" s="39">
        <f t="shared" si="56"/>
        <v>15</v>
      </c>
      <c r="AB145" s="58">
        <f t="shared" si="57"/>
        <v>5</v>
      </c>
    </row>
    <row r="146" spans="1:28" s="1" customFormat="1" x14ac:dyDescent="0.2">
      <c r="A146" s="11" t="s">
        <v>5</v>
      </c>
      <c r="B146" s="12" t="s">
        <v>21</v>
      </c>
      <c r="C146" s="12" t="s">
        <v>199</v>
      </c>
      <c r="D146" s="12" t="s">
        <v>127</v>
      </c>
      <c r="E146" s="12">
        <v>6297431</v>
      </c>
      <c r="F146" s="13">
        <v>7780</v>
      </c>
      <c r="G146" s="188">
        <v>45502</v>
      </c>
      <c r="H146" s="15" t="s">
        <v>7</v>
      </c>
      <c r="I146" s="16" t="s">
        <v>66</v>
      </c>
      <c r="J146" s="16">
        <v>6297686</v>
      </c>
      <c r="K146" s="17">
        <v>7750</v>
      </c>
      <c r="L146" s="18">
        <v>45503</v>
      </c>
      <c r="M146" s="19" t="s">
        <v>35</v>
      </c>
      <c r="N146" s="20" t="s">
        <v>79</v>
      </c>
      <c r="O146" s="20">
        <v>15</v>
      </c>
      <c r="P146" s="20"/>
      <c r="Q146" s="21">
        <v>45503</v>
      </c>
      <c r="R146" s="20">
        <v>55</v>
      </c>
      <c r="S146" s="22">
        <v>7700</v>
      </c>
      <c r="T146" s="23">
        <v>80</v>
      </c>
      <c r="V146" s="37">
        <f t="shared" si="51"/>
        <v>7635</v>
      </c>
      <c r="W146" s="28">
        <f t="shared" si="52"/>
        <v>-65</v>
      </c>
      <c r="X146" s="45">
        <f t="shared" si="53"/>
        <v>-115</v>
      </c>
      <c r="Y146" s="199">
        <f t="shared" si="54"/>
        <v>-145</v>
      </c>
      <c r="Z146" s="38">
        <f t="shared" si="55"/>
        <v>-30</v>
      </c>
      <c r="AA146" s="39">
        <f t="shared" si="56"/>
        <v>-50</v>
      </c>
      <c r="AB146" s="58">
        <f t="shared" si="57"/>
        <v>-80</v>
      </c>
    </row>
    <row r="147" spans="1:28" s="1" customFormat="1" x14ac:dyDescent="0.2">
      <c r="A147" s="11" t="s">
        <v>5</v>
      </c>
      <c r="B147" s="12" t="s">
        <v>21</v>
      </c>
      <c r="C147" s="12" t="s">
        <v>200</v>
      </c>
      <c r="D147" s="12" t="s">
        <v>15</v>
      </c>
      <c r="E147" s="12">
        <v>6297769</v>
      </c>
      <c r="F147" s="13">
        <v>7780</v>
      </c>
      <c r="G147" s="188">
        <v>45503</v>
      </c>
      <c r="H147" s="15" t="s">
        <v>7</v>
      </c>
      <c r="I147" s="16" t="s">
        <v>63</v>
      </c>
      <c r="J147" s="16">
        <v>6298481</v>
      </c>
      <c r="K147" s="17">
        <v>7718</v>
      </c>
      <c r="L147" s="18">
        <v>45503</v>
      </c>
      <c r="M147" s="19" t="s">
        <v>39</v>
      </c>
      <c r="N147" s="20" t="s">
        <v>25</v>
      </c>
      <c r="O147" s="20">
        <v>15</v>
      </c>
      <c r="P147" s="20"/>
      <c r="Q147" s="21">
        <v>45503</v>
      </c>
      <c r="R147" s="20">
        <v>55</v>
      </c>
      <c r="S147" s="22">
        <v>7724</v>
      </c>
      <c r="T147" s="23">
        <v>150</v>
      </c>
      <c r="V147" s="37">
        <f t="shared" si="51"/>
        <v>7705</v>
      </c>
      <c r="W147" s="46">
        <f t="shared" si="52"/>
        <v>-19</v>
      </c>
      <c r="X147" s="27">
        <f t="shared" si="53"/>
        <v>-13</v>
      </c>
      <c r="Y147" s="199">
        <f t="shared" si="54"/>
        <v>-75</v>
      </c>
      <c r="Z147" s="38">
        <f t="shared" si="55"/>
        <v>-62</v>
      </c>
      <c r="AA147" s="39">
        <f t="shared" si="56"/>
        <v>6</v>
      </c>
      <c r="AB147" s="58">
        <f t="shared" si="57"/>
        <v>-56</v>
      </c>
    </row>
    <row r="148" spans="1:28" s="1" customFormat="1" x14ac:dyDescent="0.2">
      <c r="A148" s="11" t="s">
        <v>5</v>
      </c>
      <c r="B148" s="12" t="s">
        <v>21</v>
      </c>
      <c r="C148" s="12" t="s">
        <v>201</v>
      </c>
      <c r="D148" s="12" t="s">
        <v>127</v>
      </c>
      <c r="E148" s="12">
        <v>6297431</v>
      </c>
      <c r="F148" s="13">
        <v>7780</v>
      </c>
      <c r="G148" s="188">
        <v>45502</v>
      </c>
      <c r="H148" s="15" t="s">
        <v>7</v>
      </c>
      <c r="I148" s="16" t="s">
        <v>66</v>
      </c>
      <c r="J148" s="16">
        <v>6297686</v>
      </c>
      <c r="K148" s="17">
        <v>7750</v>
      </c>
      <c r="L148" s="18">
        <v>45503</v>
      </c>
      <c r="M148" s="19" t="s">
        <v>35</v>
      </c>
      <c r="N148" s="20" t="s">
        <v>79</v>
      </c>
      <c r="O148" s="20">
        <v>15</v>
      </c>
      <c r="P148" s="20"/>
      <c r="Q148" s="21">
        <v>45503</v>
      </c>
      <c r="R148" s="20">
        <v>55</v>
      </c>
      <c r="S148" s="22">
        <v>7700</v>
      </c>
      <c r="T148" s="23">
        <v>154</v>
      </c>
      <c r="V148" s="37">
        <f t="shared" si="51"/>
        <v>7709</v>
      </c>
      <c r="W148" s="28">
        <f t="shared" si="52"/>
        <v>9</v>
      </c>
      <c r="X148" s="45">
        <f t="shared" si="53"/>
        <v>-41</v>
      </c>
      <c r="Y148" s="199">
        <f t="shared" si="54"/>
        <v>-71</v>
      </c>
      <c r="Z148" s="38">
        <f t="shared" si="55"/>
        <v>-30</v>
      </c>
      <c r="AA148" s="39">
        <f t="shared" si="56"/>
        <v>-50</v>
      </c>
      <c r="AB148" s="58">
        <f t="shared" si="57"/>
        <v>-80</v>
      </c>
    </row>
    <row r="149" spans="1:28" s="1" customFormat="1" x14ac:dyDescent="0.2">
      <c r="A149" s="11" t="s">
        <v>5</v>
      </c>
      <c r="B149" s="12" t="s">
        <v>21</v>
      </c>
      <c r="C149" s="12" t="s">
        <v>202</v>
      </c>
      <c r="D149" s="12" t="s">
        <v>62</v>
      </c>
      <c r="E149" s="12">
        <v>6298216</v>
      </c>
      <c r="F149" s="13">
        <v>7780</v>
      </c>
      <c r="G149" s="188">
        <v>45503</v>
      </c>
      <c r="H149" s="15" t="s">
        <v>7</v>
      </c>
      <c r="I149" s="16" t="s">
        <v>32</v>
      </c>
      <c r="J149" s="16">
        <v>6298991</v>
      </c>
      <c r="K149" s="17">
        <v>7720</v>
      </c>
      <c r="L149" s="18">
        <v>45503</v>
      </c>
      <c r="M149" s="19" t="s">
        <v>35</v>
      </c>
      <c r="N149" s="20" t="s">
        <v>74</v>
      </c>
      <c r="O149" s="20">
        <v>15</v>
      </c>
      <c r="P149" s="20"/>
      <c r="Q149" s="21">
        <v>45503</v>
      </c>
      <c r="R149" s="20">
        <v>55</v>
      </c>
      <c r="S149" s="22">
        <v>7655</v>
      </c>
      <c r="T149" s="23">
        <v>160</v>
      </c>
      <c r="V149" s="37">
        <f t="shared" si="51"/>
        <v>7715</v>
      </c>
      <c r="W149" s="46">
        <f t="shared" si="52"/>
        <v>60</v>
      </c>
      <c r="X149" s="27">
        <f t="shared" si="53"/>
        <v>-5</v>
      </c>
      <c r="Y149" s="199">
        <f t="shared" si="54"/>
        <v>-65</v>
      </c>
      <c r="Z149" s="38">
        <f t="shared" si="55"/>
        <v>-60</v>
      </c>
      <c r="AA149" s="39">
        <f t="shared" si="56"/>
        <v>-65</v>
      </c>
      <c r="AB149" s="58">
        <f t="shared" si="57"/>
        <v>-125</v>
      </c>
    </row>
    <row r="150" spans="1:28" s="1" customFormat="1" x14ac:dyDescent="0.2">
      <c r="A150" s="11" t="s">
        <v>5</v>
      </c>
      <c r="B150" s="12" t="s">
        <v>21</v>
      </c>
      <c r="C150" s="12" t="s">
        <v>210</v>
      </c>
      <c r="D150" s="12" t="s">
        <v>15</v>
      </c>
      <c r="E150" s="12">
        <v>6297845</v>
      </c>
      <c r="F150" s="13">
        <v>7780</v>
      </c>
      <c r="G150" s="188">
        <v>45503</v>
      </c>
      <c r="H150" s="15" t="s">
        <v>7</v>
      </c>
      <c r="I150" s="16" t="s">
        <v>66</v>
      </c>
      <c r="J150" s="16">
        <v>6299910</v>
      </c>
      <c r="K150" s="17">
        <v>7670</v>
      </c>
      <c r="L150" s="18">
        <v>45504</v>
      </c>
      <c r="M150" s="19" t="s">
        <v>39</v>
      </c>
      <c r="N150" s="20" t="s">
        <v>25</v>
      </c>
      <c r="O150" s="20">
        <v>15</v>
      </c>
      <c r="P150" s="20"/>
      <c r="Q150" s="21">
        <v>45504</v>
      </c>
      <c r="R150" s="20">
        <v>500</v>
      </c>
      <c r="S150" s="22">
        <v>7680</v>
      </c>
      <c r="T150" s="23">
        <v>235</v>
      </c>
      <c r="V150" s="37">
        <f t="shared" si="51"/>
        <v>7735</v>
      </c>
      <c r="W150" s="46">
        <f t="shared" si="52"/>
        <v>55</v>
      </c>
      <c r="X150" s="26">
        <f t="shared" si="53"/>
        <v>65</v>
      </c>
      <c r="Y150" s="25">
        <f t="shared" si="54"/>
        <v>-45</v>
      </c>
      <c r="Z150" s="38">
        <f t="shared" si="55"/>
        <v>-110</v>
      </c>
      <c r="AA150" s="39">
        <f t="shared" si="56"/>
        <v>10</v>
      </c>
      <c r="AB150" s="58">
        <f t="shared" si="57"/>
        <v>-100</v>
      </c>
    </row>
    <row r="151" spans="1:28" s="1" customFormat="1" x14ac:dyDescent="0.2">
      <c r="A151" s="11" t="s">
        <v>5</v>
      </c>
      <c r="B151" s="12" t="s">
        <v>21</v>
      </c>
      <c r="C151" s="12" t="s">
        <v>211</v>
      </c>
      <c r="D151" s="12" t="s">
        <v>62</v>
      </c>
      <c r="E151" s="12">
        <v>6298520</v>
      </c>
      <c r="F151" s="13">
        <v>7840</v>
      </c>
      <c r="G151" s="188">
        <v>45503</v>
      </c>
      <c r="H151" s="15" t="s">
        <v>7</v>
      </c>
      <c r="I151" s="16" t="s">
        <v>32</v>
      </c>
      <c r="J151" s="16">
        <v>6299264</v>
      </c>
      <c r="K151" s="17">
        <v>7750</v>
      </c>
      <c r="L151" s="18">
        <v>45503</v>
      </c>
      <c r="M151" s="19" t="s">
        <v>39</v>
      </c>
      <c r="N151" s="20" t="s">
        <v>18</v>
      </c>
      <c r="O151" s="20">
        <v>15</v>
      </c>
      <c r="P151" s="20"/>
      <c r="Q151" s="21">
        <v>45503</v>
      </c>
      <c r="R151" s="20">
        <v>500</v>
      </c>
      <c r="S151" s="22">
        <v>7781</v>
      </c>
      <c r="T151" s="23">
        <v>304</v>
      </c>
      <c r="V151" s="37">
        <f t="shared" si="51"/>
        <v>7804</v>
      </c>
      <c r="W151" s="28">
        <f t="shared" si="52"/>
        <v>23</v>
      </c>
      <c r="X151" s="26">
        <f t="shared" si="53"/>
        <v>54</v>
      </c>
      <c r="Y151" s="200">
        <f t="shared" si="54"/>
        <v>-36</v>
      </c>
      <c r="Z151" s="38">
        <f t="shared" si="55"/>
        <v>-90</v>
      </c>
      <c r="AA151" s="39">
        <f t="shared" si="56"/>
        <v>31</v>
      </c>
      <c r="AB151" s="58">
        <f t="shared" si="57"/>
        <v>-59</v>
      </c>
    </row>
    <row r="152" spans="1:28" s="1" customFormat="1" x14ac:dyDescent="0.2">
      <c r="A152" s="11" t="s">
        <v>5</v>
      </c>
      <c r="B152" s="12" t="s">
        <v>21</v>
      </c>
      <c r="C152" s="12" t="s">
        <v>212</v>
      </c>
      <c r="D152" s="12" t="s">
        <v>30</v>
      </c>
      <c r="E152" s="12">
        <v>6298893</v>
      </c>
      <c r="F152" s="13">
        <v>7850</v>
      </c>
      <c r="G152" s="188">
        <v>45503</v>
      </c>
      <c r="H152" s="15" t="s">
        <v>7</v>
      </c>
      <c r="I152" s="16" t="s">
        <v>66</v>
      </c>
      <c r="J152" s="16">
        <v>6299168</v>
      </c>
      <c r="K152" s="17">
        <v>7750</v>
      </c>
      <c r="L152" s="18">
        <v>45504</v>
      </c>
      <c r="M152" s="19" t="s">
        <v>39</v>
      </c>
      <c r="N152" s="20" t="s">
        <v>51</v>
      </c>
      <c r="O152" s="20">
        <v>15</v>
      </c>
      <c r="P152" s="20"/>
      <c r="Q152" s="21">
        <v>45504</v>
      </c>
      <c r="R152" s="20">
        <v>500</v>
      </c>
      <c r="S152" s="22">
        <v>7768</v>
      </c>
      <c r="T152" s="23">
        <v>306</v>
      </c>
      <c r="V152" s="37">
        <f t="shared" si="51"/>
        <v>7806</v>
      </c>
      <c r="W152" s="28">
        <f t="shared" si="52"/>
        <v>38</v>
      </c>
      <c r="X152" s="26">
        <f t="shared" si="53"/>
        <v>56</v>
      </c>
      <c r="Y152" s="200">
        <f t="shared" si="54"/>
        <v>-44</v>
      </c>
      <c r="Z152" s="38">
        <f t="shared" si="55"/>
        <v>-100</v>
      </c>
      <c r="AA152" s="39">
        <f t="shared" si="56"/>
        <v>18</v>
      </c>
      <c r="AB152" s="58">
        <f t="shared" si="57"/>
        <v>-82</v>
      </c>
    </row>
    <row r="153" spans="1:28" s="1" customFormat="1" x14ac:dyDescent="0.2">
      <c r="A153" s="11" t="s">
        <v>5</v>
      </c>
      <c r="B153" s="12" t="s">
        <v>21</v>
      </c>
      <c r="C153" s="12" t="s">
        <v>213</v>
      </c>
      <c r="D153" s="12" t="s">
        <v>30</v>
      </c>
      <c r="E153" s="12">
        <v>6298704</v>
      </c>
      <c r="F153" s="13">
        <v>7780</v>
      </c>
      <c r="G153" s="188">
        <v>45503</v>
      </c>
      <c r="H153" s="15" t="s">
        <v>7</v>
      </c>
      <c r="I153" s="16" t="s">
        <v>32</v>
      </c>
      <c r="J153" s="16">
        <v>6299082</v>
      </c>
      <c r="K153" s="17">
        <v>7720</v>
      </c>
      <c r="L153" s="18">
        <v>45503</v>
      </c>
      <c r="M153" s="19" t="s">
        <v>39</v>
      </c>
      <c r="N153" s="20" t="s">
        <v>18</v>
      </c>
      <c r="O153" s="20">
        <v>15</v>
      </c>
      <c r="P153" s="20"/>
      <c r="Q153" s="21">
        <v>45503</v>
      </c>
      <c r="R153" s="20">
        <v>55</v>
      </c>
      <c r="S153" s="22">
        <v>7735</v>
      </c>
      <c r="T153" s="23">
        <v>120</v>
      </c>
      <c r="V153" s="37">
        <f t="shared" si="51"/>
        <v>7675</v>
      </c>
      <c r="W153" s="46">
        <f t="shared" si="52"/>
        <v>-60</v>
      </c>
      <c r="X153" s="27">
        <f t="shared" si="53"/>
        <v>-45</v>
      </c>
      <c r="Y153" s="199">
        <f t="shared" si="54"/>
        <v>-105</v>
      </c>
      <c r="Z153" s="38">
        <f t="shared" si="55"/>
        <v>-60</v>
      </c>
      <c r="AA153" s="39">
        <f t="shared" si="56"/>
        <v>15</v>
      </c>
      <c r="AB153" s="58">
        <f t="shared" si="57"/>
        <v>-45</v>
      </c>
    </row>
    <row r="154" spans="1:28" s="1" customFormat="1" x14ac:dyDescent="0.2">
      <c r="A154" s="11" t="s">
        <v>5</v>
      </c>
      <c r="B154" s="12" t="s">
        <v>21</v>
      </c>
      <c r="C154" s="12" t="s">
        <v>214</v>
      </c>
      <c r="D154" s="12" t="s">
        <v>62</v>
      </c>
      <c r="E154" s="12">
        <v>6298199</v>
      </c>
      <c r="F154" s="13">
        <v>7780</v>
      </c>
      <c r="G154" s="188">
        <v>45503</v>
      </c>
      <c r="H154" s="15" t="s">
        <v>7</v>
      </c>
      <c r="I154" s="16" t="s">
        <v>63</v>
      </c>
      <c r="J154" s="16">
        <v>6298858</v>
      </c>
      <c r="K154" s="17">
        <v>7772</v>
      </c>
      <c r="L154" s="18">
        <v>45503</v>
      </c>
      <c r="M154" s="19" t="s">
        <v>39</v>
      </c>
      <c r="N154" s="20" t="s">
        <v>18</v>
      </c>
      <c r="O154" s="20">
        <v>15</v>
      </c>
      <c r="P154" s="20"/>
      <c r="Q154" s="21">
        <v>45503</v>
      </c>
      <c r="R154" s="20">
        <v>55</v>
      </c>
      <c r="S154" s="22">
        <v>7783</v>
      </c>
      <c r="T154" s="23">
        <v>228</v>
      </c>
      <c r="V154" s="37">
        <f t="shared" si="51"/>
        <v>7783</v>
      </c>
      <c r="W154" s="28">
        <f t="shared" si="52"/>
        <v>0</v>
      </c>
      <c r="X154" s="26">
        <f t="shared" si="53"/>
        <v>11</v>
      </c>
      <c r="Y154" s="200">
        <f t="shared" si="54"/>
        <v>3</v>
      </c>
      <c r="Z154" s="38">
        <f t="shared" si="55"/>
        <v>-8</v>
      </c>
      <c r="AA154" s="39">
        <f t="shared" si="56"/>
        <v>11</v>
      </c>
      <c r="AB154" s="58">
        <f t="shared" si="57"/>
        <v>3</v>
      </c>
    </row>
    <row r="155" spans="1:28" s="1" customFormat="1" x14ac:dyDescent="0.2">
      <c r="A155" s="11" t="s">
        <v>5</v>
      </c>
      <c r="B155" s="12" t="s">
        <v>21</v>
      </c>
      <c r="C155" s="12" t="s">
        <v>215</v>
      </c>
      <c r="D155" s="12" t="s">
        <v>15</v>
      </c>
      <c r="E155" s="12">
        <v>6303251</v>
      </c>
      <c r="F155" s="13">
        <v>7720</v>
      </c>
      <c r="G155" s="194">
        <v>45506</v>
      </c>
      <c r="H155" s="15" t="s">
        <v>7</v>
      </c>
      <c r="I155" s="16" t="s">
        <v>63</v>
      </c>
      <c r="J155" s="16">
        <v>6304050</v>
      </c>
      <c r="K155" s="17">
        <v>7620</v>
      </c>
      <c r="L155" s="18">
        <v>45506</v>
      </c>
      <c r="M155" s="19" t="s">
        <v>39</v>
      </c>
      <c r="N155" s="20" t="s">
        <v>18</v>
      </c>
      <c r="O155" s="20">
        <v>15</v>
      </c>
      <c r="P155" s="20"/>
      <c r="Q155" s="21">
        <v>45506</v>
      </c>
      <c r="R155" s="20">
        <v>55</v>
      </c>
      <c r="S155" s="22">
        <v>7633</v>
      </c>
      <c r="T155" s="23">
        <v>100</v>
      </c>
      <c r="V155" s="37">
        <f t="shared" si="51"/>
        <v>7655</v>
      </c>
      <c r="W155" s="28">
        <f t="shared" si="52"/>
        <v>22</v>
      </c>
      <c r="X155" s="45">
        <f t="shared" si="53"/>
        <v>35</v>
      </c>
      <c r="Y155" s="199">
        <f t="shared" si="54"/>
        <v>-65</v>
      </c>
      <c r="Z155" s="38">
        <f t="shared" si="55"/>
        <v>-100</v>
      </c>
      <c r="AA155" s="39">
        <f t="shared" si="56"/>
        <v>13</v>
      </c>
      <c r="AB155" s="58">
        <f t="shared" si="57"/>
        <v>-87</v>
      </c>
    </row>
    <row r="156" spans="1:28" s="1" customFormat="1" x14ac:dyDescent="0.2">
      <c r="A156" s="11" t="s">
        <v>5</v>
      </c>
      <c r="B156" s="12" t="s">
        <v>21</v>
      </c>
      <c r="C156" s="12" t="s">
        <v>216</v>
      </c>
      <c r="D156" s="12" t="s">
        <v>62</v>
      </c>
      <c r="E156" s="12">
        <v>6305205</v>
      </c>
      <c r="F156" s="13">
        <v>7720</v>
      </c>
      <c r="G156" s="194">
        <v>45507</v>
      </c>
      <c r="H156" s="15" t="s">
        <v>7</v>
      </c>
      <c r="I156" s="16" t="s">
        <v>63</v>
      </c>
      <c r="J156" s="16">
        <v>6305306</v>
      </c>
      <c r="K156" s="17">
        <v>7637</v>
      </c>
      <c r="L156" s="18">
        <v>45507</v>
      </c>
      <c r="M156" s="19" t="s">
        <v>35</v>
      </c>
      <c r="N156" s="20" t="s">
        <v>74</v>
      </c>
      <c r="O156" s="20">
        <v>15</v>
      </c>
      <c r="P156" s="20"/>
      <c r="Q156" s="21">
        <v>45507</v>
      </c>
      <c r="R156" s="20">
        <v>55</v>
      </c>
      <c r="S156" s="22">
        <v>7555</v>
      </c>
      <c r="T156" s="23">
        <v>70</v>
      </c>
      <c r="V156" s="37">
        <f t="shared" si="51"/>
        <v>7625</v>
      </c>
      <c r="W156" s="46">
        <f t="shared" si="52"/>
        <v>70</v>
      </c>
      <c r="X156" s="27">
        <f t="shared" si="53"/>
        <v>-12</v>
      </c>
      <c r="Y156" s="199">
        <f t="shared" si="54"/>
        <v>-95</v>
      </c>
      <c r="Z156" s="38">
        <f t="shared" si="55"/>
        <v>-83</v>
      </c>
      <c r="AA156" s="39">
        <f t="shared" si="56"/>
        <v>-82</v>
      </c>
      <c r="AB156" s="58">
        <f t="shared" si="57"/>
        <v>-165</v>
      </c>
    </row>
    <row r="157" spans="1:28" s="1" customFormat="1" x14ac:dyDescent="0.2">
      <c r="A157" s="11" t="s">
        <v>5</v>
      </c>
      <c r="B157" s="12" t="s">
        <v>21</v>
      </c>
      <c r="C157" s="12" t="s">
        <v>228</v>
      </c>
      <c r="D157" s="12" t="s">
        <v>67</v>
      </c>
      <c r="E157" s="12">
        <v>6304927</v>
      </c>
      <c r="F157" s="13">
        <v>7720</v>
      </c>
      <c r="G157" s="194">
        <v>45507</v>
      </c>
      <c r="H157" s="15" t="s">
        <v>7</v>
      </c>
      <c r="I157" s="16" t="s">
        <v>8</v>
      </c>
      <c r="J157" s="16">
        <v>6305088</v>
      </c>
      <c r="K157" s="17">
        <v>7790</v>
      </c>
      <c r="L157" s="18">
        <v>45507</v>
      </c>
      <c r="M157" s="19" t="s">
        <v>39</v>
      </c>
      <c r="N157" s="20" t="s">
        <v>115</v>
      </c>
      <c r="O157" s="20">
        <v>15</v>
      </c>
      <c r="P157" s="20"/>
      <c r="Q157" s="21">
        <v>45507</v>
      </c>
      <c r="R157" s="20">
        <v>55</v>
      </c>
      <c r="S157" s="22">
        <v>7794</v>
      </c>
      <c r="T157" s="23">
        <v>250</v>
      </c>
      <c r="V157" s="37">
        <f t="shared" si="51"/>
        <v>7805</v>
      </c>
      <c r="W157" s="28">
        <f t="shared" si="52"/>
        <v>11</v>
      </c>
      <c r="X157" s="45">
        <f t="shared" si="53"/>
        <v>15</v>
      </c>
      <c r="Y157" s="199">
        <f t="shared" si="54"/>
        <v>85</v>
      </c>
      <c r="Z157" s="38">
        <f t="shared" si="55"/>
        <v>70</v>
      </c>
      <c r="AA157" s="39">
        <f t="shared" si="56"/>
        <v>4</v>
      </c>
      <c r="AB157" s="58">
        <f t="shared" si="57"/>
        <v>74</v>
      </c>
    </row>
    <row r="158" spans="1:28" s="1" customFormat="1" x14ac:dyDescent="0.2">
      <c r="A158" s="11" t="s">
        <v>5</v>
      </c>
      <c r="B158" s="12" t="s">
        <v>21</v>
      </c>
      <c r="C158" s="12" t="s">
        <v>217</v>
      </c>
      <c r="D158" s="12" t="s">
        <v>218</v>
      </c>
      <c r="E158" s="12">
        <v>6304721</v>
      </c>
      <c r="F158" s="13">
        <v>7860</v>
      </c>
      <c r="G158" s="194">
        <v>45506</v>
      </c>
      <c r="H158" s="15" t="s">
        <v>7</v>
      </c>
      <c r="I158" s="16" t="s">
        <v>8</v>
      </c>
      <c r="J158" s="16">
        <v>6305050</v>
      </c>
      <c r="K158" s="17">
        <v>7755</v>
      </c>
      <c r="L158" s="18">
        <v>45507</v>
      </c>
      <c r="M158" s="19" t="s">
        <v>35</v>
      </c>
      <c r="N158" s="20" t="s">
        <v>115</v>
      </c>
      <c r="O158" s="20">
        <v>15</v>
      </c>
      <c r="P158" s="20"/>
      <c r="Q158" s="21">
        <v>45507</v>
      </c>
      <c r="R158" s="20">
        <v>500</v>
      </c>
      <c r="S158" s="22">
        <v>7773</v>
      </c>
      <c r="T158" s="23">
        <v>257</v>
      </c>
      <c r="V158" s="37">
        <f t="shared" si="51"/>
        <v>7757</v>
      </c>
      <c r="W158" s="46">
        <f t="shared" si="52"/>
        <v>-16</v>
      </c>
      <c r="X158" s="27">
        <f t="shared" si="53"/>
        <v>2</v>
      </c>
      <c r="Y158" s="199">
        <f t="shared" si="54"/>
        <v>-103</v>
      </c>
      <c r="Z158" s="38">
        <f t="shared" si="55"/>
        <v>-105</v>
      </c>
      <c r="AA158" s="39">
        <f t="shared" si="56"/>
        <v>18</v>
      </c>
      <c r="AB158" s="58">
        <f t="shared" si="57"/>
        <v>-87</v>
      </c>
    </row>
    <row r="159" spans="1:28" s="1" customFormat="1" x14ac:dyDescent="0.2">
      <c r="A159" s="11" t="s">
        <v>5</v>
      </c>
      <c r="B159" s="12" t="s">
        <v>21</v>
      </c>
      <c r="C159" s="12" t="s">
        <v>219</v>
      </c>
      <c r="D159" s="12" t="s">
        <v>218</v>
      </c>
      <c r="E159" s="12">
        <v>6304592</v>
      </c>
      <c r="F159" s="13">
        <v>7720</v>
      </c>
      <c r="G159" s="194">
        <v>45506</v>
      </c>
      <c r="H159" s="15" t="s">
        <v>7</v>
      </c>
      <c r="I159" s="16" t="s">
        <v>8</v>
      </c>
      <c r="J159" s="16">
        <v>6304856</v>
      </c>
      <c r="K159" s="17">
        <v>7630</v>
      </c>
      <c r="L159" s="18">
        <v>45507</v>
      </c>
      <c r="M159" s="19" t="s">
        <v>35</v>
      </c>
      <c r="N159" s="20" t="s">
        <v>74</v>
      </c>
      <c r="O159" s="20">
        <v>15</v>
      </c>
      <c r="P159" s="20"/>
      <c r="Q159" s="21">
        <v>45507</v>
      </c>
      <c r="R159" s="20">
        <v>55</v>
      </c>
      <c r="S159" s="22">
        <v>7555</v>
      </c>
      <c r="T159" s="23">
        <v>50</v>
      </c>
      <c r="V159" s="37">
        <f t="shared" si="51"/>
        <v>7605</v>
      </c>
      <c r="W159" s="46">
        <f t="shared" si="52"/>
        <v>50</v>
      </c>
      <c r="X159" s="27">
        <f t="shared" si="53"/>
        <v>-25</v>
      </c>
      <c r="Y159" s="199">
        <f t="shared" si="54"/>
        <v>-115</v>
      </c>
      <c r="Z159" s="38">
        <f t="shared" si="55"/>
        <v>-90</v>
      </c>
      <c r="AA159" s="39">
        <f t="shared" si="56"/>
        <v>-75</v>
      </c>
      <c r="AB159" s="58">
        <f t="shared" si="57"/>
        <v>-165</v>
      </c>
    </row>
    <row r="160" spans="1:28" s="1" customFormat="1" x14ac:dyDescent="0.2">
      <c r="A160" s="11" t="s">
        <v>5</v>
      </c>
      <c r="B160" s="12" t="s">
        <v>21</v>
      </c>
      <c r="C160" s="12" t="s">
        <v>222</v>
      </c>
      <c r="D160" s="12" t="s">
        <v>218</v>
      </c>
      <c r="E160" s="12">
        <v>6304444</v>
      </c>
      <c r="F160" s="13">
        <v>7720</v>
      </c>
      <c r="G160" s="194">
        <v>45506</v>
      </c>
      <c r="H160" s="15" t="s">
        <v>7</v>
      </c>
      <c r="I160" s="16" t="s">
        <v>32</v>
      </c>
      <c r="J160" s="16">
        <v>6304605</v>
      </c>
      <c r="K160" s="17">
        <v>7620</v>
      </c>
      <c r="L160" s="18">
        <v>45506</v>
      </c>
      <c r="M160" s="19" t="s">
        <v>44</v>
      </c>
      <c r="N160" s="20" t="s">
        <v>223</v>
      </c>
      <c r="O160" s="20"/>
      <c r="P160" s="20">
        <v>24</v>
      </c>
      <c r="Q160" s="21">
        <v>45506</v>
      </c>
      <c r="R160" s="20">
        <v>110</v>
      </c>
      <c r="S160" s="22">
        <v>7600</v>
      </c>
      <c r="T160" s="23">
        <v>200</v>
      </c>
      <c r="V160" s="37">
        <f t="shared" si="51"/>
        <v>7630</v>
      </c>
      <c r="W160" s="46">
        <f t="shared" si="52"/>
        <v>30</v>
      </c>
      <c r="X160" s="27">
        <f t="shared" si="53"/>
        <v>10</v>
      </c>
      <c r="Y160" s="199">
        <f t="shared" si="54"/>
        <v>-90</v>
      </c>
      <c r="Z160" s="38">
        <f t="shared" si="55"/>
        <v>-100</v>
      </c>
      <c r="AA160" s="39">
        <f t="shared" si="56"/>
        <v>-20</v>
      </c>
      <c r="AB160" s="58">
        <f t="shared" si="57"/>
        <v>-120</v>
      </c>
    </row>
    <row r="161" spans="1:32" s="1" customFormat="1" x14ac:dyDescent="0.2">
      <c r="A161" s="11" t="s">
        <v>5</v>
      </c>
      <c r="B161" s="12" t="s">
        <v>21</v>
      </c>
      <c r="C161" s="12" t="s">
        <v>224</v>
      </c>
      <c r="D161" s="12" t="s">
        <v>62</v>
      </c>
      <c r="E161" s="12">
        <v>6303787</v>
      </c>
      <c r="F161" s="13">
        <v>7720</v>
      </c>
      <c r="G161" s="194">
        <v>45506</v>
      </c>
      <c r="H161" s="15" t="s">
        <v>7</v>
      </c>
      <c r="I161" s="16" t="s">
        <v>32</v>
      </c>
      <c r="J161" s="16">
        <v>6304410</v>
      </c>
      <c r="K161" s="17">
        <v>7620</v>
      </c>
      <c r="L161" s="18">
        <v>45506</v>
      </c>
      <c r="M161" s="19" t="s">
        <v>44</v>
      </c>
      <c r="N161" s="20" t="s">
        <v>18</v>
      </c>
      <c r="O161" s="20"/>
      <c r="P161" s="20">
        <v>24</v>
      </c>
      <c r="Q161" s="21">
        <v>45506</v>
      </c>
      <c r="R161" s="20">
        <v>110</v>
      </c>
      <c r="S161" s="22">
        <v>7625</v>
      </c>
      <c r="T161" s="23">
        <v>200</v>
      </c>
      <c r="V161" s="37">
        <f t="shared" si="51"/>
        <v>7630</v>
      </c>
      <c r="W161" s="28">
        <f t="shared" si="52"/>
        <v>5</v>
      </c>
      <c r="X161" s="45">
        <f t="shared" si="53"/>
        <v>10</v>
      </c>
      <c r="Y161" s="199">
        <f t="shared" si="54"/>
        <v>-90</v>
      </c>
      <c r="Z161" s="38">
        <f t="shared" si="55"/>
        <v>-100</v>
      </c>
      <c r="AA161" s="39">
        <f t="shared" si="56"/>
        <v>5</v>
      </c>
      <c r="AB161" s="58">
        <f t="shared" si="57"/>
        <v>-95</v>
      </c>
    </row>
    <row r="162" spans="1:32" s="1" customFormat="1" x14ac:dyDescent="0.2">
      <c r="A162" s="11" t="s">
        <v>5</v>
      </c>
      <c r="B162" s="12" t="s">
        <v>21</v>
      </c>
      <c r="C162" s="12" t="s">
        <v>227</v>
      </c>
      <c r="D162" s="12" t="s">
        <v>15</v>
      </c>
      <c r="E162" s="12">
        <v>6303555</v>
      </c>
      <c r="F162" s="13">
        <v>7720</v>
      </c>
      <c r="G162" s="194">
        <v>45506</v>
      </c>
      <c r="H162" s="15" t="s">
        <v>7</v>
      </c>
      <c r="I162" s="16" t="s">
        <v>63</v>
      </c>
      <c r="J162" s="16">
        <v>6304220</v>
      </c>
      <c r="K162" s="17">
        <v>7840</v>
      </c>
      <c r="L162" s="18">
        <v>45506</v>
      </c>
      <c r="M162" s="19" t="s">
        <v>39</v>
      </c>
      <c r="N162" s="20" t="s">
        <v>18</v>
      </c>
      <c r="O162" s="20">
        <v>15</v>
      </c>
      <c r="P162" s="20"/>
      <c r="Q162" s="21">
        <v>45507</v>
      </c>
      <c r="R162" s="20">
        <v>55</v>
      </c>
      <c r="S162" s="22">
        <v>7855</v>
      </c>
      <c r="T162" s="23">
        <v>290</v>
      </c>
      <c r="V162" s="37">
        <f t="shared" si="51"/>
        <v>7845</v>
      </c>
      <c r="W162" s="46">
        <f t="shared" si="52"/>
        <v>-10</v>
      </c>
      <c r="X162" s="27">
        <f t="shared" si="53"/>
        <v>5</v>
      </c>
      <c r="Y162" s="199">
        <f t="shared" si="54"/>
        <v>125</v>
      </c>
      <c r="Z162" s="38">
        <f t="shared" si="55"/>
        <v>120</v>
      </c>
      <c r="AA162" s="39">
        <f t="shared" si="56"/>
        <v>15</v>
      </c>
      <c r="AB162" s="58">
        <f t="shared" si="57"/>
        <v>135</v>
      </c>
    </row>
    <row r="163" spans="1:32" s="1" customFormat="1" x14ac:dyDescent="0.2">
      <c r="A163" s="11" t="s">
        <v>5</v>
      </c>
      <c r="B163" s="12" t="s">
        <v>21</v>
      </c>
      <c r="C163" s="12" t="s">
        <v>230</v>
      </c>
      <c r="D163" s="12" t="s">
        <v>231</v>
      </c>
      <c r="E163" s="12">
        <v>6305812</v>
      </c>
      <c r="F163" s="13">
        <v>7720</v>
      </c>
      <c r="G163" s="194">
        <v>45507</v>
      </c>
      <c r="H163" s="15" t="s">
        <v>7</v>
      </c>
      <c r="I163" s="16" t="s">
        <v>16</v>
      </c>
      <c r="J163" s="16">
        <v>6306570</v>
      </c>
      <c r="K163" s="17">
        <v>7620</v>
      </c>
      <c r="L163" s="18">
        <v>45509</v>
      </c>
      <c r="M163" s="19" t="s">
        <v>35</v>
      </c>
      <c r="N163" s="20" t="s">
        <v>74</v>
      </c>
      <c r="O163" s="20">
        <v>15</v>
      </c>
      <c r="P163" s="20"/>
      <c r="Q163" s="21">
        <v>45509</v>
      </c>
      <c r="R163" s="20">
        <v>55</v>
      </c>
      <c r="S163" s="22">
        <v>7555</v>
      </c>
      <c r="T163" s="23">
        <v>60</v>
      </c>
      <c r="V163" s="37">
        <f t="shared" si="51"/>
        <v>7615</v>
      </c>
      <c r="W163" s="46">
        <f t="shared" si="52"/>
        <v>60</v>
      </c>
      <c r="X163" s="27">
        <f t="shared" si="53"/>
        <v>-5</v>
      </c>
      <c r="Y163" s="199">
        <f t="shared" si="54"/>
        <v>-105</v>
      </c>
      <c r="Z163" s="38">
        <f t="shared" si="55"/>
        <v>-100</v>
      </c>
      <c r="AA163" s="39">
        <f t="shared" si="56"/>
        <v>-65</v>
      </c>
      <c r="AB163" s="58">
        <f t="shared" si="57"/>
        <v>-165</v>
      </c>
    </row>
    <row r="164" spans="1:32" s="1" customFormat="1" x14ac:dyDescent="0.2">
      <c r="A164" s="11" t="s">
        <v>5</v>
      </c>
      <c r="B164" s="12" t="s">
        <v>21</v>
      </c>
      <c r="C164" s="12" t="s">
        <v>232</v>
      </c>
      <c r="D164" s="12" t="s">
        <v>231</v>
      </c>
      <c r="E164" s="12">
        <v>6304672</v>
      </c>
      <c r="F164" s="13">
        <v>7720</v>
      </c>
      <c r="G164" s="194">
        <v>45507</v>
      </c>
      <c r="H164" s="15" t="s">
        <v>7</v>
      </c>
      <c r="I164" s="16" t="s">
        <v>32</v>
      </c>
      <c r="J164" s="16">
        <v>6305810</v>
      </c>
      <c r="K164" s="17">
        <v>7630</v>
      </c>
      <c r="L164" s="18">
        <v>45507</v>
      </c>
      <c r="M164" s="19" t="s">
        <v>35</v>
      </c>
      <c r="N164" s="20" t="s">
        <v>74</v>
      </c>
      <c r="O164" s="20">
        <v>15</v>
      </c>
      <c r="P164" s="20"/>
      <c r="Q164" s="21">
        <v>45509</v>
      </c>
      <c r="R164" s="20">
        <v>55</v>
      </c>
      <c r="S164" s="22">
        <v>7555</v>
      </c>
      <c r="T164" s="23">
        <v>70</v>
      </c>
      <c r="V164" s="37">
        <f t="shared" si="51"/>
        <v>7625</v>
      </c>
      <c r="W164" s="46">
        <f t="shared" si="52"/>
        <v>70</v>
      </c>
      <c r="X164" s="27">
        <f t="shared" si="53"/>
        <v>-5</v>
      </c>
      <c r="Y164" s="199">
        <f t="shared" si="54"/>
        <v>-95</v>
      </c>
      <c r="Z164" s="38">
        <f t="shared" si="55"/>
        <v>-90</v>
      </c>
      <c r="AA164" s="39">
        <f t="shared" si="56"/>
        <v>-75</v>
      </c>
      <c r="AB164" s="58">
        <f t="shared" si="57"/>
        <v>-165</v>
      </c>
    </row>
    <row r="165" spans="1:32" s="1" customFormat="1" x14ac:dyDescent="0.2">
      <c r="A165" s="11" t="s">
        <v>5</v>
      </c>
      <c r="B165" s="12" t="s">
        <v>21</v>
      </c>
      <c r="C165" s="197" t="s">
        <v>233</v>
      </c>
      <c r="D165" s="12" t="s">
        <v>15</v>
      </c>
      <c r="E165" s="12">
        <v>6303634</v>
      </c>
      <c r="F165" s="13">
        <v>7900</v>
      </c>
      <c r="G165" s="198">
        <v>45506</v>
      </c>
      <c r="H165" s="15" t="s">
        <v>7</v>
      </c>
      <c r="I165" s="16" t="s">
        <v>16</v>
      </c>
      <c r="J165" s="16">
        <v>6306733</v>
      </c>
      <c r="K165" s="17">
        <v>7810</v>
      </c>
      <c r="L165" s="18">
        <v>45509</v>
      </c>
      <c r="M165" s="19" t="s">
        <v>39</v>
      </c>
      <c r="N165" s="20" t="s">
        <v>18</v>
      </c>
      <c r="O165" s="20">
        <v>15</v>
      </c>
      <c r="P165" s="20"/>
      <c r="Q165" s="21">
        <v>45509</v>
      </c>
      <c r="R165" s="20">
        <v>500</v>
      </c>
      <c r="S165" s="22">
        <v>7805</v>
      </c>
      <c r="T165" s="23">
        <v>300</v>
      </c>
      <c r="V165" s="37">
        <f t="shared" si="51"/>
        <v>7800</v>
      </c>
      <c r="W165" s="28">
        <f t="shared" si="52"/>
        <v>-5</v>
      </c>
      <c r="X165" s="45">
        <f t="shared" si="53"/>
        <v>-10</v>
      </c>
      <c r="Y165" s="199">
        <f t="shared" si="54"/>
        <v>-100</v>
      </c>
      <c r="Z165" s="38">
        <f t="shared" si="55"/>
        <v>-90</v>
      </c>
      <c r="AA165" s="39">
        <f t="shared" si="56"/>
        <v>-5</v>
      </c>
      <c r="AB165" s="58">
        <f t="shared" si="57"/>
        <v>-95</v>
      </c>
    </row>
    <row r="166" spans="1:32" s="1" customFormat="1" x14ac:dyDescent="0.2">
      <c r="A166" s="11" t="s">
        <v>5</v>
      </c>
      <c r="B166" s="12" t="s">
        <v>21</v>
      </c>
      <c r="C166" s="12" t="s">
        <v>234</v>
      </c>
      <c r="D166" s="12" t="s">
        <v>127</v>
      </c>
      <c r="E166" s="12">
        <v>6302654</v>
      </c>
      <c r="F166" s="13">
        <v>7720</v>
      </c>
      <c r="G166" s="188">
        <v>45505</v>
      </c>
      <c r="H166" s="15" t="s">
        <v>7</v>
      </c>
      <c r="I166" s="16" t="s">
        <v>63</v>
      </c>
      <c r="J166" s="16">
        <v>6303986</v>
      </c>
      <c r="K166" s="17">
        <v>7626</v>
      </c>
      <c r="L166" s="18">
        <v>45506</v>
      </c>
      <c r="M166" s="19" t="s">
        <v>39</v>
      </c>
      <c r="N166" s="20" t="s">
        <v>115</v>
      </c>
      <c r="O166" s="20">
        <v>15</v>
      </c>
      <c r="P166" s="20"/>
      <c r="Q166" s="21">
        <v>45506</v>
      </c>
      <c r="R166" s="20">
        <v>55</v>
      </c>
      <c r="S166" s="22">
        <v>7624</v>
      </c>
      <c r="T166" s="23">
        <v>70</v>
      </c>
      <c r="V166" s="37">
        <f t="shared" si="51"/>
        <v>7625</v>
      </c>
      <c r="W166" s="28">
        <f t="shared" si="52"/>
        <v>1</v>
      </c>
      <c r="X166" s="45">
        <f t="shared" si="53"/>
        <v>-1</v>
      </c>
      <c r="Y166" s="199">
        <f t="shared" si="54"/>
        <v>-95</v>
      </c>
      <c r="Z166" s="38">
        <f t="shared" si="55"/>
        <v>-94</v>
      </c>
      <c r="AA166" s="39">
        <f t="shared" si="56"/>
        <v>-2</v>
      </c>
      <c r="AB166" s="58">
        <f t="shared" si="57"/>
        <v>-96</v>
      </c>
    </row>
    <row r="167" spans="1:32" s="1" customFormat="1" x14ac:dyDescent="0.2">
      <c r="A167" s="11" t="s">
        <v>5</v>
      </c>
      <c r="B167" s="12" t="s">
        <v>21</v>
      </c>
      <c r="C167" s="12" t="s">
        <v>235</v>
      </c>
      <c r="D167" s="12" t="s">
        <v>62</v>
      </c>
      <c r="E167" s="12">
        <v>6306286</v>
      </c>
      <c r="F167" s="13">
        <v>7720</v>
      </c>
      <c r="G167" s="194">
        <v>45509</v>
      </c>
      <c r="H167" s="15" t="s">
        <v>7</v>
      </c>
      <c r="I167" s="16" t="s">
        <v>27</v>
      </c>
      <c r="J167" s="16">
        <v>6306404</v>
      </c>
      <c r="K167" s="17">
        <v>7620</v>
      </c>
      <c r="L167" s="18">
        <v>45509</v>
      </c>
      <c r="M167" s="19" t="s">
        <v>35</v>
      </c>
      <c r="N167" s="20" t="s">
        <v>74</v>
      </c>
      <c r="O167" s="20">
        <v>15</v>
      </c>
      <c r="P167" s="20"/>
      <c r="Q167" s="21">
        <v>45509</v>
      </c>
      <c r="R167" s="20">
        <v>55</v>
      </c>
      <c r="S167" s="22">
        <v>7555</v>
      </c>
      <c r="T167" s="23">
        <v>70</v>
      </c>
      <c r="V167" s="37">
        <f t="shared" si="51"/>
        <v>7625</v>
      </c>
      <c r="W167" s="46">
        <f t="shared" si="52"/>
        <v>70</v>
      </c>
      <c r="X167" s="27">
        <f t="shared" si="53"/>
        <v>5</v>
      </c>
      <c r="Y167" s="199">
        <f t="shared" si="54"/>
        <v>-95</v>
      </c>
      <c r="Z167" s="38">
        <f t="shared" si="55"/>
        <v>-100</v>
      </c>
      <c r="AA167" s="39">
        <f t="shared" si="56"/>
        <v>-65</v>
      </c>
      <c r="AB167" s="58">
        <f t="shared" si="57"/>
        <v>-165</v>
      </c>
    </row>
    <row r="168" spans="1:32" s="1" customFormat="1" x14ac:dyDescent="0.2">
      <c r="A168" s="11" t="s">
        <v>5</v>
      </c>
      <c r="B168" s="12" t="s">
        <v>21</v>
      </c>
      <c r="C168" s="12" t="s">
        <v>235</v>
      </c>
      <c r="D168" s="12" t="s">
        <v>62</v>
      </c>
      <c r="E168" s="12">
        <v>6306286</v>
      </c>
      <c r="F168" s="13">
        <v>7930</v>
      </c>
      <c r="G168" s="194">
        <v>45507</v>
      </c>
      <c r="H168" s="15" t="s">
        <v>163</v>
      </c>
      <c r="I168" s="16" t="s">
        <v>63</v>
      </c>
      <c r="J168" s="16">
        <v>6306485</v>
      </c>
      <c r="K168" s="17">
        <v>7835</v>
      </c>
      <c r="L168" s="18">
        <v>45509</v>
      </c>
      <c r="M168" s="19" t="s">
        <v>39</v>
      </c>
      <c r="N168" s="20" t="s">
        <v>115</v>
      </c>
      <c r="O168" s="20"/>
      <c r="P168" s="20">
        <v>25</v>
      </c>
      <c r="Q168" s="21">
        <v>45509</v>
      </c>
      <c r="R168" s="20">
        <v>110</v>
      </c>
      <c r="S168" s="22">
        <v>7742</v>
      </c>
      <c r="T168" s="23">
        <v>130</v>
      </c>
      <c r="V168" s="37">
        <f t="shared" si="51"/>
        <v>7865</v>
      </c>
      <c r="W168" s="24">
        <f t="shared" si="52"/>
        <v>123</v>
      </c>
      <c r="X168" s="27">
        <f t="shared" si="53"/>
        <v>30</v>
      </c>
      <c r="Y168" s="200">
        <f t="shared" si="54"/>
        <v>-65</v>
      </c>
      <c r="Z168" s="38">
        <f t="shared" si="55"/>
        <v>-95</v>
      </c>
      <c r="AA168" s="39">
        <f t="shared" si="56"/>
        <v>-93</v>
      </c>
      <c r="AB168" s="58">
        <f t="shared" si="57"/>
        <v>-188</v>
      </c>
    </row>
    <row r="169" spans="1:32" s="1" customFormat="1" x14ac:dyDescent="0.2">
      <c r="A169" s="11" t="s">
        <v>5</v>
      </c>
      <c r="B169" s="12" t="s">
        <v>21</v>
      </c>
      <c r="C169" s="12" t="s">
        <v>246</v>
      </c>
      <c r="D169" s="12" t="s">
        <v>218</v>
      </c>
      <c r="E169" s="12">
        <v>6309688</v>
      </c>
      <c r="F169" s="13">
        <v>8030</v>
      </c>
      <c r="G169" s="194">
        <v>45511</v>
      </c>
      <c r="H169" s="15" t="s">
        <v>31</v>
      </c>
      <c r="I169" s="16" t="s">
        <v>101</v>
      </c>
      <c r="J169" s="16">
        <v>6310500</v>
      </c>
      <c r="K169" s="17">
        <v>7930</v>
      </c>
      <c r="L169" s="18">
        <v>45511</v>
      </c>
      <c r="M169" s="19" t="s">
        <v>39</v>
      </c>
      <c r="N169" s="20" t="s">
        <v>247</v>
      </c>
      <c r="O169" s="20">
        <v>15</v>
      </c>
      <c r="P169" s="20"/>
      <c r="Q169" s="21">
        <v>45512</v>
      </c>
      <c r="R169" s="20">
        <v>500</v>
      </c>
      <c r="S169" s="22">
        <v>7910</v>
      </c>
      <c r="T169" s="23">
        <v>390</v>
      </c>
      <c r="V169" s="37">
        <f t="shared" si="51"/>
        <v>7890</v>
      </c>
      <c r="W169" s="28">
        <f t="shared" si="52"/>
        <v>-20</v>
      </c>
      <c r="X169" s="45">
        <f t="shared" si="53"/>
        <v>-40</v>
      </c>
      <c r="Y169" s="204">
        <f t="shared" si="54"/>
        <v>-140</v>
      </c>
      <c r="Z169" s="38">
        <f t="shared" si="55"/>
        <v>-100</v>
      </c>
      <c r="AA169" s="39">
        <f t="shared" si="56"/>
        <v>-20</v>
      </c>
      <c r="AB169" s="39">
        <f t="shared" si="57"/>
        <v>-120</v>
      </c>
    </row>
    <row r="170" spans="1:32" s="1" customFormat="1" x14ac:dyDescent="0.2">
      <c r="A170" s="11" t="s">
        <v>5</v>
      </c>
      <c r="B170" s="12" t="s">
        <v>21</v>
      </c>
      <c r="C170" s="12" t="s">
        <v>248</v>
      </c>
      <c r="D170" s="12" t="s">
        <v>62</v>
      </c>
      <c r="E170" s="12">
        <v>6310764</v>
      </c>
      <c r="F170" s="13">
        <v>7660</v>
      </c>
      <c r="G170" s="194">
        <v>45512</v>
      </c>
      <c r="H170" s="15" t="s">
        <v>31</v>
      </c>
      <c r="I170" s="16" t="s">
        <v>27</v>
      </c>
      <c r="J170" s="16">
        <v>6310934</v>
      </c>
      <c r="K170" s="17">
        <v>7560</v>
      </c>
      <c r="L170" s="18">
        <v>45512</v>
      </c>
      <c r="M170" s="19" t="s">
        <v>44</v>
      </c>
      <c r="N170" s="20" t="s">
        <v>115</v>
      </c>
      <c r="O170" s="20">
        <v>14</v>
      </c>
      <c r="P170" s="20"/>
      <c r="Q170" s="21">
        <v>45512</v>
      </c>
      <c r="R170" s="20">
        <v>110</v>
      </c>
      <c r="S170" s="22">
        <v>7560</v>
      </c>
      <c r="T170" s="23">
        <v>450</v>
      </c>
      <c r="V170" s="37">
        <f t="shared" si="51"/>
        <v>7560</v>
      </c>
      <c r="W170" s="28">
        <f t="shared" si="52"/>
        <v>0</v>
      </c>
      <c r="X170" s="45">
        <f t="shared" si="53"/>
        <v>0</v>
      </c>
      <c r="Y170" s="204">
        <f t="shared" si="54"/>
        <v>-100</v>
      </c>
      <c r="Z170" s="38">
        <f t="shared" si="55"/>
        <v>-100</v>
      </c>
      <c r="AA170" s="39">
        <f t="shared" si="56"/>
        <v>0</v>
      </c>
      <c r="AB170" s="39">
        <f t="shared" si="57"/>
        <v>-100</v>
      </c>
    </row>
    <row r="171" spans="1:32" s="1" customFormat="1" x14ac:dyDescent="0.2">
      <c r="A171" s="11" t="s">
        <v>5</v>
      </c>
      <c r="B171" s="12" t="s">
        <v>21</v>
      </c>
      <c r="C171" s="12" t="s">
        <v>262</v>
      </c>
      <c r="D171" s="12" t="s">
        <v>62</v>
      </c>
      <c r="E171" s="12">
        <v>6310941</v>
      </c>
      <c r="F171" s="13">
        <v>7660</v>
      </c>
      <c r="G171" s="194">
        <v>45512</v>
      </c>
      <c r="H171" s="15" t="s">
        <v>31</v>
      </c>
      <c r="I171" s="16" t="s">
        <v>43</v>
      </c>
      <c r="J171" s="16">
        <v>6311470</v>
      </c>
      <c r="K171" s="17">
        <v>7560</v>
      </c>
      <c r="L171" s="18">
        <v>45512</v>
      </c>
      <c r="M171" s="19" t="s">
        <v>17</v>
      </c>
      <c r="N171" s="20" t="s">
        <v>51</v>
      </c>
      <c r="O171" s="20">
        <v>15</v>
      </c>
      <c r="P171" s="20"/>
      <c r="Q171" s="21">
        <v>45512</v>
      </c>
      <c r="R171" s="20">
        <v>500</v>
      </c>
      <c r="S171" s="22">
        <v>7555</v>
      </c>
      <c r="T171" s="23">
        <v>30</v>
      </c>
      <c r="V171" s="37">
        <f t="shared" si="51"/>
        <v>7530</v>
      </c>
      <c r="W171" s="28">
        <f t="shared" si="52"/>
        <v>-25</v>
      </c>
      <c r="X171" s="45">
        <f t="shared" si="53"/>
        <v>-30</v>
      </c>
      <c r="Y171" s="204">
        <f t="shared" si="54"/>
        <v>-130</v>
      </c>
      <c r="Z171" s="38">
        <f t="shared" si="55"/>
        <v>-100</v>
      </c>
      <c r="AA171" s="39">
        <f t="shared" si="56"/>
        <v>-5</v>
      </c>
      <c r="AB171" s="39">
        <f t="shared" si="57"/>
        <v>-105</v>
      </c>
      <c r="AC171" s="209"/>
    </row>
    <row r="172" spans="1:32" s="1" customFormat="1" x14ac:dyDescent="0.2">
      <c r="A172" s="11" t="s">
        <v>28</v>
      </c>
      <c r="B172" s="12" t="s">
        <v>21</v>
      </c>
      <c r="C172" s="12" t="s">
        <v>265</v>
      </c>
      <c r="D172" s="12" t="s">
        <v>218</v>
      </c>
      <c r="E172" s="12">
        <v>6311718</v>
      </c>
      <c r="F172" s="13">
        <v>7660</v>
      </c>
      <c r="G172" s="194">
        <v>45512</v>
      </c>
      <c r="H172" s="15" t="s">
        <v>163</v>
      </c>
      <c r="I172" s="16" t="s">
        <v>8</v>
      </c>
      <c r="J172" s="16">
        <v>6312184</v>
      </c>
      <c r="K172" s="17">
        <v>7540</v>
      </c>
      <c r="L172" s="18">
        <v>45512</v>
      </c>
      <c r="M172" s="19" t="s">
        <v>35</v>
      </c>
      <c r="N172" s="20"/>
      <c r="O172" s="20">
        <v>15</v>
      </c>
      <c r="P172" s="20"/>
      <c r="Q172" s="21">
        <v>45512</v>
      </c>
      <c r="R172" s="20">
        <v>110</v>
      </c>
      <c r="S172" s="22">
        <v>7539</v>
      </c>
      <c r="T172" s="23">
        <v>34</v>
      </c>
      <c r="V172" s="37">
        <f t="shared" si="51"/>
        <v>7534</v>
      </c>
      <c r="W172" s="28">
        <f t="shared" si="52"/>
        <v>-5</v>
      </c>
      <c r="X172" s="45">
        <f t="shared" si="53"/>
        <v>-6</v>
      </c>
      <c r="Y172" s="204">
        <f t="shared" si="54"/>
        <v>-126</v>
      </c>
      <c r="Z172" s="38">
        <f t="shared" si="55"/>
        <v>-120</v>
      </c>
      <c r="AA172" s="39">
        <f t="shared" si="56"/>
        <v>-1</v>
      </c>
      <c r="AB172" s="39">
        <f t="shared" si="57"/>
        <v>-121</v>
      </c>
      <c r="AC172" s="209"/>
    </row>
    <row r="173" spans="1:32" s="1" customFormat="1" x14ac:dyDescent="0.2">
      <c r="A173" s="11" t="s">
        <v>5</v>
      </c>
      <c r="B173" s="12" t="s">
        <v>21</v>
      </c>
      <c r="C173" s="12" t="s">
        <v>273</v>
      </c>
      <c r="D173" s="12" t="s">
        <v>62</v>
      </c>
      <c r="E173" s="12">
        <v>6311084</v>
      </c>
      <c r="F173" s="13">
        <v>8090</v>
      </c>
      <c r="G173" s="194">
        <v>45512</v>
      </c>
      <c r="H173" s="15" t="s">
        <v>163</v>
      </c>
      <c r="I173" s="16" t="s">
        <v>32</v>
      </c>
      <c r="J173" s="16">
        <v>6313058</v>
      </c>
      <c r="K173" s="17">
        <v>7980</v>
      </c>
      <c r="L173" s="18">
        <v>45513</v>
      </c>
      <c r="M173" s="19" t="s">
        <v>17</v>
      </c>
      <c r="N173" s="20" t="s">
        <v>115</v>
      </c>
      <c r="O173" s="20"/>
      <c r="P173" s="20">
        <v>26</v>
      </c>
      <c r="Q173" s="21">
        <v>45513</v>
      </c>
      <c r="R173" s="20">
        <v>310</v>
      </c>
      <c r="S173" s="22">
        <v>7993</v>
      </c>
      <c r="T173" s="23">
        <v>67</v>
      </c>
      <c r="V173" s="37">
        <f t="shared" si="51"/>
        <v>7997</v>
      </c>
      <c r="W173" s="28">
        <f t="shared" si="52"/>
        <v>4</v>
      </c>
      <c r="X173" s="45">
        <f t="shared" si="53"/>
        <v>17</v>
      </c>
      <c r="Y173" s="204">
        <f t="shared" si="54"/>
        <v>-93</v>
      </c>
      <c r="Z173" s="38">
        <f t="shared" si="55"/>
        <v>-110</v>
      </c>
      <c r="AA173" s="39">
        <f t="shared" si="56"/>
        <v>13</v>
      </c>
      <c r="AB173" s="39">
        <f t="shared" si="57"/>
        <v>-97</v>
      </c>
      <c r="AC173" s="209"/>
    </row>
    <row r="174" spans="1:32" ht="30.75" customHeight="1" x14ac:dyDescent="0.2">
      <c r="AE174" s="209"/>
      <c r="AF174" s="209"/>
    </row>
    <row r="175" spans="1:32" ht="30.75" customHeight="1" x14ac:dyDescent="0.2">
      <c r="AE175" s="209"/>
      <c r="AF175" s="209"/>
    </row>
    <row r="176" spans="1:32" ht="30.75" customHeight="1" x14ac:dyDescent="0.2">
      <c r="AE176" s="209"/>
      <c r="AF176" s="209"/>
    </row>
    <row r="177" spans="31:32" ht="30.75" customHeight="1" x14ac:dyDescent="0.2">
      <c r="AE177" s="209"/>
      <c r="AF177" s="209"/>
    </row>
    <row r="178" spans="31:32" ht="30.75" customHeight="1" x14ac:dyDescent="0.2">
      <c r="AE178" s="209"/>
      <c r="AF178" s="209"/>
    </row>
    <row r="179" spans="31:32" ht="30.75" customHeight="1" x14ac:dyDescent="0.2">
      <c r="AE179" s="209"/>
      <c r="AF179" s="209"/>
    </row>
    <row r="180" spans="31:32" ht="30.75" customHeight="1" x14ac:dyDescent="0.2">
      <c r="AE180" s="209"/>
      <c r="AF180" s="209"/>
    </row>
    <row r="181" spans="31:32" ht="30.75" customHeight="1" x14ac:dyDescent="0.2">
      <c r="AE181" s="209"/>
      <c r="AF181" s="209"/>
    </row>
    <row r="182" spans="31:32" ht="30.75" customHeight="1" x14ac:dyDescent="0.2">
      <c r="AE182" s="209"/>
      <c r="AF182" s="209"/>
    </row>
    <row r="183" spans="31:32" ht="30.75" customHeight="1" x14ac:dyDescent="0.2">
      <c r="AE183" s="209"/>
      <c r="AF183" s="209"/>
    </row>
    <row r="184" spans="31:32" ht="30.75" customHeight="1" x14ac:dyDescent="0.2">
      <c r="AE184" s="209"/>
      <c r="AF184" s="209"/>
    </row>
    <row r="185" spans="31:32" ht="30.75" customHeight="1" x14ac:dyDescent="0.2">
      <c r="AE185" s="209"/>
      <c r="AF185" s="209"/>
    </row>
    <row r="186" spans="31:32" ht="30.75" customHeight="1" x14ac:dyDescent="0.2">
      <c r="AE186" s="209"/>
      <c r="AF186" s="209"/>
    </row>
    <row r="187" spans="31:32" ht="30.75" customHeight="1" x14ac:dyDescent="0.2">
      <c r="AE187" s="209"/>
      <c r="AF187" s="209"/>
    </row>
    <row r="188" spans="31:32" ht="30.75" customHeight="1" x14ac:dyDescent="0.2">
      <c r="AE188" s="209"/>
      <c r="AF188" s="209"/>
    </row>
    <row r="189" spans="31:32" ht="30.75" customHeight="1" x14ac:dyDescent="0.2">
      <c r="AE189" s="209"/>
      <c r="AF189" s="209"/>
    </row>
    <row r="190" spans="31:32" ht="30.75" customHeight="1" x14ac:dyDescent="0.2">
      <c r="AE190" s="209"/>
      <c r="AF190" s="209"/>
    </row>
    <row r="191" spans="31:32" ht="30.75" customHeight="1" x14ac:dyDescent="0.2">
      <c r="AE191" s="209"/>
      <c r="AF191" s="209"/>
    </row>
    <row r="192" spans="31:32" ht="30.75" customHeight="1" x14ac:dyDescent="0.2">
      <c r="AE192" s="209"/>
      <c r="AF192" s="209"/>
    </row>
    <row r="193" spans="31:32" ht="30.75" customHeight="1" x14ac:dyDescent="0.2">
      <c r="AE193" s="209"/>
      <c r="AF193" s="209"/>
    </row>
    <row r="194" spans="31:32" ht="30.75" customHeight="1" x14ac:dyDescent="0.2">
      <c r="AE194" s="209"/>
      <c r="AF194" s="209"/>
    </row>
    <row r="195" spans="31:32" ht="30.75" customHeight="1" x14ac:dyDescent="0.2">
      <c r="AE195" s="209"/>
      <c r="AF195" s="209"/>
    </row>
    <row r="196" spans="31:32" ht="30.75" customHeight="1" x14ac:dyDescent="0.2">
      <c r="AE196" s="209"/>
      <c r="AF196" s="209"/>
    </row>
    <row r="197" spans="31:32" ht="30.75" customHeight="1" x14ac:dyDescent="0.2">
      <c r="AE197" s="209"/>
      <c r="AF197" s="209"/>
    </row>
    <row r="198" spans="31:32" ht="30.75" customHeight="1" x14ac:dyDescent="0.2">
      <c r="AE198" s="209"/>
      <c r="AF198" s="209"/>
    </row>
    <row r="199" spans="31:32" ht="30.75" customHeight="1" x14ac:dyDescent="0.2">
      <c r="AE199" s="209"/>
      <c r="AF199" s="209"/>
    </row>
    <row r="200" spans="31:32" ht="30.75" customHeight="1" x14ac:dyDescent="0.2">
      <c r="AE200" s="209"/>
      <c r="AF200" s="209"/>
    </row>
    <row r="201" spans="31:32" ht="30.75" customHeight="1" x14ac:dyDescent="0.2">
      <c r="AE201" s="209"/>
      <c r="AF201" s="209"/>
    </row>
    <row r="202" spans="31:32" ht="30.75" customHeight="1" x14ac:dyDescent="0.2">
      <c r="AE202" s="209"/>
      <c r="AF202" s="209"/>
    </row>
    <row r="203" spans="31:32" ht="30.75" customHeight="1" x14ac:dyDescent="0.2">
      <c r="AE203" s="209"/>
      <c r="AF203" s="209"/>
    </row>
    <row r="204" spans="31:32" ht="30.75" customHeight="1" x14ac:dyDescent="0.2">
      <c r="AE204" s="209"/>
      <c r="AF204" s="209"/>
    </row>
    <row r="205" spans="31:32" ht="30.75" customHeight="1" x14ac:dyDescent="0.2">
      <c r="AE205" s="209"/>
      <c r="AF205" s="209"/>
    </row>
    <row r="206" spans="31:32" ht="30.75" customHeight="1" x14ac:dyDescent="0.2">
      <c r="AE206" s="209"/>
      <c r="AF206" s="209"/>
    </row>
    <row r="207" spans="31:32" ht="30.75" customHeight="1" x14ac:dyDescent="0.2">
      <c r="AE207" s="209"/>
      <c r="AF207" s="209"/>
    </row>
    <row r="208" spans="31:32" ht="30.75" customHeight="1" x14ac:dyDescent="0.2">
      <c r="AE208" s="209"/>
      <c r="AF208" s="209"/>
    </row>
    <row r="209" spans="31:32" ht="30.75" customHeight="1" x14ac:dyDescent="0.2">
      <c r="AE209" s="209"/>
      <c r="AF209" s="209"/>
    </row>
    <row r="210" spans="31:32" ht="30.75" customHeight="1" x14ac:dyDescent="0.2">
      <c r="AE210" s="209"/>
      <c r="AF210" s="209"/>
    </row>
    <row r="211" spans="31:32" ht="30.75" customHeight="1" x14ac:dyDescent="0.2">
      <c r="AE211" s="209"/>
      <c r="AF211" s="209"/>
    </row>
    <row r="212" spans="31:32" ht="30.75" customHeight="1" x14ac:dyDescent="0.2">
      <c r="AE212" s="209"/>
      <c r="AF212" s="209"/>
    </row>
    <row r="213" spans="31:32" ht="30.75" customHeight="1" x14ac:dyDescent="0.2">
      <c r="AE213" s="209"/>
      <c r="AF213" s="209"/>
    </row>
    <row r="214" spans="31:32" ht="30.75" customHeight="1" x14ac:dyDescent="0.2">
      <c r="AE214" s="209"/>
      <c r="AF214" s="209"/>
    </row>
    <row r="215" spans="31:32" ht="30.75" customHeight="1" x14ac:dyDescent="0.2">
      <c r="AE215" s="209"/>
      <c r="AF215" s="209"/>
    </row>
    <row r="216" spans="31:32" ht="30.75" customHeight="1" x14ac:dyDescent="0.2">
      <c r="AE216" s="209"/>
      <c r="AF216" s="209"/>
    </row>
    <row r="217" spans="31:32" ht="30.75" customHeight="1" x14ac:dyDescent="0.2">
      <c r="AE217" s="209"/>
      <c r="AF217" s="209"/>
    </row>
    <row r="218" spans="31:32" ht="30.75" customHeight="1" x14ac:dyDescent="0.2">
      <c r="AE218" s="209"/>
      <c r="AF218" s="209"/>
    </row>
    <row r="219" spans="31:32" ht="30.75" customHeight="1" x14ac:dyDescent="0.2">
      <c r="AE219" s="209"/>
      <c r="AF219" s="209"/>
    </row>
    <row r="220" spans="31:32" ht="30.75" customHeight="1" x14ac:dyDescent="0.2">
      <c r="AE220" s="209"/>
      <c r="AF220" s="209"/>
    </row>
    <row r="221" spans="31:32" ht="30.75" customHeight="1" x14ac:dyDescent="0.2">
      <c r="AE221" s="209"/>
      <c r="AF221" s="209"/>
    </row>
    <row r="222" spans="31:32" ht="30.75" customHeight="1" x14ac:dyDescent="0.2">
      <c r="AE222" s="209"/>
      <c r="AF222" s="209"/>
    </row>
    <row r="223" spans="31:32" ht="30.75" customHeight="1" x14ac:dyDescent="0.2">
      <c r="AE223" s="209"/>
      <c r="AF223" s="209"/>
    </row>
    <row r="224" spans="31:32" ht="30.75" customHeight="1" x14ac:dyDescent="0.2">
      <c r="AE224" s="209"/>
      <c r="AF224" s="209"/>
    </row>
    <row r="225" spans="31:32" ht="30.75" customHeight="1" x14ac:dyDescent="0.2">
      <c r="AE225" s="209"/>
      <c r="AF225" s="209"/>
    </row>
    <row r="226" spans="31:32" ht="30.75" customHeight="1" x14ac:dyDescent="0.2">
      <c r="AE226" s="209"/>
      <c r="AF226" s="209"/>
    </row>
    <row r="227" spans="31:32" ht="30.75" customHeight="1" x14ac:dyDescent="0.2">
      <c r="AE227" s="209"/>
      <c r="AF227" s="209"/>
    </row>
    <row r="228" spans="31:32" ht="30.75" customHeight="1" x14ac:dyDescent="0.2">
      <c r="AE228" s="209"/>
      <c r="AF228" s="209"/>
    </row>
    <row r="229" spans="31:32" ht="30.75" customHeight="1" x14ac:dyDescent="0.2">
      <c r="AE229" s="209"/>
      <c r="AF229" s="209"/>
    </row>
    <row r="230" spans="31:32" ht="30.75" customHeight="1" x14ac:dyDescent="0.2">
      <c r="AE230" s="209"/>
      <c r="AF230" s="209"/>
    </row>
    <row r="231" spans="31:32" ht="30.75" customHeight="1" x14ac:dyDescent="0.2">
      <c r="AE231" s="209"/>
      <c r="AF231" s="209"/>
    </row>
    <row r="232" spans="31:32" ht="30.75" customHeight="1" x14ac:dyDescent="0.2">
      <c r="AE232" s="209"/>
      <c r="AF232" s="209"/>
    </row>
    <row r="233" spans="31:32" ht="30.75" customHeight="1" x14ac:dyDescent="0.2">
      <c r="AE233" s="209"/>
      <c r="AF233" s="209"/>
    </row>
    <row r="234" spans="31:32" ht="30.75" customHeight="1" x14ac:dyDescent="0.2">
      <c r="AE234" s="209"/>
      <c r="AF234" s="209"/>
    </row>
    <row r="235" spans="31:32" ht="30.75" customHeight="1" x14ac:dyDescent="0.2">
      <c r="AE235" s="209"/>
      <c r="AF235" s="209"/>
    </row>
    <row r="236" spans="31:32" ht="30.75" customHeight="1" x14ac:dyDescent="0.2">
      <c r="AE236" s="209"/>
      <c r="AF236" s="209"/>
    </row>
    <row r="237" spans="31:32" ht="30.75" customHeight="1" x14ac:dyDescent="0.2">
      <c r="AE237" s="209"/>
      <c r="AF237" s="209"/>
    </row>
    <row r="238" spans="31:32" ht="30.75" customHeight="1" x14ac:dyDescent="0.2">
      <c r="AE238" s="209"/>
      <c r="AF238" s="209"/>
    </row>
    <row r="239" spans="31:32" ht="30.75" customHeight="1" x14ac:dyDescent="0.2">
      <c r="AE239" s="209"/>
      <c r="AF239" s="209"/>
    </row>
    <row r="240" spans="31:32" ht="30.75" customHeight="1" x14ac:dyDescent="0.2">
      <c r="AE240" s="209"/>
      <c r="AF240" s="209"/>
    </row>
    <row r="241" spans="31:32" ht="30.75" customHeight="1" x14ac:dyDescent="0.2">
      <c r="AE241" s="209"/>
      <c r="AF241" s="209"/>
    </row>
    <row r="242" spans="31:32" ht="30.75" customHeight="1" x14ac:dyDescent="0.2">
      <c r="AE242" s="209"/>
      <c r="AF242" s="209"/>
    </row>
    <row r="243" spans="31:32" ht="30.75" customHeight="1" x14ac:dyDescent="0.2">
      <c r="AE243" s="209"/>
      <c r="AF243" s="209"/>
    </row>
    <row r="244" spans="31:32" ht="30.75" customHeight="1" x14ac:dyDescent="0.2">
      <c r="AE244" s="209"/>
      <c r="AF244" s="209"/>
    </row>
    <row r="245" spans="31:32" ht="30.75" customHeight="1" x14ac:dyDescent="0.2">
      <c r="AE245" s="209"/>
      <c r="AF245" s="209"/>
    </row>
    <row r="246" spans="31:32" ht="30.75" customHeight="1" x14ac:dyDescent="0.2">
      <c r="AE246" s="209"/>
      <c r="AF246" s="209"/>
    </row>
    <row r="247" spans="31:32" ht="30.75" customHeight="1" x14ac:dyDescent="0.2">
      <c r="AE247" s="209"/>
      <c r="AF247" s="209"/>
    </row>
    <row r="248" spans="31:32" ht="30.75" customHeight="1" x14ac:dyDescent="0.2">
      <c r="AE248" s="209"/>
      <c r="AF248" s="209"/>
    </row>
    <row r="249" spans="31:32" ht="30.75" customHeight="1" x14ac:dyDescent="0.2">
      <c r="AE249" s="209"/>
      <c r="AF249" s="209"/>
    </row>
    <row r="250" spans="31:32" ht="30.75" customHeight="1" x14ac:dyDescent="0.2">
      <c r="AE250" s="209"/>
      <c r="AF250" s="209"/>
    </row>
    <row r="251" spans="31:32" ht="30.75" customHeight="1" x14ac:dyDescent="0.2">
      <c r="AE251" s="209"/>
      <c r="AF251" s="209"/>
    </row>
    <row r="252" spans="31:32" ht="30.75" customHeight="1" x14ac:dyDescent="0.2">
      <c r="AE252" s="209"/>
      <c r="AF252" s="209"/>
    </row>
    <row r="253" spans="31:32" ht="30.75" customHeight="1" x14ac:dyDescent="0.2">
      <c r="AE253" s="209"/>
      <c r="AF253" s="209"/>
    </row>
    <row r="254" spans="31:32" ht="30.75" customHeight="1" x14ac:dyDescent="0.2">
      <c r="AE254" s="209"/>
      <c r="AF254" s="209"/>
    </row>
    <row r="255" spans="31:32" ht="30.75" customHeight="1" x14ac:dyDescent="0.2">
      <c r="AE255" s="209"/>
      <c r="AF255" s="209"/>
    </row>
    <row r="256" spans="31:32" ht="30.75" customHeight="1" x14ac:dyDescent="0.2">
      <c r="AE256" s="209"/>
      <c r="AF256" s="209"/>
    </row>
    <row r="257" spans="31:32" ht="30.75" customHeight="1" x14ac:dyDescent="0.2">
      <c r="AE257" s="209"/>
      <c r="AF257" s="209"/>
    </row>
    <row r="258" spans="31:32" ht="30.75" customHeight="1" x14ac:dyDescent="0.2">
      <c r="AE258" s="209"/>
      <c r="AF258" s="209"/>
    </row>
    <row r="259" spans="31:32" ht="30.75" customHeight="1" x14ac:dyDescent="0.2">
      <c r="AE259" s="209"/>
      <c r="AF259" s="209"/>
    </row>
    <row r="260" spans="31:32" ht="30.75" customHeight="1" x14ac:dyDescent="0.2">
      <c r="AE260" s="209"/>
      <c r="AF260" s="209"/>
    </row>
    <row r="261" spans="31:32" ht="30.75" customHeight="1" x14ac:dyDescent="0.2">
      <c r="AE261" s="209"/>
      <c r="AF261" s="209"/>
    </row>
    <row r="262" spans="31:32" ht="30.75" customHeight="1" x14ac:dyDescent="0.2">
      <c r="AE262" s="209"/>
      <c r="AF262" s="209"/>
    </row>
    <row r="263" spans="31:32" ht="30.75" customHeight="1" x14ac:dyDescent="0.2">
      <c r="AE263" s="209"/>
      <c r="AF263" s="209"/>
    </row>
    <row r="264" spans="31:32" ht="30.75" customHeight="1" x14ac:dyDescent="0.2">
      <c r="AE264" s="209"/>
      <c r="AF264" s="209"/>
    </row>
    <row r="265" spans="31:32" ht="30.75" customHeight="1" x14ac:dyDescent="0.2">
      <c r="AE265" s="209"/>
      <c r="AF265" s="209"/>
    </row>
    <row r="266" spans="31:32" ht="30.75" customHeight="1" x14ac:dyDescent="0.2">
      <c r="AE266" s="209"/>
      <c r="AF266" s="209"/>
    </row>
    <row r="267" spans="31:32" ht="30.75" customHeight="1" x14ac:dyDescent="0.2">
      <c r="AE267" s="209"/>
      <c r="AF267" s="209"/>
    </row>
    <row r="268" spans="31:32" ht="30.75" customHeight="1" x14ac:dyDescent="0.2">
      <c r="AE268" s="209"/>
      <c r="AF268" s="209"/>
    </row>
    <row r="269" spans="31:32" ht="30.75" customHeight="1" x14ac:dyDescent="0.2">
      <c r="AE269" s="209"/>
      <c r="AF269" s="209"/>
    </row>
    <row r="270" spans="31:32" ht="30.75" customHeight="1" x14ac:dyDescent="0.2">
      <c r="AE270" s="209"/>
      <c r="AF270" s="209"/>
    </row>
    <row r="271" spans="31:32" ht="30.75" customHeight="1" x14ac:dyDescent="0.2">
      <c r="AE271" s="209"/>
      <c r="AF271" s="209"/>
    </row>
    <row r="272" spans="31:32" ht="30.75" customHeight="1" x14ac:dyDescent="0.2">
      <c r="AE272" s="209"/>
      <c r="AF272" s="209"/>
    </row>
    <row r="273" spans="31:32" ht="30.75" customHeight="1" x14ac:dyDescent="0.2">
      <c r="AE273" s="209"/>
      <c r="AF273" s="209"/>
    </row>
    <row r="274" spans="31:32" ht="30.75" customHeight="1" x14ac:dyDescent="0.2">
      <c r="AE274" s="209"/>
      <c r="AF274" s="209"/>
    </row>
    <row r="275" spans="31:32" ht="30.75" customHeight="1" x14ac:dyDescent="0.2">
      <c r="AE275" s="209"/>
      <c r="AF275" s="209"/>
    </row>
    <row r="276" spans="31:32" ht="30.75" customHeight="1" x14ac:dyDescent="0.2">
      <c r="AE276" s="209"/>
      <c r="AF276" s="209"/>
    </row>
    <row r="277" spans="31:32" ht="30.75" customHeight="1" x14ac:dyDescent="0.2">
      <c r="AE277" s="209"/>
      <c r="AF277" s="209"/>
    </row>
    <row r="278" spans="31:32" ht="30.75" customHeight="1" x14ac:dyDescent="0.2">
      <c r="AE278" s="209"/>
      <c r="AF278" s="209"/>
    </row>
    <row r="279" spans="31:32" ht="30.75" customHeight="1" x14ac:dyDescent="0.2">
      <c r="AE279" s="209"/>
      <c r="AF279" s="209"/>
    </row>
    <row r="280" spans="31:32" ht="30.75" customHeight="1" x14ac:dyDescent="0.2">
      <c r="AE280" s="209"/>
      <c r="AF280" s="209"/>
    </row>
    <row r="281" spans="31:32" ht="30.75" customHeight="1" x14ac:dyDescent="0.2">
      <c r="AE281" s="209"/>
      <c r="AF281" s="209"/>
    </row>
    <row r="282" spans="31:32" ht="30.75" customHeight="1" x14ac:dyDescent="0.2">
      <c r="AE282" s="209"/>
      <c r="AF282" s="209"/>
    </row>
    <row r="283" spans="31:32" ht="30.75" customHeight="1" x14ac:dyDescent="0.2">
      <c r="AE283" s="209"/>
      <c r="AF283" s="209"/>
    </row>
    <row r="284" spans="31:32" ht="30.75" customHeight="1" x14ac:dyDescent="0.2">
      <c r="AE284" s="209"/>
      <c r="AF284" s="209"/>
    </row>
    <row r="285" spans="31:32" ht="30.75" customHeight="1" x14ac:dyDescent="0.2">
      <c r="AE285" s="209"/>
      <c r="AF285" s="209"/>
    </row>
    <row r="286" spans="31:32" ht="30.75" customHeight="1" x14ac:dyDescent="0.2">
      <c r="AE286" s="209"/>
      <c r="AF286" s="209"/>
    </row>
    <row r="287" spans="31:32" ht="30.75" customHeight="1" x14ac:dyDescent="0.2">
      <c r="AE287" s="209"/>
      <c r="AF287" s="209"/>
    </row>
    <row r="288" spans="31:32" ht="30.75" customHeight="1" x14ac:dyDescent="0.2">
      <c r="AE288" s="209"/>
      <c r="AF288" s="209"/>
    </row>
    <row r="289" spans="31:32" ht="30.75" customHeight="1" x14ac:dyDescent="0.2">
      <c r="AE289" s="209"/>
      <c r="AF289" s="209"/>
    </row>
    <row r="290" spans="31:32" ht="30.75" customHeight="1" x14ac:dyDescent="0.2">
      <c r="AE290" s="209"/>
      <c r="AF290" s="209"/>
    </row>
    <row r="291" spans="31:32" ht="30.75" customHeight="1" x14ac:dyDescent="0.2">
      <c r="AE291" s="209"/>
      <c r="AF291" s="209"/>
    </row>
    <row r="292" spans="31:32" ht="30.75" customHeight="1" x14ac:dyDescent="0.2">
      <c r="AE292" s="209"/>
      <c r="AF292" s="209"/>
    </row>
    <row r="293" spans="31:32" ht="30.75" customHeight="1" x14ac:dyDescent="0.2">
      <c r="AE293" s="209"/>
      <c r="AF293" s="209"/>
    </row>
    <row r="294" spans="31:32" ht="30.75" customHeight="1" x14ac:dyDescent="0.2">
      <c r="AE294" s="209"/>
      <c r="AF294" s="209"/>
    </row>
    <row r="295" spans="31:32" ht="30.75" customHeight="1" x14ac:dyDescent="0.2">
      <c r="AE295" s="209"/>
      <c r="AF295" s="209"/>
    </row>
    <row r="296" spans="31:32" ht="30.75" customHeight="1" x14ac:dyDescent="0.2">
      <c r="AE296" s="209"/>
      <c r="AF296" s="209"/>
    </row>
    <row r="297" spans="31:32" ht="30.75" customHeight="1" x14ac:dyDescent="0.2">
      <c r="AE297" s="209"/>
      <c r="AF297" s="209"/>
    </row>
    <row r="298" spans="31:32" ht="30.75" customHeight="1" x14ac:dyDescent="0.2">
      <c r="AE298" s="209"/>
      <c r="AF298" s="209"/>
    </row>
    <row r="299" spans="31:32" ht="30.75" customHeight="1" x14ac:dyDescent="0.2">
      <c r="AE299" s="209"/>
      <c r="AF299" s="209"/>
    </row>
    <row r="300" spans="31:32" ht="30.75" customHeight="1" x14ac:dyDescent="0.2">
      <c r="AE300" s="209"/>
      <c r="AF300" s="209"/>
    </row>
    <row r="301" spans="31:32" ht="30.75" customHeight="1" x14ac:dyDescent="0.2">
      <c r="AE301" s="209"/>
      <c r="AF301" s="209"/>
    </row>
    <row r="302" spans="31:32" ht="30.75" customHeight="1" x14ac:dyDescent="0.2">
      <c r="AE302" s="209"/>
      <c r="AF302" s="209"/>
    </row>
    <row r="303" spans="31:32" ht="30.75" customHeight="1" x14ac:dyDescent="0.2">
      <c r="AE303" s="209"/>
      <c r="AF303" s="209"/>
    </row>
    <row r="304" spans="31:32" ht="30.75" customHeight="1" x14ac:dyDescent="0.2">
      <c r="AE304" s="209"/>
      <c r="AF304" s="209"/>
    </row>
    <row r="305" spans="31:32" ht="30.75" customHeight="1" x14ac:dyDescent="0.2">
      <c r="AE305" s="209"/>
      <c r="AF305" s="209"/>
    </row>
    <row r="306" spans="31:32" ht="30.75" customHeight="1" x14ac:dyDescent="0.2">
      <c r="AE306" s="209"/>
      <c r="AF306" s="209"/>
    </row>
    <row r="307" spans="31:32" ht="30.75" customHeight="1" x14ac:dyDescent="0.2">
      <c r="AE307" s="209"/>
      <c r="AF307" s="209"/>
    </row>
    <row r="308" spans="31:32" ht="30.75" customHeight="1" x14ac:dyDescent="0.2">
      <c r="AE308" s="209"/>
      <c r="AF308" s="209"/>
    </row>
    <row r="309" spans="31:32" ht="30.75" customHeight="1" x14ac:dyDescent="0.2">
      <c r="AE309" s="209"/>
      <c r="AF309" s="209"/>
    </row>
    <row r="310" spans="31:32" ht="30.75" customHeight="1" x14ac:dyDescent="0.2">
      <c r="AE310" s="209"/>
      <c r="AF310" s="209"/>
    </row>
    <row r="311" spans="31:32" ht="30.75" customHeight="1" x14ac:dyDescent="0.2">
      <c r="AE311" s="209"/>
      <c r="AF311" s="209"/>
    </row>
    <row r="312" spans="31:32" ht="30.75" customHeight="1" x14ac:dyDescent="0.2">
      <c r="AE312" s="209"/>
      <c r="AF312" s="209"/>
    </row>
    <row r="313" spans="31:32" ht="30.75" customHeight="1" x14ac:dyDescent="0.2">
      <c r="AE313" s="209"/>
      <c r="AF313" s="209"/>
    </row>
    <row r="314" spans="31:32" ht="30.75" customHeight="1" x14ac:dyDescent="0.2">
      <c r="AE314" s="209"/>
      <c r="AF314" s="209"/>
    </row>
    <row r="315" spans="31:32" ht="30.75" customHeight="1" x14ac:dyDescent="0.2">
      <c r="AE315" s="209"/>
      <c r="AF315" s="209"/>
    </row>
    <row r="316" spans="31:32" ht="30.75" customHeight="1" x14ac:dyDescent="0.2">
      <c r="AE316" s="209"/>
      <c r="AF316" s="209"/>
    </row>
    <row r="317" spans="31:32" ht="30.75" customHeight="1" x14ac:dyDescent="0.2">
      <c r="AE317" s="209"/>
      <c r="AF317" s="209"/>
    </row>
    <row r="318" spans="31:32" ht="30.75" customHeight="1" x14ac:dyDescent="0.2">
      <c r="AE318" s="209"/>
      <c r="AF318" s="209"/>
    </row>
    <row r="319" spans="31:32" ht="30.75" customHeight="1" x14ac:dyDescent="0.2">
      <c r="AE319" s="209"/>
      <c r="AF319" s="209"/>
    </row>
    <row r="320" spans="31:32" ht="30.75" customHeight="1" x14ac:dyDescent="0.2">
      <c r="AE320" s="209"/>
      <c r="AF320" s="209"/>
    </row>
    <row r="321" spans="31:32" ht="30.75" customHeight="1" x14ac:dyDescent="0.2">
      <c r="AE321" s="209"/>
      <c r="AF321" s="209"/>
    </row>
    <row r="322" spans="31:32" ht="30.75" customHeight="1" x14ac:dyDescent="0.2">
      <c r="AE322" s="209"/>
      <c r="AF322" s="209"/>
    </row>
    <row r="323" spans="31:32" ht="30.75" customHeight="1" x14ac:dyDescent="0.2">
      <c r="AE323" s="209"/>
      <c r="AF323" s="209"/>
    </row>
  </sheetData>
  <autoFilter ref="A3:T42" xr:uid="{BE8BB781-C563-4C2C-A1B4-9F3C1BC1387C}">
    <sortState xmlns:xlrd2="http://schemas.microsoft.com/office/spreadsheetml/2017/richdata2" ref="A4:T32">
      <sortCondition ref="G3:G25"/>
    </sortState>
  </autoFilter>
  <mergeCells count="5">
    <mergeCell ref="AD1:AF1"/>
    <mergeCell ref="A2:G2"/>
    <mergeCell ref="H2:L2"/>
    <mergeCell ref="M2:T2"/>
    <mergeCell ref="V2:AB2"/>
  </mergeCells>
  <phoneticPr fontId="1" type="noConversion"/>
  <pageMargins left="0.7" right="0.7" top="0.75" bottom="0.75" header="0.3" footer="0.3"/>
  <pageSetup paperSize="9" orientation="portrait" r:id="rId1"/>
  <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7" id="{57C088F9-8715-4B0D-812E-4100E85AB784}">
            <x14:iconSet iconSet="3Triangles">
              <x14:cfvo type="percent">
                <xm:f>0</xm:f>
              </x14:cfvo>
              <x14:cfvo type="percent">
                <xm:f>33</xm:f>
              </x14:cfvo>
              <x14:cfvo type="percent">
                <xm:f>67</xm:f>
              </x14:cfvo>
            </x14:iconSet>
          </x14:cfRule>
          <xm:sqref>AG12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B2C97B-65C9-4165-8BE5-4ADF0DAE22F7}">
  <sheetPr codeName="Sheet8"/>
  <dimension ref="A1:AJ319"/>
  <sheetViews>
    <sheetView topLeftCell="C5" zoomScale="40" zoomScaleNormal="40" workbookViewId="0">
      <selection activeCell="AF41" sqref="AF41"/>
    </sheetView>
  </sheetViews>
  <sheetFormatPr defaultColWidth="35.7109375" defaultRowHeight="30.75" x14ac:dyDescent="0.4"/>
  <cols>
    <col min="1" max="1" width="40.42578125" style="168" customWidth="1"/>
    <col min="2" max="2" width="35.7109375" style="168"/>
    <col min="3" max="3" width="35.7109375" style="168" customWidth="1"/>
    <col min="4" max="5" width="35.7109375" style="168" hidden="1" customWidth="1"/>
    <col min="6" max="6" width="35.7109375" style="169" hidden="1" customWidth="1"/>
    <col min="7" max="7" width="35.7109375" style="168" customWidth="1"/>
    <col min="8" max="10" width="35.7109375" style="168" hidden="1" customWidth="1"/>
    <col min="11" max="11" width="35.7109375" style="169" hidden="1" customWidth="1"/>
    <col min="12" max="12" width="35.7109375" style="168" hidden="1" customWidth="1"/>
    <col min="13" max="13" width="42.5703125" style="168" hidden="1" customWidth="1"/>
    <col min="14" max="18" width="35.7109375" style="168" hidden="1" customWidth="1"/>
    <col min="19" max="19" width="36.42578125" style="169" hidden="1" customWidth="1"/>
    <col min="20" max="21" width="35.7109375" style="168" hidden="1" customWidth="1"/>
    <col min="22" max="22" width="35.7109375" style="169" hidden="1" customWidth="1"/>
    <col min="23" max="23" width="43.5703125" style="168" hidden="1" customWidth="1"/>
    <col min="24" max="24" width="35.7109375" style="157" hidden="1" customWidth="1"/>
    <col min="25" max="25" width="36.85546875" style="168" hidden="1" customWidth="1"/>
    <col min="26" max="26" width="35.7109375" style="157" hidden="1" customWidth="1"/>
    <col min="27" max="28" width="35.7109375" style="168" hidden="1" customWidth="1"/>
    <col min="29" max="29" width="46.42578125" style="168" customWidth="1"/>
    <col min="30" max="30" width="35.7109375" style="168"/>
    <col min="31" max="31" width="35.7109375" style="157"/>
    <col min="32" max="32" width="55.140625" style="157" customWidth="1"/>
    <col min="33" max="33" width="55.140625" style="168" customWidth="1"/>
    <col min="34" max="34" width="57.5703125" style="168" customWidth="1"/>
    <col min="35" max="35" width="49.7109375" style="168" customWidth="1"/>
    <col min="36" max="36" width="55.140625" style="168" customWidth="1"/>
    <col min="37" max="16384" width="35.7109375" style="168"/>
  </cols>
  <sheetData>
    <row r="1" spans="1:36" s="1" customFormat="1" ht="31.5" thickBot="1" x14ac:dyDescent="0.25">
      <c r="F1" s="2"/>
      <c r="K1" s="2"/>
      <c r="S1" s="2"/>
      <c r="V1" s="49"/>
      <c r="W1" s="50"/>
      <c r="X1" s="50"/>
      <c r="Y1" s="50"/>
      <c r="Z1" s="50"/>
      <c r="AA1" s="50"/>
      <c r="AB1" s="50"/>
      <c r="AC1" s="167"/>
      <c r="AD1" s="288"/>
      <c r="AE1" s="288"/>
      <c r="AF1" s="288"/>
      <c r="AG1" s="167"/>
    </row>
    <row r="2" spans="1:36" s="1" customFormat="1" ht="31.5" thickBot="1" x14ac:dyDescent="0.25">
      <c r="A2" s="285" t="s">
        <v>0</v>
      </c>
      <c r="B2" s="286"/>
      <c r="C2" s="286"/>
      <c r="D2" s="286"/>
      <c r="E2" s="286"/>
      <c r="F2" s="286"/>
      <c r="G2" s="287"/>
      <c r="H2" s="295" t="s">
        <v>4</v>
      </c>
      <c r="I2" s="296"/>
      <c r="J2" s="296"/>
      <c r="K2" s="296"/>
      <c r="L2" s="297"/>
      <c r="M2" s="298" t="s">
        <v>14</v>
      </c>
      <c r="N2" s="299"/>
      <c r="O2" s="299"/>
      <c r="P2" s="299"/>
      <c r="Q2" s="299"/>
      <c r="R2" s="299"/>
      <c r="S2" s="299"/>
      <c r="T2" s="300"/>
      <c r="V2" s="290" t="s">
        <v>73</v>
      </c>
      <c r="W2" s="293"/>
      <c r="X2" s="293"/>
      <c r="Y2" s="293"/>
      <c r="Z2" s="293"/>
      <c r="AA2" s="293"/>
      <c r="AB2" s="293"/>
      <c r="AC2" s="294"/>
      <c r="AD2" s="169"/>
      <c r="AE2" s="169"/>
      <c r="AF2" s="169"/>
      <c r="AG2" s="168"/>
      <c r="AH2" s="50"/>
      <c r="AI2" s="50"/>
    </row>
    <row r="3" spans="1:36" s="1" customFormat="1" ht="80.099999999999994" customHeight="1" thickBot="1" x14ac:dyDescent="0.25">
      <c r="A3" s="253" t="s">
        <v>86</v>
      </c>
      <c r="B3" s="254" t="s">
        <v>136</v>
      </c>
      <c r="C3" s="254" t="s">
        <v>87</v>
      </c>
      <c r="D3" s="254" t="s">
        <v>88</v>
      </c>
      <c r="E3" s="254" t="s">
        <v>89</v>
      </c>
      <c r="F3" s="254" t="s">
        <v>90</v>
      </c>
      <c r="G3" s="207" t="s">
        <v>3</v>
      </c>
      <c r="H3" s="210" t="s">
        <v>9</v>
      </c>
      <c r="I3" s="211" t="s">
        <v>10</v>
      </c>
      <c r="J3" s="211" t="s">
        <v>1</v>
      </c>
      <c r="K3" s="211" t="s">
        <v>2</v>
      </c>
      <c r="L3" s="212" t="s">
        <v>3</v>
      </c>
      <c r="M3" s="264" t="s">
        <v>9</v>
      </c>
      <c r="N3" s="265" t="s">
        <v>10</v>
      </c>
      <c r="O3" s="266" t="s">
        <v>11</v>
      </c>
      <c r="P3" s="266" t="s">
        <v>12</v>
      </c>
      <c r="Q3" s="265" t="s">
        <v>3</v>
      </c>
      <c r="R3" s="266" t="s">
        <v>100</v>
      </c>
      <c r="S3" s="266" t="s">
        <v>95</v>
      </c>
      <c r="T3" s="267" t="s">
        <v>13</v>
      </c>
      <c r="U3" s="209"/>
      <c r="V3" s="271" t="s">
        <v>60</v>
      </c>
      <c r="W3" s="272" t="s">
        <v>91</v>
      </c>
      <c r="X3" s="272" t="s">
        <v>92</v>
      </c>
      <c r="Y3" s="273" t="s">
        <v>93</v>
      </c>
      <c r="Z3" s="274" t="s">
        <v>94</v>
      </c>
      <c r="AA3" s="151" t="s">
        <v>117</v>
      </c>
      <c r="AB3" s="152" t="s">
        <v>118</v>
      </c>
      <c r="AC3" s="185" t="s">
        <v>197</v>
      </c>
      <c r="AD3" s="168"/>
      <c r="AE3" s="168"/>
      <c r="AF3" s="168"/>
      <c r="AG3" s="168"/>
      <c r="AH3" s="50"/>
      <c r="AI3" s="50"/>
    </row>
    <row r="4" spans="1:36" s="1" customFormat="1" x14ac:dyDescent="0.2">
      <c r="A4" s="248" t="s">
        <v>5</v>
      </c>
      <c r="B4" s="249" t="s">
        <v>21</v>
      </c>
      <c r="C4" s="250" t="s">
        <v>23</v>
      </c>
      <c r="D4" s="249" t="s">
        <v>15</v>
      </c>
      <c r="E4" s="249">
        <v>6283205</v>
      </c>
      <c r="F4" s="251">
        <v>2760</v>
      </c>
      <c r="G4" s="252">
        <v>45485</v>
      </c>
      <c r="H4" s="255" t="s">
        <v>7</v>
      </c>
      <c r="I4" s="256" t="s">
        <v>16</v>
      </c>
      <c r="J4" s="256">
        <v>2684748</v>
      </c>
      <c r="K4" s="257">
        <v>2760</v>
      </c>
      <c r="L4" s="258">
        <v>45489</v>
      </c>
      <c r="M4" s="259" t="s">
        <v>17</v>
      </c>
      <c r="N4" s="260" t="s">
        <v>18</v>
      </c>
      <c r="O4" s="260"/>
      <c r="P4" s="260">
        <v>9</v>
      </c>
      <c r="Q4" s="261">
        <v>45489</v>
      </c>
      <c r="R4" s="260">
        <v>310</v>
      </c>
      <c r="S4" s="262">
        <v>2740</v>
      </c>
      <c r="T4" s="263">
        <v>10</v>
      </c>
      <c r="V4" s="268">
        <f t="shared" ref="V4:V22" si="0">IF(RIGHT(C4, 1)="1",
    IF(O4&lt;&gt;"", 500*O4 + T4 + IF(R4&lt;=110, R4, 0), IF(P4&lt;&gt;"", 305*P4 + T4 + IF(R4&lt;=110, R4, 0), "")),
    IF(O4&lt;&gt;"", 500*O4 + T4, IF(P4&lt;&gt;"", 305*P4 + T4, ""))
)</f>
        <v>2755</v>
      </c>
      <c r="W4" s="269">
        <f t="shared" ref="W4:W22" si="1">IF(OR(ISBLANK(V4), ISBLANK(S4), NOT(ISNUMBER(V4)), NOT(ISNUMBER(S4))), "", V4-S4)</f>
        <v>15</v>
      </c>
      <c r="X4" s="270">
        <f t="shared" ref="X4:X22" si="2">IF(OR(ISBLANK(V4), ISBLANK(K4), NOT(ISNUMBER(V4)), NOT(ISNUMBER(K4))), "", V4-K4)</f>
        <v>-5</v>
      </c>
      <c r="Y4" s="200">
        <f t="shared" ref="Y4:Y22" si="3">IF(OR(ISBLANK(V4), ISBLANK(F4), NOT(ISNUMBER(V4)), NOT(ISNUMBER(F4))), "", V4-F4)</f>
        <v>-5</v>
      </c>
      <c r="Z4" s="38">
        <f t="shared" ref="Z4:Z22" si="4">IF(OR(ISBLANK(F4), ISBLANK(K4)), "",K4-F4)</f>
        <v>0</v>
      </c>
      <c r="AA4" s="39">
        <f t="shared" ref="AA4:AA22" si="5">IF(OR(ISBLANK(K4), ISBLANK(S4)), "",S4-K4)</f>
        <v>-20</v>
      </c>
      <c r="AB4" s="58">
        <f t="shared" ref="AB4:AB22" si="6">IF(OR(ISBLANK(F4), ISBLANK(S4)), "",S4-F4)</f>
        <v>-20</v>
      </c>
      <c r="AC4" s="225">
        <v>0.998</v>
      </c>
      <c r="AD4" s="213"/>
      <c r="AE4" s="213"/>
      <c r="AF4" s="213"/>
      <c r="AG4" s="209"/>
      <c r="AH4" s="50"/>
      <c r="AI4" s="50"/>
    </row>
    <row r="5" spans="1:36" s="1" customFormat="1" x14ac:dyDescent="0.2">
      <c r="A5" s="11" t="s">
        <v>5</v>
      </c>
      <c r="B5" s="12" t="s">
        <v>21</v>
      </c>
      <c r="C5" s="12" t="s">
        <v>37</v>
      </c>
      <c r="D5" s="12" t="s">
        <v>30</v>
      </c>
      <c r="E5" s="12">
        <v>6282759</v>
      </c>
      <c r="F5" s="13">
        <v>7780</v>
      </c>
      <c r="G5" s="14">
        <v>45485</v>
      </c>
      <c r="H5" s="15" t="s">
        <v>7</v>
      </c>
      <c r="I5" s="16" t="s">
        <v>16</v>
      </c>
      <c r="J5" s="16">
        <v>6283982</v>
      </c>
      <c r="K5" s="17">
        <v>7650</v>
      </c>
      <c r="L5" s="18">
        <v>45486</v>
      </c>
      <c r="M5" s="19"/>
      <c r="N5" s="20"/>
      <c r="O5" s="20"/>
      <c r="P5" s="20">
        <v>24</v>
      </c>
      <c r="Q5" s="21">
        <v>45486</v>
      </c>
      <c r="R5" s="20">
        <v>55</v>
      </c>
      <c r="S5" s="22">
        <v>7650</v>
      </c>
      <c r="T5" s="23">
        <v>275</v>
      </c>
      <c r="V5" s="37">
        <f t="shared" si="0"/>
        <v>7650</v>
      </c>
      <c r="W5" s="28">
        <f t="shared" si="1"/>
        <v>0</v>
      </c>
      <c r="X5" s="45">
        <f t="shared" si="2"/>
        <v>0</v>
      </c>
      <c r="Y5" s="199">
        <f t="shared" si="3"/>
        <v>-130</v>
      </c>
      <c r="Z5" s="38">
        <f t="shared" si="4"/>
        <v>-130</v>
      </c>
      <c r="AA5" s="39">
        <f t="shared" si="5"/>
        <v>0</v>
      </c>
      <c r="AB5" s="58">
        <f t="shared" si="6"/>
        <v>-130</v>
      </c>
      <c r="AC5" s="225">
        <v>0.995</v>
      </c>
      <c r="AD5" s="50"/>
      <c r="AE5" s="50"/>
      <c r="AF5" s="275" t="s">
        <v>289</v>
      </c>
      <c r="AG5" s="275" t="s">
        <v>290</v>
      </c>
      <c r="AH5" s="275" t="s">
        <v>291</v>
      </c>
      <c r="AI5" s="275" t="s">
        <v>292</v>
      </c>
      <c r="AJ5" s="275" t="s">
        <v>293</v>
      </c>
    </row>
    <row r="6" spans="1:36" s="1" customFormat="1" x14ac:dyDescent="0.2">
      <c r="A6" s="11" t="s">
        <v>5</v>
      </c>
      <c r="B6" s="12" t="s">
        <v>21</v>
      </c>
      <c r="C6" s="12" t="s">
        <v>38</v>
      </c>
      <c r="D6" s="12" t="s">
        <v>15</v>
      </c>
      <c r="E6" s="12">
        <v>6283040</v>
      </c>
      <c r="F6" s="13">
        <v>7780</v>
      </c>
      <c r="G6" s="14">
        <v>45485</v>
      </c>
      <c r="H6" s="15" t="s">
        <v>7</v>
      </c>
      <c r="I6" s="16" t="s">
        <v>8</v>
      </c>
      <c r="J6" s="16">
        <v>6283568</v>
      </c>
      <c r="K6" s="17">
        <v>7712</v>
      </c>
      <c r="L6" s="18">
        <v>45486</v>
      </c>
      <c r="M6" s="19"/>
      <c r="N6" s="20"/>
      <c r="O6" s="20"/>
      <c r="P6" s="20">
        <v>24</v>
      </c>
      <c r="Q6" s="21">
        <v>45486</v>
      </c>
      <c r="R6" s="20">
        <v>55</v>
      </c>
      <c r="S6" s="22">
        <v>7580</v>
      </c>
      <c r="T6" s="23">
        <v>200</v>
      </c>
      <c r="V6" s="37">
        <f t="shared" si="0"/>
        <v>7575</v>
      </c>
      <c r="W6" s="28">
        <f t="shared" si="1"/>
        <v>-5</v>
      </c>
      <c r="X6" s="45">
        <f t="shared" si="2"/>
        <v>-137</v>
      </c>
      <c r="Y6" s="199">
        <f t="shared" si="3"/>
        <v>-205</v>
      </c>
      <c r="Z6" s="38">
        <f t="shared" si="4"/>
        <v>-68</v>
      </c>
      <c r="AA6" s="39">
        <f t="shared" si="5"/>
        <v>-132</v>
      </c>
      <c r="AB6" s="58">
        <f t="shared" si="6"/>
        <v>-200</v>
      </c>
      <c r="AC6" s="225">
        <v>0.995</v>
      </c>
      <c r="AD6" s="50"/>
      <c r="AE6" s="50"/>
      <c r="AF6" s="276" t="s">
        <v>294</v>
      </c>
      <c r="AG6" s="277">
        <f>AVERAGE(V5,V8,V10:V11,V14:V17,V20:V21,V32:V36,V40:V41,V43)</f>
        <v>7688.833333333333</v>
      </c>
      <c r="AH6" s="277">
        <f>AVERAGE(F5,F8,F10:F11,F14:F17,F20:F21,F32:F36,F40:F41,F43)</f>
        <v>7780</v>
      </c>
      <c r="AI6" s="277">
        <f t="shared" ref="AI6:AI11" si="7">ABS(AH6 - AG6)</f>
        <v>91.16666666666697</v>
      </c>
      <c r="AJ6" s="278">
        <f t="shared" ref="AJ6:AJ11" si="8">AI6 / AG6</f>
        <v>1.1857022088309927E-2</v>
      </c>
    </row>
    <row r="7" spans="1:36" s="1" customFormat="1" x14ac:dyDescent="0.2">
      <c r="A7" s="11" t="s">
        <v>28</v>
      </c>
      <c r="B7" s="12" t="s">
        <v>21</v>
      </c>
      <c r="C7" s="184" t="s">
        <v>52</v>
      </c>
      <c r="D7" s="12" t="s">
        <v>30</v>
      </c>
      <c r="E7" s="12">
        <v>6282895</v>
      </c>
      <c r="F7" s="13">
        <v>8100</v>
      </c>
      <c r="G7" s="14">
        <v>45485</v>
      </c>
      <c r="H7" s="15" t="s">
        <v>31</v>
      </c>
      <c r="I7" s="16" t="s">
        <v>27</v>
      </c>
      <c r="J7" s="16">
        <v>6283863</v>
      </c>
      <c r="K7" s="17">
        <v>8150</v>
      </c>
      <c r="L7" s="18">
        <v>45486</v>
      </c>
      <c r="M7" s="19" t="s">
        <v>44</v>
      </c>
      <c r="N7" s="20" t="s">
        <v>18</v>
      </c>
      <c r="O7" s="20"/>
      <c r="P7" s="20">
        <v>26</v>
      </c>
      <c r="Q7" s="21">
        <v>45486</v>
      </c>
      <c r="R7" s="20">
        <v>310</v>
      </c>
      <c r="S7" s="22">
        <v>8120</v>
      </c>
      <c r="T7" s="23">
        <v>120</v>
      </c>
      <c r="V7" s="37">
        <f t="shared" si="0"/>
        <v>8050</v>
      </c>
      <c r="W7" s="46">
        <f t="shared" si="1"/>
        <v>-70</v>
      </c>
      <c r="X7" s="26">
        <f t="shared" si="2"/>
        <v>-100</v>
      </c>
      <c r="Y7" s="25">
        <f t="shared" si="3"/>
        <v>-50</v>
      </c>
      <c r="Z7" s="38">
        <f t="shared" si="4"/>
        <v>50</v>
      </c>
      <c r="AA7" s="39">
        <f t="shared" si="5"/>
        <v>-30</v>
      </c>
      <c r="AB7" s="58">
        <f t="shared" si="6"/>
        <v>20</v>
      </c>
      <c r="AC7" s="225">
        <v>0.998</v>
      </c>
      <c r="AD7" s="50"/>
      <c r="AE7" s="50"/>
      <c r="AF7" s="275" t="s">
        <v>295</v>
      </c>
      <c r="AG7" s="279">
        <f>AVERAGE(V12,V13,V7,V18,V22)</f>
        <v>7660.8</v>
      </c>
      <c r="AH7" s="279">
        <f>AVERAGE(F12,F13,F7,F18,F22)</f>
        <v>7722</v>
      </c>
      <c r="AI7" s="279">
        <f t="shared" si="7"/>
        <v>61.199999999999818</v>
      </c>
      <c r="AJ7" s="280">
        <f t="shared" si="8"/>
        <v>7.9887218045112535E-3</v>
      </c>
    </row>
    <row r="8" spans="1:36" s="1" customFormat="1" x14ac:dyDescent="0.2">
      <c r="A8" s="11" t="s">
        <v>5</v>
      </c>
      <c r="B8" s="12" t="s">
        <v>21</v>
      </c>
      <c r="C8" s="12" t="s">
        <v>53</v>
      </c>
      <c r="D8" s="12" t="s">
        <v>15</v>
      </c>
      <c r="E8" s="12">
        <v>6283163</v>
      </c>
      <c r="F8" s="13">
        <v>7780</v>
      </c>
      <c r="G8" s="14">
        <v>45485</v>
      </c>
      <c r="H8" s="15" t="s">
        <v>7</v>
      </c>
      <c r="I8" s="16" t="s">
        <v>16</v>
      </c>
      <c r="J8" s="16">
        <v>6284658</v>
      </c>
      <c r="K8" s="17">
        <v>7710</v>
      </c>
      <c r="L8" s="18">
        <v>45489</v>
      </c>
      <c r="M8" s="19" t="s">
        <v>17</v>
      </c>
      <c r="N8" s="20" t="s">
        <v>18</v>
      </c>
      <c r="O8" s="20"/>
      <c r="P8" s="20">
        <v>25</v>
      </c>
      <c r="Q8" s="21">
        <v>45489</v>
      </c>
      <c r="R8" s="20">
        <v>55</v>
      </c>
      <c r="S8" s="22">
        <v>7689</v>
      </c>
      <c r="T8" s="23">
        <v>9</v>
      </c>
      <c r="V8" s="37">
        <f t="shared" si="0"/>
        <v>7689</v>
      </c>
      <c r="W8" s="28">
        <f t="shared" si="1"/>
        <v>0</v>
      </c>
      <c r="X8" s="45">
        <f t="shared" si="2"/>
        <v>-21</v>
      </c>
      <c r="Y8" s="199">
        <f t="shared" si="3"/>
        <v>-91</v>
      </c>
      <c r="Z8" s="38">
        <f t="shared" si="4"/>
        <v>-70</v>
      </c>
      <c r="AA8" s="39">
        <f t="shared" si="5"/>
        <v>-21</v>
      </c>
      <c r="AB8" s="58">
        <f t="shared" si="6"/>
        <v>-91</v>
      </c>
      <c r="AC8" s="225">
        <v>0.995</v>
      </c>
      <c r="AD8" s="50"/>
      <c r="AE8" s="50"/>
      <c r="AF8" s="276">
        <v>1</v>
      </c>
      <c r="AG8" s="277">
        <f>AVERAGE(V50:V63)</f>
        <v>7695.1428571428569</v>
      </c>
      <c r="AH8" s="277">
        <f>AVERAGE(F50:F63)</f>
        <v>7772.1428571428569</v>
      </c>
      <c r="AI8" s="277">
        <f t="shared" si="7"/>
        <v>77</v>
      </c>
      <c r="AJ8" s="278">
        <f t="shared" si="8"/>
        <v>1.0006311959306428E-2</v>
      </c>
    </row>
    <row r="9" spans="1:36" s="1" customFormat="1" x14ac:dyDescent="0.2">
      <c r="A9" s="11" t="s">
        <v>5</v>
      </c>
      <c r="B9" s="12" t="s">
        <v>21</v>
      </c>
      <c r="C9" s="184" t="s">
        <v>55</v>
      </c>
      <c r="D9" s="12" t="s">
        <v>30</v>
      </c>
      <c r="E9" s="12">
        <v>6282439</v>
      </c>
      <c r="F9" s="13">
        <v>3100</v>
      </c>
      <c r="G9" s="14">
        <v>45485</v>
      </c>
      <c r="H9" s="15" t="s">
        <v>7</v>
      </c>
      <c r="I9" s="16" t="s">
        <v>27</v>
      </c>
      <c r="J9" s="16">
        <v>6284536</v>
      </c>
      <c r="K9" s="17">
        <v>3100</v>
      </c>
      <c r="L9" s="18">
        <v>45489</v>
      </c>
      <c r="M9" s="19" t="s">
        <v>17</v>
      </c>
      <c r="N9" s="20" t="s">
        <v>18</v>
      </c>
      <c r="O9" s="20"/>
      <c r="P9" s="20">
        <v>10</v>
      </c>
      <c r="Q9" s="21">
        <v>45489</v>
      </c>
      <c r="R9" s="20">
        <v>310</v>
      </c>
      <c r="S9" s="22">
        <v>3100</v>
      </c>
      <c r="T9" s="23">
        <v>40</v>
      </c>
      <c r="V9" s="37">
        <f t="shared" si="0"/>
        <v>3090</v>
      </c>
      <c r="W9" s="24">
        <f t="shared" si="1"/>
        <v>-10</v>
      </c>
      <c r="X9" s="45">
        <f t="shared" si="2"/>
        <v>-10</v>
      </c>
      <c r="Y9" s="200">
        <f t="shared" si="3"/>
        <v>-10</v>
      </c>
      <c r="Z9" s="38">
        <f t="shared" si="4"/>
        <v>0</v>
      </c>
      <c r="AA9" s="39">
        <f t="shared" si="5"/>
        <v>0</v>
      </c>
      <c r="AB9" s="58">
        <f t="shared" si="6"/>
        <v>0</v>
      </c>
      <c r="AC9" s="225">
        <v>0.998</v>
      </c>
      <c r="AD9" s="50"/>
      <c r="AE9" s="50"/>
      <c r="AF9" s="281">
        <v>1002</v>
      </c>
      <c r="AG9" s="279">
        <f>AVERAGE(V29:V31,V37:V39,V42,V76:V77)</f>
        <v>7687.5555555555557</v>
      </c>
      <c r="AH9" s="279">
        <f>AVERAGE(F29:F31,F37:F39,F42,F76:F77)</f>
        <v>7754.4444444444443</v>
      </c>
      <c r="AI9" s="279">
        <f t="shared" si="7"/>
        <v>66.888888888888687</v>
      </c>
      <c r="AJ9" s="280">
        <f t="shared" si="8"/>
        <v>8.7009307972480514E-3</v>
      </c>
    </row>
    <row r="10" spans="1:36" s="1" customFormat="1" x14ac:dyDescent="0.2">
      <c r="A10" s="11" t="s">
        <v>5</v>
      </c>
      <c r="B10" s="12" t="s">
        <v>21</v>
      </c>
      <c r="C10" s="12" t="s">
        <v>61</v>
      </c>
      <c r="D10" s="12" t="s">
        <v>62</v>
      </c>
      <c r="E10" s="12">
        <v>6285496</v>
      </c>
      <c r="F10" s="13">
        <v>7780</v>
      </c>
      <c r="G10" s="14">
        <v>45490</v>
      </c>
      <c r="H10" s="15" t="s">
        <v>31</v>
      </c>
      <c r="I10" s="16" t="s">
        <v>63</v>
      </c>
      <c r="J10" s="16">
        <v>6285597</v>
      </c>
      <c r="K10" s="17">
        <v>7747</v>
      </c>
      <c r="L10" s="18">
        <v>45490</v>
      </c>
      <c r="M10" s="19" t="s">
        <v>35</v>
      </c>
      <c r="N10" s="20"/>
      <c r="O10" s="20"/>
      <c r="P10" s="20">
        <v>25</v>
      </c>
      <c r="Q10" s="21">
        <v>45490</v>
      </c>
      <c r="R10" s="20">
        <v>55</v>
      </c>
      <c r="S10" s="22">
        <v>7780</v>
      </c>
      <c r="T10" s="23">
        <v>40</v>
      </c>
      <c r="V10" s="37">
        <f t="shared" si="0"/>
        <v>7720</v>
      </c>
      <c r="W10" s="24">
        <f t="shared" si="1"/>
        <v>-60</v>
      </c>
      <c r="X10" s="27">
        <f t="shared" si="2"/>
        <v>-27</v>
      </c>
      <c r="Y10" s="200">
        <f t="shared" si="3"/>
        <v>-60</v>
      </c>
      <c r="Z10" s="38">
        <f t="shared" si="4"/>
        <v>-33</v>
      </c>
      <c r="AA10" s="39">
        <f t="shared" si="5"/>
        <v>33</v>
      </c>
      <c r="AB10" s="58">
        <f t="shared" si="6"/>
        <v>0</v>
      </c>
      <c r="AC10" s="225">
        <v>0.995</v>
      </c>
      <c r="AD10" s="50"/>
      <c r="AE10" s="50"/>
      <c r="AF10" s="282">
        <v>1003</v>
      </c>
      <c r="AG10" s="277">
        <f>AVERAGE(V70,V72:V73,V75,V78)</f>
        <v>7599.6</v>
      </c>
      <c r="AH10" s="277">
        <v>7681.6</v>
      </c>
      <c r="AI10" s="277">
        <f t="shared" si="7"/>
        <v>82</v>
      </c>
      <c r="AJ10" s="278">
        <f t="shared" si="8"/>
        <v>1.0790041581135848E-2</v>
      </c>
    </row>
    <row r="11" spans="1:36" s="1" customFormat="1" x14ac:dyDescent="0.2">
      <c r="A11" s="11" t="s">
        <v>5</v>
      </c>
      <c r="B11" s="12" t="s">
        <v>21</v>
      </c>
      <c r="C11" s="12" t="s">
        <v>72</v>
      </c>
      <c r="D11" s="12" t="s">
        <v>67</v>
      </c>
      <c r="E11" s="12">
        <v>6286568</v>
      </c>
      <c r="F11" s="13">
        <v>7780</v>
      </c>
      <c r="G11" s="14">
        <v>45490</v>
      </c>
      <c r="H11" s="15" t="s">
        <v>7</v>
      </c>
      <c r="I11" s="16" t="s">
        <v>27</v>
      </c>
      <c r="J11" s="16">
        <v>6286728</v>
      </c>
      <c r="K11" s="17">
        <v>7730</v>
      </c>
      <c r="L11" s="18">
        <v>45491</v>
      </c>
      <c r="M11" s="19" t="s">
        <v>17</v>
      </c>
      <c r="N11" s="20"/>
      <c r="O11" s="20"/>
      <c r="P11" s="20">
        <v>25</v>
      </c>
      <c r="Q11" s="21">
        <v>45491</v>
      </c>
      <c r="R11" s="20">
        <v>55</v>
      </c>
      <c r="S11" s="22">
        <v>7820</v>
      </c>
      <c r="T11" s="23">
        <v>24</v>
      </c>
      <c r="V11" s="37">
        <f t="shared" si="0"/>
        <v>7704</v>
      </c>
      <c r="W11" s="24">
        <f t="shared" si="1"/>
        <v>-116</v>
      </c>
      <c r="X11" s="27">
        <f t="shared" si="2"/>
        <v>-26</v>
      </c>
      <c r="Y11" s="200">
        <f t="shared" si="3"/>
        <v>-76</v>
      </c>
      <c r="Z11" s="38">
        <f t="shared" si="4"/>
        <v>-50</v>
      </c>
      <c r="AA11" s="39">
        <f t="shared" si="5"/>
        <v>90</v>
      </c>
      <c r="AB11" s="58">
        <f t="shared" si="6"/>
        <v>40</v>
      </c>
      <c r="AC11" s="225">
        <v>0.995</v>
      </c>
      <c r="AD11" s="50"/>
      <c r="AE11" s="50"/>
      <c r="AF11" s="281">
        <v>1005</v>
      </c>
      <c r="AG11" s="279">
        <f>AVERAGE(V74,V71)</f>
        <v>7675</v>
      </c>
      <c r="AH11" s="279">
        <f>AVERAGE(F74,F71)</f>
        <v>7845</v>
      </c>
      <c r="AI11" s="279">
        <f t="shared" si="7"/>
        <v>170</v>
      </c>
      <c r="AJ11" s="280">
        <f t="shared" si="8"/>
        <v>2.2149837133550489E-2</v>
      </c>
    </row>
    <row r="12" spans="1:36" s="1" customFormat="1" x14ac:dyDescent="0.2">
      <c r="A12" s="11" t="s">
        <v>5</v>
      </c>
      <c r="B12" s="12" t="s">
        <v>21</v>
      </c>
      <c r="C12" s="184" t="s">
        <v>68</v>
      </c>
      <c r="D12" s="12" t="s">
        <v>62</v>
      </c>
      <c r="E12" s="12">
        <v>6286740</v>
      </c>
      <c r="F12" s="13">
        <v>7780</v>
      </c>
      <c r="G12" s="14">
        <v>45491</v>
      </c>
      <c r="H12" s="15" t="s">
        <v>7</v>
      </c>
      <c r="I12" s="16" t="s">
        <v>27</v>
      </c>
      <c r="J12" s="16">
        <v>6286860</v>
      </c>
      <c r="K12" s="17">
        <v>7730</v>
      </c>
      <c r="L12" s="18">
        <v>45491</v>
      </c>
      <c r="M12" s="19" t="s">
        <v>17</v>
      </c>
      <c r="N12" s="20"/>
      <c r="O12" s="20"/>
      <c r="P12" s="20">
        <v>25</v>
      </c>
      <c r="Q12" s="21">
        <v>45491</v>
      </c>
      <c r="R12" s="20">
        <v>55</v>
      </c>
      <c r="S12" s="22">
        <v>7747</v>
      </c>
      <c r="T12" s="23">
        <v>67</v>
      </c>
      <c r="V12" s="37">
        <f t="shared" si="0"/>
        <v>7692</v>
      </c>
      <c r="W12" s="46">
        <f t="shared" si="1"/>
        <v>-55</v>
      </c>
      <c r="X12" s="27">
        <f t="shared" si="2"/>
        <v>-38</v>
      </c>
      <c r="Y12" s="199">
        <f t="shared" si="3"/>
        <v>-88</v>
      </c>
      <c r="Z12" s="38">
        <f t="shared" si="4"/>
        <v>-50</v>
      </c>
      <c r="AA12" s="39">
        <f t="shared" si="5"/>
        <v>17</v>
      </c>
      <c r="AB12" s="58">
        <f t="shared" si="6"/>
        <v>-33</v>
      </c>
      <c r="AC12" s="225">
        <v>0.998</v>
      </c>
    </row>
    <row r="13" spans="1:36" s="1" customFormat="1" x14ac:dyDescent="0.2">
      <c r="A13" s="11" t="s">
        <v>5</v>
      </c>
      <c r="B13" s="12" t="s">
        <v>21</v>
      </c>
      <c r="C13" s="184" t="s">
        <v>76</v>
      </c>
      <c r="D13" s="12" t="s">
        <v>62</v>
      </c>
      <c r="E13" s="12">
        <v>6285559</v>
      </c>
      <c r="F13" s="13">
        <v>7250</v>
      </c>
      <c r="G13" s="14">
        <v>45490</v>
      </c>
      <c r="H13" s="15" t="s">
        <v>7</v>
      </c>
      <c r="I13" s="16" t="s">
        <v>66</v>
      </c>
      <c r="J13" s="16">
        <v>6286355</v>
      </c>
      <c r="K13" s="17">
        <v>7240</v>
      </c>
      <c r="L13" s="18">
        <v>45490</v>
      </c>
      <c r="M13" s="19"/>
      <c r="N13" s="20"/>
      <c r="O13" s="20"/>
      <c r="P13" s="20">
        <v>23</v>
      </c>
      <c r="Q13" s="21">
        <v>45491</v>
      </c>
      <c r="R13" s="20">
        <v>310</v>
      </c>
      <c r="S13" s="22">
        <v>7020</v>
      </c>
      <c r="T13" s="23">
        <v>180</v>
      </c>
      <c r="V13" s="37">
        <f t="shared" si="0"/>
        <v>7195</v>
      </c>
      <c r="W13" s="24">
        <f t="shared" si="1"/>
        <v>175</v>
      </c>
      <c r="X13" s="27">
        <f t="shared" si="2"/>
        <v>-45</v>
      </c>
      <c r="Y13" s="200">
        <f t="shared" si="3"/>
        <v>-55</v>
      </c>
      <c r="Z13" s="38">
        <f t="shared" si="4"/>
        <v>-10</v>
      </c>
      <c r="AA13" s="39">
        <f t="shared" si="5"/>
        <v>-220</v>
      </c>
      <c r="AB13" s="58">
        <f t="shared" si="6"/>
        <v>-230</v>
      </c>
      <c r="AC13" s="225">
        <v>0.998</v>
      </c>
    </row>
    <row r="14" spans="1:36" s="1" customFormat="1" x14ac:dyDescent="0.2">
      <c r="A14" s="11" t="s">
        <v>5</v>
      </c>
      <c r="B14" s="12" t="s">
        <v>21</v>
      </c>
      <c r="C14" s="12" t="s">
        <v>84</v>
      </c>
      <c r="D14" s="12" t="s">
        <v>6</v>
      </c>
      <c r="E14" s="12">
        <v>6287259</v>
      </c>
      <c r="F14" s="13">
        <v>7780</v>
      </c>
      <c r="G14" s="14">
        <v>45491</v>
      </c>
      <c r="H14" s="15" t="s">
        <v>7</v>
      </c>
      <c r="I14" s="16" t="s">
        <v>40</v>
      </c>
      <c r="J14" s="16">
        <v>6287756</v>
      </c>
      <c r="K14" s="17">
        <v>7732</v>
      </c>
      <c r="L14" s="18">
        <v>45492</v>
      </c>
      <c r="M14" s="19" t="s">
        <v>35</v>
      </c>
      <c r="N14" s="20" t="s">
        <v>36</v>
      </c>
      <c r="O14" s="20"/>
      <c r="P14" s="20">
        <v>25</v>
      </c>
      <c r="Q14" s="21">
        <v>45492</v>
      </c>
      <c r="R14" s="20">
        <v>60</v>
      </c>
      <c r="S14" s="22">
        <v>7707</v>
      </c>
      <c r="T14" s="23">
        <v>24</v>
      </c>
      <c r="V14" s="37">
        <f t="shared" si="0"/>
        <v>7709</v>
      </c>
      <c r="W14" s="28">
        <f t="shared" si="1"/>
        <v>2</v>
      </c>
      <c r="X14" s="45">
        <f t="shared" si="2"/>
        <v>-23</v>
      </c>
      <c r="Y14" s="199">
        <f t="shared" si="3"/>
        <v>-71</v>
      </c>
      <c r="Z14" s="38">
        <f t="shared" si="4"/>
        <v>-48</v>
      </c>
      <c r="AA14" s="39">
        <f t="shared" si="5"/>
        <v>-25</v>
      </c>
      <c r="AB14" s="58">
        <f t="shared" si="6"/>
        <v>-73</v>
      </c>
      <c r="AC14" s="225">
        <v>0.995</v>
      </c>
    </row>
    <row r="15" spans="1:36" s="1" customFormat="1" x14ac:dyDescent="0.2">
      <c r="A15" s="11" t="s">
        <v>5</v>
      </c>
      <c r="B15" s="12" t="s">
        <v>21</v>
      </c>
      <c r="C15" s="12" t="s">
        <v>77</v>
      </c>
      <c r="D15" s="12" t="s">
        <v>62</v>
      </c>
      <c r="E15" s="12">
        <v>6286795</v>
      </c>
      <c r="F15" s="13">
        <v>7780</v>
      </c>
      <c r="G15" s="14">
        <v>45491</v>
      </c>
      <c r="H15" s="15" t="s">
        <v>7</v>
      </c>
      <c r="I15" s="16" t="s">
        <v>16</v>
      </c>
      <c r="J15" s="16">
        <v>6287160</v>
      </c>
      <c r="K15" s="17">
        <v>7730</v>
      </c>
      <c r="L15" s="18">
        <v>45491</v>
      </c>
      <c r="M15" s="19" t="s">
        <v>17</v>
      </c>
      <c r="N15" s="20" t="s">
        <v>51</v>
      </c>
      <c r="O15" s="20"/>
      <c r="P15" s="20">
        <v>25</v>
      </c>
      <c r="Q15" s="21">
        <v>45491</v>
      </c>
      <c r="R15" s="20">
        <v>110</v>
      </c>
      <c r="S15" s="22">
        <v>7750</v>
      </c>
      <c r="T15" s="23">
        <v>50</v>
      </c>
      <c r="V15" s="37">
        <f t="shared" si="0"/>
        <v>7785</v>
      </c>
      <c r="W15" s="46">
        <f t="shared" si="1"/>
        <v>35</v>
      </c>
      <c r="X15" s="26">
        <f t="shared" si="2"/>
        <v>55</v>
      </c>
      <c r="Y15" s="25">
        <f t="shared" si="3"/>
        <v>5</v>
      </c>
      <c r="Z15" s="38">
        <f t="shared" si="4"/>
        <v>-50</v>
      </c>
      <c r="AA15" s="39">
        <f t="shared" si="5"/>
        <v>20</v>
      </c>
      <c r="AB15" s="58">
        <f t="shared" si="6"/>
        <v>-30</v>
      </c>
      <c r="AC15" s="225">
        <v>0.995</v>
      </c>
    </row>
    <row r="16" spans="1:36" s="1" customFormat="1" x14ac:dyDescent="0.2">
      <c r="A16" s="11" t="s">
        <v>5</v>
      </c>
      <c r="B16" s="12" t="s">
        <v>21</v>
      </c>
      <c r="C16" s="12" t="s">
        <v>102</v>
      </c>
      <c r="D16" s="12" t="s">
        <v>62</v>
      </c>
      <c r="E16" s="12">
        <v>6288850</v>
      </c>
      <c r="F16" s="13">
        <v>7780</v>
      </c>
      <c r="G16" s="14">
        <v>45493</v>
      </c>
      <c r="H16" s="15" t="s">
        <v>7</v>
      </c>
      <c r="I16" s="16" t="s">
        <v>16</v>
      </c>
      <c r="J16" s="16">
        <v>6289634</v>
      </c>
      <c r="K16" s="17">
        <v>7470</v>
      </c>
      <c r="L16" s="18">
        <v>45495</v>
      </c>
      <c r="M16" s="19" t="s">
        <v>44</v>
      </c>
      <c r="N16" s="20" t="s">
        <v>74</v>
      </c>
      <c r="O16" s="20"/>
      <c r="P16" s="20">
        <v>24</v>
      </c>
      <c r="Q16" s="21">
        <v>45495</v>
      </c>
      <c r="R16" s="20">
        <v>55</v>
      </c>
      <c r="S16" s="22">
        <v>7345</v>
      </c>
      <c r="T16" s="23">
        <v>25</v>
      </c>
      <c r="V16" s="37">
        <f t="shared" si="0"/>
        <v>7400</v>
      </c>
      <c r="W16" s="28">
        <f t="shared" si="1"/>
        <v>55</v>
      </c>
      <c r="X16" s="45">
        <f t="shared" si="2"/>
        <v>-70</v>
      </c>
      <c r="Y16" s="199">
        <f t="shared" si="3"/>
        <v>-380</v>
      </c>
      <c r="Z16" s="38">
        <f t="shared" si="4"/>
        <v>-310</v>
      </c>
      <c r="AA16" s="39">
        <f t="shared" si="5"/>
        <v>-125</v>
      </c>
      <c r="AB16" s="58">
        <f t="shared" si="6"/>
        <v>-435</v>
      </c>
      <c r="AC16" s="225">
        <v>0.995</v>
      </c>
    </row>
    <row r="17" spans="1:35" s="1" customFormat="1" x14ac:dyDescent="0.2">
      <c r="A17" s="11" t="s">
        <v>5</v>
      </c>
      <c r="B17" s="12" t="s">
        <v>21</v>
      </c>
      <c r="C17" s="12" t="s">
        <v>103</v>
      </c>
      <c r="D17" s="12" t="s">
        <v>62</v>
      </c>
      <c r="E17" s="12">
        <v>6288754</v>
      </c>
      <c r="F17" s="13">
        <v>7780</v>
      </c>
      <c r="G17" s="14">
        <v>45493</v>
      </c>
      <c r="H17" s="15" t="s">
        <v>7</v>
      </c>
      <c r="I17" s="16" t="s">
        <v>16</v>
      </c>
      <c r="J17" s="16">
        <v>6288972</v>
      </c>
      <c r="K17" s="17">
        <v>7720</v>
      </c>
      <c r="L17" s="18">
        <v>45493</v>
      </c>
      <c r="M17" s="19" t="s">
        <v>17</v>
      </c>
      <c r="N17" s="20" t="s">
        <v>18</v>
      </c>
      <c r="O17" s="20"/>
      <c r="P17" s="20">
        <v>25</v>
      </c>
      <c r="Q17" s="21">
        <v>45493</v>
      </c>
      <c r="R17" s="20">
        <v>55</v>
      </c>
      <c r="S17" s="22">
        <v>7746</v>
      </c>
      <c r="T17" s="23">
        <v>26</v>
      </c>
      <c r="V17" s="37">
        <f t="shared" si="0"/>
        <v>7706</v>
      </c>
      <c r="W17" s="46">
        <f t="shared" si="1"/>
        <v>-40</v>
      </c>
      <c r="X17" s="27">
        <f t="shared" si="2"/>
        <v>-14</v>
      </c>
      <c r="Y17" s="199">
        <f t="shared" si="3"/>
        <v>-74</v>
      </c>
      <c r="Z17" s="38">
        <f t="shared" si="4"/>
        <v>-60</v>
      </c>
      <c r="AA17" s="39">
        <f t="shared" si="5"/>
        <v>26</v>
      </c>
      <c r="AB17" s="58">
        <f t="shared" si="6"/>
        <v>-34</v>
      </c>
      <c r="AC17" s="225">
        <v>0.995</v>
      </c>
    </row>
    <row r="18" spans="1:35" s="1" customFormat="1" x14ac:dyDescent="0.2">
      <c r="A18" s="11" t="s">
        <v>5</v>
      </c>
      <c r="B18" s="12" t="s">
        <v>21</v>
      </c>
      <c r="C18" s="184" t="s">
        <v>104</v>
      </c>
      <c r="D18" s="12" t="s">
        <v>6</v>
      </c>
      <c r="E18" s="12">
        <v>6288378</v>
      </c>
      <c r="F18" s="13">
        <v>7700</v>
      </c>
      <c r="G18" s="14">
        <v>45492</v>
      </c>
      <c r="H18" s="15" t="s">
        <v>7</v>
      </c>
      <c r="I18" s="16" t="s">
        <v>66</v>
      </c>
      <c r="J18" s="16">
        <v>6289369</v>
      </c>
      <c r="K18" s="17">
        <v>7690</v>
      </c>
      <c r="L18" s="18">
        <v>45493</v>
      </c>
      <c r="M18" s="19" t="s">
        <v>17</v>
      </c>
      <c r="N18" s="20" t="s">
        <v>51</v>
      </c>
      <c r="O18" s="20"/>
      <c r="P18" s="20">
        <v>25</v>
      </c>
      <c r="Q18" s="21">
        <v>45494</v>
      </c>
      <c r="R18" s="20">
        <v>310</v>
      </c>
      <c r="S18" s="22">
        <v>7687</v>
      </c>
      <c r="T18" s="23">
        <v>57</v>
      </c>
      <c r="V18" s="37">
        <f t="shared" si="0"/>
        <v>7682</v>
      </c>
      <c r="W18" s="28">
        <f t="shared" si="1"/>
        <v>-5</v>
      </c>
      <c r="X18" s="45">
        <f t="shared" si="2"/>
        <v>-8</v>
      </c>
      <c r="Y18" s="199">
        <f t="shared" si="3"/>
        <v>-18</v>
      </c>
      <c r="Z18" s="38">
        <f t="shared" si="4"/>
        <v>-10</v>
      </c>
      <c r="AA18" s="39">
        <f t="shared" si="5"/>
        <v>-3</v>
      </c>
      <c r="AB18" s="58">
        <f t="shared" si="6"/>
        <v>-13</v>
      </c>
      <c r="AC18" s="225">
        <v>0.998</v>
      </c>
    </row>
    <row r="19" spans="1:35" s="1" customFormat="1" x14ac:dyDescent="0.2">
      <c r="A19" s="11" t="s">
        <v>5</v>
      </c>
      <c r="B19" s="12" t="s">
        <v>21</v>
      </c>
      <c r="C19" s="184" t="s">
        <v>114</v>
      </c>
      <c r="D19" s="12" t="s">
        <v>62</v>
      </c>
      <c r="E19" s="12">
        <v>6288932</v>
      </c>
      <c r="F19" s="13">
        <v>7780</v>
      </c>
      <c r="G19" s="14">
        <v>45493</v>
      </c>
      <c r="H19" s="15" t="s">
        <v>7</v>
      </c>
      <c r="I19" s="16" t="s">
        <v>8</v>
      </c>
      <c r="J19" s="16">
        <v>6289766</v>
      </c>
      <c r="K19" s="17">
        <v>7770</v>
      </c>
      <c r="L19" s="18">
        <v>45495</v>
      </c>
      <c r="M19" s="19" t="s">
        <v>44</v>
      </c>
      <c r="N19" s="20" t="s">
        <v>115</v>
      </c>
      <c r="O19" s="20"/>
      <c r="P19" s="20">
        <v>25</v>
      </c>
      <c r="Q19" s="21">
        <v>45495</v>
      </c>
      <c r="R19" s="20">
        <v>310</v>
      </c>
      <c r="S19" s="22">
        <v>7780</v>
      </c>
      <c r="T19" s="23">
        <v>140</v>
      </c>
      <c r="V19" s="37">
        <f t="shared" si="0"/>
        <v>7765</v>
      </c>
      <c r="W19" s="24">
        <f t="shared" si="1"/>
        <v>-15</v>
      </c>
      <c r="X19" s="27">
        <f t="shared" si="2"/>
        <v>-5</v>
      </c>
      <c r="Y19" s="200">
        <f t="shared" si="3"/>
        <v>-15</v>
      </c>
      <c r="Z19" s="38">
        <f t="shared" si="4"/>
        <v>-10</v>
      </c>
      <c r="AA19" s="39">
        <f t="shared" si="5"/>
        <v>10</v>
      </c>
      <c r="AB19" s="58">
        <f t="shared" si="6"/>
        <v>0</v>
      </c>
      <c r="AC19" s="225">
        <v>0.998</v>
      </c>
    </row>
    <row r="20" spans="1:35" s="1" customFormat="1" x14ac:dyDescent="0.2">
      <c r="A20" s="11" t="s">
        <v>5</v>
      </c>
      <c r="B20" s="12" t="s">
        <v>21</v>
      </c>
      <c r="C20" s="12" t="s">
        <v>196</v>
      </c>
      <c r="D20" s="12" t="s">
        <v>6</v>
      </c>
      <c r="E20" s="12">
        <v>6289583</v>
      </c>
      <c r="F20" s="13">
        <v>7780</v>
      </c>
      <c r="G20" s="14">
        <v>45492</v>
      </c>
      <c r="H20" s="15" t="s">
        <v>7</v>
      </c>
      <c r="I20" s="16" t="s">
        <v>66</v>
      </c>
      <c r="J20" s="16">
        <v>6288652</v>
      </c>
      <c r="K20" s="17">
        <v>7750</v>
      </c>
      <c r="L20" s="18">
        <v>45492</v>
      </c>
      <c r="M20" s="19"/>
      <c r="N20" s="20" t="s">
        <v>25</v>
      </c>
      <c r="O20" s="20"/>
      <c r="P20" s="20">
        <v>25</v>
      </c>
      <c r="Q20" s="21">
        <v>45493</v>
      </c>
      <c r="R20" s="20">
        <v>55</v>
      </c>
      <c r="S20" s="22">
        <v>7708</v>
      </c>
      <c r="T20" s="23">
        <v>27</v>
      </c>
      <c r="V20" s="37">
        <f t="shared" si="0"/>
        <v>7707</v>
      </c>
      <c r="W20" s="28">
        <f t="shared" si="1"/>
        <v>-1</v>
      </c>
      <c r="X20" s="45">
        <f t="shared" si="2"/>
        <v>-43</v>
      </c>
      <c r="Y20" s="199">
        <f t="shared" si="3"/>
        <v>-73</v>
      </c>
      <c r="Z20" s="38">
        <f t="shared" si="4"/>
        <v>-30</v>
      </c>
      <c r="AA20" s="39">
        <f t="shared" si="5"/>
        <v>-42</v>
      </c>
      <c r="AB20" s="58">
        <f t="shared" si="6"/>
        <v>-72</v>
      </c>
      <c r="AC20" s="225">
        <v>0.995</v>
      </c>
    </row>
    <row r="21" spans="1:35" s="1" customFormat="1" x14ac:dyDescent="0.2">
      <c r="A21" s="11" t="s">
        <v>5</v>
      </c>
      <c r="B21" s="12" t="s">
        <v>21</v>
      </c>
      <c r="C21" s="12" t="s">
        <v>126</v>
      </c>
      <c r="D21" s="12" t="s">
        <v>127</v>
      </c>
      <c r="E21" s="12">
        <v>6289013</v>
      </c>
      <c r="F21" s="13">
        <v>7780</v>
      </c>
      <c r="G21" s="14">
        <v>45493</v>
      </c>
      <c r="H21" s="15" t="s">
        <v>7</v>
      </c>
      <c r="I21" s="16" t="s">
        <v>121</v>
      </c>
      <c r="J21" s="16">
        <v>6290124</v>
      </c>
      <c r="K21" s="17">
        <v>7720</v>
      </c>
      <c r="L21" s="18">
        <v>45495</v>
      </c>
      <c r="M21" s="19" t="s">
        <v>44</v>
      </c>
      <c r="N21" s="20" t="s">
        <v>25</v>
      </c>
      <c r="O21" s="20"/>
      <c r="P21" s="20">
        <v>25</v>
      </c>
      <c r="Q21" s="21">
        <v>45495</v>
      </c>
      <c r="R21" s="20">
        <v>55</v>
      </c>
      <c r="S21" s="22">
        <v>7722</v>
      </c>
      <c r="T21" s="23">
        <v>42</v>
      </c>
      <c r="V21" s="37">
        <f t="shared" si="0"/>
        <v>7722</v>
      </c>
      <c r="W21" s="28">
        <f t="shared" si="1"/>
        <v>0</v>
      </c>
      <c r="X21" s="45">
        <f t="shared" si="2"/>
        <v>2</v>
      </c>
      <c r="Y21" s="199">
        <f t="shared" si="3"/>
        <v>-58</v>
      </c>
      <c r="Z21" s="38">
        <f t="shared" si="4"/>
        <v>-60</v>
      </c>
      <c r="AA21" s="39">
        <f t="shared" si="5"/>
        <v>2</v>
      </c>
      <c r="AB21" s="58">
        <f t="shared" si="6"/>
        <v>-58</v>
      </c>
      <c r="AC21" s="225">
        <v>0.995</v>
      </c>
    </row>
    <row r="22" spans="1:35" s="1" customFormat="1" x14ac:dyDescent="0.2">
      <c r="A22" s="11" t="s">
        <v>5</v>
      </c>
      <c r="B22" s="12" t="s">
        <v>21</v>
      </c>
      <c r="C22" s="184" t="s">
        <v>168</v>
      </c>
      <c r="D22" s="12" t="s">
        <v>62</v>
      </c>
      <c r="E22" s="12">
        <v>6288798</v>
      </c>
      <c r="F22" s="13">
        <v>7780</v>
      </c>
      <c r="G22" s="14">
        <v>45493</v>
      </c>
      <c r="H22" s="15" t="s">
        <v>163</v>
      </c>
      <c r="I22" s="16" t="s">
        <v>8</v>
      </c>
      <c r="J22" s="16">
        <v>6292190</v>
      </c>
      <c r="K22" s="17">
        <v>7738</v>
      </c>
      <c r="L22" s="18">
        <v>45497</v>
      </c>
      <c r="M22" s="19" t="s">
        <v>39</v>
      </c>
      <c r="N22" s="20" t="s">
        <v>41</v>
      </c>
      <c r="O22" s="20">
        <v>15</v>
      </c>
      <c r="P22" s="20"/>
      <c r="Q22" s="21">
        <v>45497</v>
      </c>
      <c r="R22" s="20">
        <v>505</v>
      </c>
      <c r="S22" s="22">
        <v>7735</v>
      </c>
      <c r="T22" s="23">
        <v>185</v>
      </c>
      <c r="V22" s="37">
        <f t="shared" si="0"/>
        <v>7685</v>
      </c>
      <c r="W22" s="28">
        <f t="shared" si="1"/>
        <v>-50</v>
      </c>
      <c r="X22" s="45">
        <f t="shared" si="2"/>
        <v>-53</v>
      </c>
      <c r="Y22" s="199">
        <f t="shared" si="3"/>
        <v>-95</v>
      </c>
      <c r="Z22" s="38">
        <f t="shared" si="4"/>
        <v>-42</v>
      </c>
      <c r="AA22" s="39">
        <f t="shared" si="5"/>
        <v>-3</v>
      </c>
      <c r="AB22" s="58">
        <f t="shared" si="6"/>
        <v>-45</v>
      </c>
      <c r="AC22" s="225">
        <v>0.998</v>
      </c>
    </row>
    <row r="23" spans="1:35" s="1" customFormat="1" ht="80.099999999999994" customHeight="1" x14ac:dyDescent="0.2">
      <c r="A23" s="183"/>
      <c r="B23" s="183"/>
      <c r="C23" s="183"/>
      <c r="D23" s="183"/>
      <c r="E23" s="183"/>
      <c r="F23" s="183"/>
      <c r="G23" s="213"/>
      <c r="H23" s="213"/>
      <c r="I23" s="213"/>
      <c r="J23" s="213"/>
      <c r="K23" s="213"/>
      <c r="L23" s="213"/>
      <c r="M23" s="213"/>
      <c r="N23" s="213"/>
      <c r="O23" s="183"/>
      <c r="P23" s="183"/>
      <c r="Q23" s="213"/>
      <c r="R23" s="183"/>
      <c r="S23" s="183"/>
      <c r="T23" s="213"/>
      <c r="U23" s="209"/>
      <c r="V23" s="213"/>
      <c r="W23" s="182"/>
      <c r="X23" s="182"/>
      <c r="Y23" s="182"/>
      <c r="Z23" s="183"/>
      <c r="AA23" s="183"/>
      <c r="AB23" s="183"/>
      <c r="AC23" s="213"/>
      <c r="AD23" s="209"/>
      <c r="AE23" s="209"/>
      <c r="AF23" s="209"/>
      <c r="AG23" s="209"/>
      <c r="AH23" s="50"/>
      <c r="AI23" s="50"/>
    </row>
    <row r="24" spans="1:35" s="1" customFormat="1" x14ac:dyDescent="0.2">
      <c r="A24" s="209"/>
      <c r="B24" s="209"/>
      <c r="C24" s="209"/>
      <c r="D24" s="209"/>
      <c r="E24" s="209"/>
      <c r="F24" s="213"/>
      <c r="G24" s="153"/>
      <c r="H24" s="209"/>
      <c r="I24" s="209"/>
      <c r="J24" s="209"/>
      <c r="K24" s="213"/>
      <c r="L24" s="153"/>
      <c r="M24" s="209"/>
      <c r="N24" s="209"/>
      <c r="O24" s="209"/>
      <c r="P24" s="209"/>
      <c r="Q24" s="153"/>
      <c r="R24" s="209"/>
      <c r="S24" s="213"/>
      <c r="T24" s="209"/>
      <c r="U24" s="209"/>
      <c r="V24" s="213"/>
      <c r="W24" s="213"/>
      <c r="X24" s="209"/>
      <c r="Y24" s="154"/>
      <c r="Z24" s="209"/>
      <c r="AA24" s="209"/>
      <c r="AB24" s="209"/>
      <c r="AC24" s="213"/>
      <c r="AD24" s="209"/>
    </row>
    <row r="25" spans="1:35" s="1" customFormat="1" x14ac:dyDescent="0.2">
      <c r="A25" s="209"/>
      <c r="B25" s="209"/>
      <c r="C25" s="209"/>
      <c r="D25" s="209"/>
      <c r="E25" s="209"/>
      <c r="F25" s="213"/>
      <c r="G25" s="153"/>
      <c r="H25" s="209"/>
      <c r="I25" s="209"/>
      <c r="J25" s="209"/>
      <c r="K25" s="213"/>
      <c r="L25" s="153"/>
      <c r="M25" s="209"/>
      <c r="N25" s="209"/>
      <c r="O25" s="209"/>
      <c r="P25" s="209"/>
      <c r="Q25" s="153"/>
      <c r="R25" s="209"/>
      <c r="S25" s="213"/>
      <c r="T25" s="209"/>
      <c r="U25" s="209"/>
      <c r="V25" s="213"/>
      <c r="W25" s="209"/>
      <c r="X25" s="213"/>
      <c r="Y25" s="154"/>
      <c r="Z25" s="209"/>
      <c r="AA25" s="209"/>
      <c r="AB25" s="209"/>
      <c r="AC25" s="213"/>
      <c r="AD25" s="209"/>
    </row>
    <row r="26" spans="1:35" s="1" customFormat="1" x14ac:dyDescent="0.2">
      <c r="A26" s="209"/>
      <c r="B26" s="209"/>
      <c r="C26" s="209"/>
      <c r="D26" s="209"/>
      <c r="E26" s="209"/>
      <c r="F26" s="213"/>
      <c r="G26" s="153"/>
      <c r="H26" s="209"/>
      <c r="I26" s="209"/>
      <c r="J26" s="209"/>
      <c r="K26" s="213"/>
      <c r="L26" s="153"/>
      <c r="M26" s="209"/>
      <c r="N26" s="209"/>
      <c r="O26" s="209"/>
      <c r="P26" s="209"/>
      <c r="Q26" s="153"/>
      <c r="R26" s="209"/>
      <c r="S26" s="213"/>
      <c r="T26" s="209"/>
      <c r="U26" s="209"/>
      <c r="V26" s="213"/>
      <c r="W26" s="209"/>
      <c r="X26" s="213"/>
      <c r="Y26" s="154"/>
      <c r="Z26" s="209"/>
      <c r="AA26" s="209"/>
      <c r="AB26" s="209"/>
      <c r="AC26" s="213"/>
      <c r="AD26" s="209"/>
    </row>
    <row r="27" spans="1:35" s="1" customFormat="1" ht="31.5" thickBot="1" x14ac:dyDescent="0.25">
      <c r="A27" s="209"/>
      <c r="B27" s="209"/>
      <c r="C27" s="209"/>
      <c r="D27" s="209"/>
      <c r="E27" s="209"/>
      <c r="F27" s="213"/>
      <c r="G27" s="153"/>
      <c r="H27" s="209"/>
      <c r="I27" s="209"/>
      <c r="J27" s="209"/>
      <c r="K27" s="213"/>
      <c r="L27" s="153"/>
      <c r="M27" s="209"/>
      <c r="N27" s="209"/>
      <c r="O27" s="209"/>
      <c r="P27" s="209"/>
      <c r="Q27" s="153"/>
      <c r="R27" s="209"/>
      <c r="S27" s="213"/>
      <c r="T27" s="209"/>
      <c r="U27" s="209"/>
      <c r="V27" s="213"/>
      <c r="W27" s="213"/>
      <c r="X27" s="209"/>
      <c r="Y27" s="154"/>
      <c r="Z27" s="209"/>
      <c r="AA27" s="209"/>
      <c r="AB27" s="209"/>
      <c r="AC27" s="213"/>
      <c r="AD27" s="209"/>
    </row>
    <row r="28" spans="1:35" s="1" customFormat="1" ht="80.099999999999994" customHeight="1" thickBot="1" x14ac:dyDescent="0.25">
      <c r="A28" s="253" t="s">
        <v>86</v>
      </c>
      <c r="B28" s="254" t="s">
        <v>136</v>
      </c>
      <c r="C28" s="254" t="s">
        <v>87</v>
      </c>
      <c r="D28" s="254" t="s">
        <v>88</v>
      </c>
      <c r="E28" s="254" t="s">
        <v>89</v>
      </c>
      <c r="F28" s="254" t="s">
        <v>90</v>
      </c>
      <c r="G28" s="207" t="s">
        <v>3</v>
      </c>
      <c r="H28" s="210" t="s">
        <v>9</v>
      </c>
      <c r="I28" s="211" t="s">
        <v>10</v>
      </c>
      <c r="J28" s="211" t="s">
        <v>1</v>
      </c>
      <c r="K28" s="211" t="s">
        <v>2</v>
      </c>
      <c r="L28" s="212" t="s">
        <v>3</v>
      </c>
      <c r="M28" s="264" t="s">
        <v>9</v>
      </c>
      <c r="N28" s="265" t="s">
        <v>10</v>
      </c>
      <c r="O28" s="266" t="s">
        <v>11</v>
      </c>
      <c r="P28" s="266" t="s">
        <v>12</v>
      </c>
      <c r="Q28" s="265" t="s">
        <v>3</v>
      </c>
      <c r="R28" s="266" t="s">
        <v>100</v>
      </c>
      <c r="S28" s="266" t="s">
        <v>95</v>
      </c>
      <c r="T28" s="267" t="s">
        <v>13</v>
      </c>
      <c r="U28" s="209"/>
      <c r="V28" s="271" t="s">
        <v>60</v>
      </c>
      <c r="W28" s="272" t="s">
        <v>91</v>
      </c>
      <c r="X28" s="272" t="s">
        <v>92</v>
      </c>
      <c r="Y28" s="273" t="s">
        <v>93</v>
      </c>
      <c r="Z28" s="183" t="s">
        <v>94</v>
      </c>
      <c r="AA28" s="151" t="s">
        <v>117</v>
      </c>
      <c r="AB28" s="152" t="s">
        <v>118</v>
      </c>
      <c r="AC28" s="185" t="s">
        <v>197</v>
      </c>
      <c r="AD28" s="209"/>
      <c r="AE28" s="209"/>
      <c r="AF28" s="209"/>
      <c r="AG28" s="209"/>
      <c r="AH28" s="50"/>
      <c r="AI28" s="50"/>
    </row>
    <row r="29" spans="1:35" s="1" customFormat="1" x14ac:dyDescent="0.2">
      <c r="A29" s="11" t="s">
        <v>5</v>
      </c>
      <c r="B29" s="12" t="s">
        <v>21</v>
      </c>
      <c r="C29" s="180" t="s">
        <v>189</v>
      </c>
      <c r="D29" s="12" t="s">
        <v>6</v>
      </c>
      <c r="E29" s="12">
        <v>6295335</v>
      </c>
      <c r="F29" s="13">
        <v>7680</v>
      </c>
      <c r="G29" s="14">
        <v>45500</v>
      </c>
      <c r="H29" s="15" t="s">
        <v>7</v>
      </c>
      <c r="I29" s="16" t="s">
        <v>8</v>
      </c>
      <c r="J29" s="16">
        <v>6295609</v>
      </c>
      <c r="K29" s="17">
        <v>7670</v>
      </c>
      <c r="L29" s="18">
        <v>45500</v>
      </c>
      <c r="M29" s="19" t="s">
        <v>35</v>
      </c>
      <c r="N29" s="20" t="s">
        <v>115</v>
      </c>
      <c r="O29" s="20">
        <v>15</v>
      </c>
      <c r="P29" s="20"/>
      <c r="Q29" s="21">
        <v>45500</v>
      </c>
      <c r="R29" s="20">
        <v>500</v>
      </c>
      <c r="S29" s="22">
        <v>7650</v>
      </c>
      <c r="T29" s="23">
        <v>160</v>
      </c>
      <c r="V29" s="37">
        <f t="shared" ref="V29:V43" si="9">IF(RIGHT(C29, 1)="1",
    IF(O29&lt;&gt;"", 500*O29 + T29 + IF(R29&lt;=110, R29, 0), IF(P29&lt;&gt;"", 305*P29 + T29 + IF(R29&lt;=110, R29, 0), "")),
    IF(O29&lt;&gt;"", 500*O29 + T29, IF(P29&lt;&gt;"", 305*P29 + T29, ""))
)</f>
        <v>7660</v>
      </c>
      <c r="W29" s="28">
        <f t="shared" ref="W29:W43" si="10">IF(OR(ISBLANK(V29), ISBLANK(S29), NOT(ISNUMBER(V29)), NOT(ISNUMBER(S29))), "", V29-S29)</f>
        <v>10</v>
      </c>
      <c r="X29" s="45">
        <f t="shared" ref="X29:X43" si="11">IF(OR(ISBLANK(V29), ISBLANK(K29), NOT(ISNUMBER(V29)), NOT(ISNUMBER(K29))), "", V29-K29)</f>
        <v>-10</v>
      </c>
      <c r="Y29" s="199">
        <f t="shared" ref="Y29:Y43" si="12">IF(OR(ISBLANK(V29), ISBLANK(F29), NOT(ISNUMBER(V29)), NOT(ISNUMBER(F29))), "", V29-F29)</f>
        <v>-20</v>
      </c>
      <c r="Z29" s="38">
        <f t="shared" ref="Z29:Z43" si="13">IF(OR(ISBLANK(F29), ISBLANK(K29)), "",K29-F29)</f>
        <v>-10</v>
      </c>
      <c r="AA29" s="39">
        <f t="shared" ref="AA29:AA43" si="14">IF(OR(ISBLANK(K29), ISBLANK(S29)), "",S29-K29)</f>
        <v>-20</v>
      </c>
      <c r="AB29" s="58">
        <f t="shared" ref="AB29:AB43" si="15">IF(OR(ISBLANK(F29), ISBLANK(S29)), "",S29-F29)</f>
        <v>-30</v>
      </c>
      <c r="AC29" s="225">
        <v>1.002</v>
      </c>
    </row>
    <row r="30" spans="1:35" s="1" customFormat="1" x14ac:dyDescent="0.2">
      <c r="A30" s="11" t="s">
        <v>5</v>
      </c>
      <c r="B30" s="12" t="s">
        <v>21</v>
      </c>
      <c r="C30" s="180" t="s">
        <v>190</v>
      </c>
      <c r="D30" s="12" t="s">
        <v>6</v>
      </c>
      <c r="E30" s="12">
        <v>6295568</v>
      </c>
      <c r="F30" s="13">
        <v>7720</v>
      </c>
      <c r="G30" s="14">
        <v>45500</v>
      </c>
      <c r="H30" s="15" t="s">
        <v>7</v>
      </c>
      <c r="I30" s="16" t="s">
        <v>27</v>
      </c>
      <c r="J30" s="16">
        <v>6296018</v>
      </c>
      <c r="K30" s="17">
        <v>7600</v>
      </c>
      <c r="L30" s="18">
        <v>45500</v>
      </c>
      <c r="M30" s="19" t="s">
        <v>35</v>
      </c>
      <c r="N30" s="20" t="s">
        <v>36</v>
      </c>
      <c r="O30" s="20">
        <v>15</v>
      </c>
      <c r="P30" s="20"/>
      <c r="Q30" s="21">
        <v>45500</v>
      </c>
      <c r="R30" s="20">
        <v>500</v>
      </c>
      <c r="S30" s="22">
        <v>7683</v>
      </c>
      <c r="T30" s="23">
        <v>206</v>
      </c>
      <c r="V30" s="37">
        <f t="shared" si="9"/>
        <v>7706</v>
      </c>
      <c r="W30" s="46">
        <f t="shared" si="10"/>
        <v>23</v>
      </c>
      <c r="X30" s="26">
        <f t="shared" si="11"/>
        <v>106</v>
      </c>
      <c r="Y30" s="25">
        <f t="shared" si="12"/>
        <v>-14</v>
      </c>
      <c r="Z30" s="38">
        <f t="shared" si="13"/>
        <v>-120</v>
      </c>
      <c r="AA30" s="39">
        <f t="shared" si="14"/>
        <v>83</v>
      </c>
      <c r="AB30" s="58">
        <f t="shared" si="15"/>
        <v>-37</v>
      </c>
      <c r="AC30" s="225">
        <v>1.002</v>
      </c>
    </row>
    <row r="31" spans="1:35" s="1" customFormat="1" x14ac:dyDescent="0.2">
      <c r="A31" s="11" t="s">
        <v>5</v>
      </c>
      <c r="B31" s="12" t="s">
        <v>21</v>
      </c>
      <c r="C31" s="180" t="s">
        <v>191</v>
      </c>
      <c r="D31" s="12" t="s">
        <v>62</v>
      </c>
      <c r="E31" s="12">
        <v>6295190</v>
      </c>
      <c r="F31" s="13">
        <v>7700</v>
      </c>
      <c r="G31" s="14">
        <v>45499</v>
      </c>
      <c r="H31" s="15" t="s">
        <v>7</v>
      </c>
      <c r="I31" s="16" t="s">
        <v>16</v>
      </c>
      <c r="J31" s="16">
        <v>6295374</v>
      </c>
      <c r="K31" s="17">
        <v>7690</v>
      </c>
      <c r="L31" s="18">
        <v>45500</v>
      </c>
      <c r="M31" s="19" t="s">
        <v>39</v>
      </c>
      <c r="N31" s="20" t="s">
        <v>18</v>
      </c>
      <c r="O31" s="20">
        <v>15</v>
      </c>
      <c r="P31" s="20"/>
      <c r="Q31" s="21">
        <v>45500</v>
      </c>
      <c r="R31" s="20">
        <v>500</v>
      </c>
      <c r="S31" s="22">
        <v>7705</v>
      </c>
      <c r="T31" s="23">
        <v>198</v>
      </c>
      <c r="V31" s="37">
        <f t="shared" si="9"/>
        <v>7698</v>
      </c>
      <c r="W31" s="46">
        <f t="shared" si="10"/>
        <v>-7</v>
      </c>
      <c r="X31" s="26">
        <f t="shared" si="11"/>
        <v>8</v>
      </c>
      <c r="Y31" s="25">
        <f t="shared" si="12"/>
        <v>-2</v>
      </c>
      <c r="Z31" s="38">
        <f t="shared" si="13"/>
        <v>-10</v>
      </c>
      <c r="AA31" s="39">
        <f t="shared" si="14"/>
        <v>15</v>
      </c>
      <c r="AB31" s="58">
        <f t="shared" si="15"/>
        <v>5</v>
      </c>
      <c r="AC31" s="225">
        <v>1.002</v>
      </c>
    </row>
    <row r="32" spans="1:35" s="1" customFormat="1" x14ac:dyDescent="0.2">
      <c r="A32" s="11" t="s">
        <v>5</v>
      </c>
      <c r="B32" s="12" t="s">
        <v>21</v>
      </c>
      <c r="C32" s="12" t="s">
        <v>192</v>
      </c>
      <c r="D32" s="12" t="s">
        <v>62</v>
      </c>
      <c r="E32" s="12">
        <v>6295043</v>
      </c>
      <c r="F32" s="13">
        <v>7840</v>
      </c>
      <c r="G32" s="14">
        <v>45499</v>
      </c>
      <c r="H32" s="15" t="s">
        <v>7</v>
      </c>
      <c r="I32" s="16" t="s">
        <v>27</v>
      </c>
      <c r="J32" s="16">
        <v>6295208</v>
      </c>
      <c r="K32" s="17">
        <v>7720</v>
      </c>
      <c r="L32" s="18">
        <v>45499</v>
      </c>
      <c r="M32" s="19" t="s">
        <v>35</v>
      </c>
      <c r="N32" s="20" t="s">
        <v>74</v>
      </c>
      <c r="O32" s="20">
        <v>15</v>
      </c>
      <c r="P32" s="20"/>
      <c r="Q32" s="21">
        <v>45499</v>
      </c>
      <c r="R32" s="20">
        <v>55</v>
      </c>
      <c r="S32" s="22">
        <v>7555</v>
      </c>
      <c r="T32" s="23">
        <v>205</v>
      </c>
      <c r="V32" s="37">
        <f t="shared" si="9"/>
        <v>7760</v>
      </c>
      <c r="W32" s="24">
        <f t="shared" si="10"/>
        <v>205</v>
      </c>
      <c r="X32" s="27">
        <f t="shared" si="11"/>
        <v>40</v>
      </c>
      <c r="Y32" s="200">
        <f t="shared" si="12"/>
        <v>-80</v>
      </c>
      <c r="Z32" s="38">
        <f t="shared" si="13"/>
        <v>-120</v>
      </c>
      <c r="AA32" s="39">
        <f t="shared" si="14"/>
        <v>-165</v>
      </c>
      <c r="AB32" s="58">
        <f t="shared" si="15"/>
        <v>-285</v>
      </c>
      <c r="AC32" s="225">
        <v>0.995</v>
      </c>
    </row>
    <row r="33" spans="1:30" s="1" customFormat="1" x14ac:dyDescent="0.2">
      <c r="A33" s="11" t="s">
        <v>5</v>
      </c>
      <c r="B33" s="12" t="s">
        <v>21</v>
      </c>
      <c r="C33" s="12" t="s">
        <v>199</v>
      </c>
      <c r="D33" s="12" t="s">
        <v>127</v>
      </c>
      <c r="E33" s="12">
        <v>6297431</v>
      </c>
      <c r="F33" s="13">
        <v>7780</v>
      </c>
      <c r="G33" s="14">
        <v>45502</v>
      </c>
      <c r="H33" s="15" t="s">
        <v>7</v>
      </c>
      <c r="I33" s="16" t="s">
        <v>66</v>
      </c>
      <c r="J33" s="16">
        <v>6297686</v>
      </c>
      <c r="K33" s="17">
        <v>7750</v>
      </c>
      <c r="L33" s="18">
        <v>45503</v>
      </c>
      <c r="M33" s="19" t="s">
        <v>35</v>
      </c>
      <c r="N33" s="20" t="s">
        <v>79</v>
      </c>
      <c r="O33" s="20">
        <v>15</v>
      </c>
      <c r="P33" s="20"/>
      <c r="Q33" s="21">
        <v>45503</v>
      </c>
      <c r="R33" s="20">
        <v>55</v>
      </c>
      <c r="S33" s="22">
        <v>7700</v>
      </c>
      <c r="T33" s="23">
        <v>80</v>
      </c>
      <c r="V33" s="37">
        <f t="shared" si="9"/>
        <v>7635</v>
      </c>
      <c r="W33" s="28">
        <f t="shared" si="10"/>
        <v>-65</v>
      </c>
      <c r="X33" s="45">
        <f t="shared" si="11"/>
        <v>-115</v>
      </c>
      <c r="Y33" s="199">
        <f t="shared" si="12"/>
        <v>-145</v>
      </c>
      <c r="Z33" s="38">
        <f t="shared" si="13"/>
        <v>-30</v>
      </c>
      <c r="AA33" s="39">
        <f t="shared" si="14"/>
        <v>-50</v>
      </c>
      <c r="AB33" s="58">
        <f t="shared" si="15"/>
        <v>-80</v>
      </c>
      <c r="AC33" s="225">
        <v>0.995</v>
      </c>
    </row>
    <row r="34" spans="1:30" s="1" customFormat="1" x14ac:dyDescent="0.2">
      <c r="A34" s="11" t="s">
        <v>5</v>
      </c>
      <c r="B34" s="12" t="s">
        <v>21</v>
      </c>
      <c r="C34" s="12" t="s">
        <v>200</v>
      </c>
      <c r="D34" s="12" t="s">
        <v>15</v>
      </c>
      <c r="E34" s="12">
        <v>6297769</v>
      </c>
      <c r="F34" s="13">
        <v>7780</v>
      </c>
      <c r="G34" s="14">
        <v>45503</v>
      </c>
      <c r="H34" s="15" t="s">
        <v>7</v>
      </c>
      <c r="I34" s="16" t="s">
        <v>63</v>
      </c>
      <c r="J34" s="16">
        <v>6298481</v>
      </c>
      <c r="K34" s="17">
        <v>7718</v>
      </c>
      <c r="L34" s="18">
        <v>45503</v>
      </c>
      <c r="M34" s="19" t="s">
        <v>39</v>
      </c>
      <c r="N34" s="20" t="s">
        <v>25</v>
      </c>
      <c r="O34" s="20">
        <v>15</v>
      </c>
      <c r="P34" s="20"/>
      <c r="Q34" s="21">
        <v>45503</v>
      </c>
      <c r="R34" s="20">
        <v>55</v>
      </c>
      <c r="S34" s="22">
        <v>7724</v>
      </c>
      <c r="T34" s="23">
        <v>150</v>
      </c>
      <c r="V34" s="37">
        <f t="shared" si="9"/>
        <v>7705</v>
      </c>
      <c r="W34" s="46">
        <f t="shared" si="10"/>
        <v>-19</v>
      </c>
      <c r="X34" s="27">
        <f t="shared" si="11"/>
        <v>-13</v>
      </c>
      <c r="Y34" s="199">
        <f t="shared" si="12"/>
        <v>-75</v>
      </c>
      <c r="Z34" s="38">
        <f t="shared" si="13"/>
        <v>-62</v>
      </c>
      <c r="AA34" s="39">
        <f t="shared" si="14"/>
        <v>6</v>
      </c>
      <c r="AB34" s="58">
        <f t="shared" si="15"/>
        <v>-56</v>
      </c>
      <c r="AC34" s="225">
        <v>0.995</v>
      </c>
    </row>
    <row r="35" spans="1:30" s="1" customFormat="1" x14ac:dyDescent="0.2">
      <c r="A35" s="11" t="s">
        <v>5</v>
      </c>
      <c r="B35" s="12" t="s">
        <v>21</v>
      </c>
      <c r="C35" s="12" t="s">
        <v>201</v>
      </c>
      <c r="D35" s="12" t="s">
        <v>127</v>
      </c>
      <c r="E35" s="12">
        <v>6297431</v>
      </c>
      <c r="F35" s="13">
        <v>7780</v>
      </c>
      <c r="G35" s="14">
        <v>45502</v>
      </c>
      <c r="H35" s="15" t="s">
        <v>7</v>
      </c>
      <c r="I35" s="16" t="s">
        <v>66</v>
      </c>
      <c r="J35" s="16">
        <v>6297686</v>
      </c>
      <c r="K35" s="17">
        <v>7750</v>
      </c>
      <c r="L35" s="18">
        <v>45503</v>
      </c>
      <c r="M35" s="19" t="s">
        <v>35</v>
      </c>
      <c r="N35" s="20" t="s">
        <v>79</v>
      </c>
      <c r="O35" s="20">
        <v>15</v>
      </c>
      <c r="P35" s="20"/>
      <c r="Q35" s="21">
        <v>45503</v>
      </c>
      <c r="R35" s="20">
        <v>55</v>
      </c>
      <c r="S35" s="22">
        <v>7700</v>
      </c>
      <c r="T35" s="23">
        <v>154</v>
      </c>
      <c r="V35" s="37">
        <f t="shared" si="9"/>
        <v>7709</v>
      </c>
      <c r="W35" s="28">
        <f t="shared" si="10"/>
        <v>9</v>
      </c>
      <c r="X35" s="45">
        <f t="shared" si="11"/>
        <v>-41</v>
      </c>
      <c r="Y35" s="199">
        <f t="shared" si="12"/>
        <v>-71</v>
      </c>
      <c r="Z35" s="38">
        <f t="shared" si="13"/>
        <v>-30</v>
      </c>
      <c r="AA35" s="39">
        <f t="shared" si="14"/>
        <v>-50</v>
      </c>
      <c r="AB35" s="58">
        <f t="shared" si="15"/>
        <v>-80</v>
      </c>
      <c r="AC35" s="225">
        <v>0.995</v>
      </c>
    </row>
    <row r="36" spans="1:30" s="1" customFormat="1" x14ac:dyDescent="0.2">
      <c r="A36" s="11" t="s">
        <v>5</v>
      </c>
      <c r="B36" s="12" t="s">
        <v>21</v>
      </c>
      <c r="C36" s="12" t="s">
        <v>202</v>
      </c>
      <c r="D36" s="12" t="s">
        <v>62</v>
      </c>
      <c r="E36" s="12">
        <v>6298216</v>
      </c>
      <c r="F36" s="13">
        <v>7780</v>
      </c>
      <c r="G36" s="14">
        <v>45503</v>
      </c>
      <c r="H36" s="15" t="s">
        <v>7</v>
      </c>
      <c r="I36" s="16" t="s">
        <v>32</v>
      </c>
      <c r="J36" s="16">
        <v>6298991</v>
      </c>
      <c r="K36" s="17">
        <v>7720</v>
      </c>
      <c r="L36" s="18">
        <v>45503</v>
      </c>
      <c r="M36" s="19" t="s">
        <v>35</v>
      </c>
      <c r="N36" s="20" t="s">
        <v>74</v>
      </c>
      <c r="O36" s="20">
        <v>15</v>
      </c>
      <c r="P36" s="20"/>
      <c r="Q36" s="21">
        <v>45503</v>
      </c>
      <c r="R36" s="20">
        <v>55</v>
      </c>
      <c r="S36" s="22">
        <v>7655</v>
      </c>
      <c r="T36" s="23">
        <v>160</v>
      </c>
      <c r="V36" s="37">
        <f t="shared" si="9"/>
        <v>7715</v>
      </c>
      <c r="W36" s="46">
        <f t="shared" si="10"/>
        <v>60</v>
      </c>
      <c r="X36" s="27">
        <f t="shared" si="11"/>
        <v>-5</v>
      </c>
      <c r="Y36" s="199">
        <f t="shared" si="12"/>
        <v>-65</v>
      </c>
      <c r="Z36" s="38">
        <f t="shared" si="13"/>
        <v>-60</v>
      </c>
      <c r="AA36" s="39">
        <f t="shared" si="14"/>
        <v>-65</v>
      </c>
      <c r="AB36" s="58">
        <f t="shared" si="15"/>
        <v>-125</v>
      </c>
      <c r="AC36" s="225">
        <v>0.995</v>
      </c>
    </row>
    <row r="37" spans="1:30" s="1" customFormat="1" x14ac:dyDescent="0.2">
      <c r="A37" s="11" t="s">
        <v>5</v>
      </c>
      <c r="B37" s="12" t="s">
        <v>21</v>
      </c>
      <c r="C37" s="180" t="s">
        <v>210</v>
      </c>
      <c r="D37" s="12" t="s">
        <v>15</v>
      </c>
      <c r="E37" s="12">
        <v>6297845</v>
      </c>
      <c r="F37" s="13">
        <v>7780</v>
      </c>
      <c r="G37" s="14">
        <v>45503</v>
      </c>
      <c r="H37" s="15" t="s">
        <v>7</v>
      </c>
      <c r="I37" s="16" t="s">
        <v>66</v>
      </c>
      <c r="J37" s="16">
        <v>6299910</v>
      </c>
      <c r="K37" s="17">
        <v>7670</v>
      </c>
      <c r="L37" s="18">
        <v>45504</v>
      </c>
      <c r="M37" s="19" t="s">
        <v>39</v>
      </c>
      <c r="N37" s="20" t="s">
        <v>25</v>
      </c>
      <c r="O37" s="20">
        <v>15</v>
      </c>
      <c r="P37" s="20"/>
      <c r="Q37" s="21">
        <v>45504</v>
      </c>
      <c r="R37" s="20">
        <v>500</v>
      </c>
      <c r="S37" s="22">
        <v>7680</v>
      </c>
      <c r="T37" s="23">
        <v>235</v>
      </c>
      <c r="V37" s="37">
        <f t="shared" si="9"/>
        <v>7735</v>
      </c>
      <c r="W37" s="46">
        <f t="shared" si="10"/>
        <v>55</v>
      </c>
      <c r="X37" s="26">
        <f t="shared" si="11"/>
        <v>65</v>
      </c>
      <c r="Y37" s="25">
        <f t="shared" si="12"/>
        <v>-45</v>
      </c>
      <c r="Z37" s="38">
        <f t="shared" si="13"/>
        <v>-110</v>
      </c>
      <c r="AA37" s="39">
        <f t="shared" si="14"/>
        <v>10</v>
      </c>
      <c r="AB37" s="58">
        <f t="shared" si="15"/>
        <v>-100</v>
      </c>
      <c r="AC37" s="225">
        <v>1.002</v>
      </c>
    </row>
    <row r="38" spans="1:30" s="1" customFormat="1" x14ac:dyDescent="0.2">
      <c r="A38" s="11" t="s">
        <v>5</v>
      </c>
      <c r="B38" s="12" t="s">
        <v>21</v>
      </c>
      <c r="C38" s="180" t="s">
        <v>211</v>
      </c>
      <c r="D38" s="12" t="s">
        <v>62</v>
      </c>
      <c r="E38" s="12">
        <v>6298520</v>
      </c>
      <c r="F38" s="13">
        <v>7840</v>
      </c>
      <c r="G38" s="14">
        <v>45503</v>
      </c>
      <c r="H38" s="15" t="s">
        <v>7</v>
      </c>
      <c r="I38" s="16" t="s">
        <v>32</v>
      </c>
      <c r="J38" s="16">
        <v>6299264</v>
      </c>
      <c r="K38" s="17">
        <v>7750</v>
      </c>
      <c r="L38" s="18">
        <v>45503</v>
      </c>
      <c r="M38" s="19" t="s">
        <v>39</v>
      </c>
      <c r="N38" s="20" t="s">
        <v>18</v>
      </c>
      <c r="O38" s="20">
        <v>15</v>
      </c>
      <c r="P38" s="20"/>
      <c r="Q38" s="21">
        <v>45503</v>
      </c>
      <c r="R38" s="20">
        <v>500</v>
      </c>
      <c r="S38" s="22">
        <v>7781</v>
      </c>
      <c r="T38" s="23">
        <v>304</v>
      </c>
      <c r="V38" s="37">
        <f t="shared" si="9"/>
        <v>7804</v>
      </c>
      <c r="W38" s="28">
        <f t="shared" si="10"/>
        <v>23</v>
      </c>
      <c r="X38" s="26">
        <f t="shared" si="11"/>
        <v>54</v>
      </c>
      <c r="Y38" s="200">
        <f t="shared" si="12"/>
        <v>-36</v>
      </c>
      <c r="Z38" s="38">
        <f t="shared" si="13"/>
        <v>-90</v>
      </c>
      <c r="AA38" s="39">
        <f t="shared" si="14"/>
        <v>31</v>
      </c>
      <c r="AB38" s="58">
        <f t="shared" si="15"/>
        <v>-59</v>
      </c>
      <c r="AC38" s="225">
        <v>1.002</v>
      </c>
    </row>
    <row r="39" spans="1:30" s="1" customFormat="1" x14ac:dyDescent="0.2">
      <c r="A39" s="11" t="s">
        <v>5</v>
      </c>
      <c r="B39" s="12" t="s">
        <v>21</v>
      </c>
      <c r="C39" s="180" t="s">
        <v>212</v>
      </c>
      <c r="D39" s="12" t="s">
        <v>30</v>
      </c>
      <c r="E39" s="12">
        <v>6298893</v>
      </c>
      <c r="F39" s="13">
        <v>7850</v>
      </c>
      <c r="G39" s="14">
        <v>45503</v>
      </c>
      <c r="H39" s="15" t="s">
        <v>7</v>
      </c>
      <c r="I39" s="16" t="s">
        <v>66</v>
      </c>
      <c r="J39" s="16">
        <v>6299168</v>
      </c>
      <c r="K39" s="17">
        <v>7750</v>
      </c>
      <c r="L39" s="18">
        <v>45504</v>
      </c>
      <c r="M39" s="19" t="s">
        <v>39</v>
      </c>
      <c r="N39" s="20" t="s">
        <v>51</v>
      </c>
      <c r="O39" s="20">
        <v>15</v>
      </c>
      <c r="P39" s="20"/>
      <c r="Q39" s="21">
        <v>45504</v>
      </c>
      <c r="R39" s="20">
        <v>500</v>
      </c>
      <c r="S39" s="22">
        <v>7768</v>
      </c>
      <c r="T39" s="23">
        <v>306</v>
      </c>
      <c r="V39" s="37">
        <f t="shared" si="9"/>
        <v>7806</v>
      </c>
      <c r="W39" s="28">
        <f t="shared" si="10"/>
        <v>38</v>
      </c>
      <c r="X39" s="26">
        <f t="shared" si="11"/>
        <v>56</v>
      </c>
      <c r="Y39" s="200">
        <f t="shared" si="12"/>
        <v>-44</v>
      </c>
      <c r="Z39" s="38">
        <f t="shared" si="13"/>
        <v>-100</v>
      </c>
      <c r="AA39" s="39">
        <f t="shared" si="14"/>
        <v>18</v>
      </c>
      <c r="AB39" s="58">
        <f t="shared" si="15"/>
        <v>-82</v>
      </c>
      <c r="AC39" s="225">
        <v>1.002</v>
      </c>
    </row>
    <row r="40" spans="1:30" s="1" customFormat="1" x14ac:dyDescent="0.2">
      <c r="A40" s="11" t="s">
        <v>5</v>
      </c>
      <c r="B40" s="12" t="s">
        <v>21</v>
      </c>
      <c r="C40" s="12" t="s">
        <v>213</v>
      </c>
      <c r="D40" s="12" t="s">
        <v>30</v>
      </c>
      <c r="E40" s="12">
        <v>6298704</v>
      </c>
      <c r="F40" s="13">
        <v>7780</v>
      </c>
      <c r="G40" s="14">
        <v>45503</v>
      </c>
      <c r="H40" s="15" t="s">
        <v>7</v>
      </c>
      <c r="I40" s="16" t="s">
        <v>32</v>
      </c>
      <c r="J40" s="16">
        <v>6299082</v>
      </c>
      <c r="K40" s="17">
        <v>7720</v>
      </c>
      <c r="L40" s="18">
        <v>45503</v>
      </c>
      <c r="M40" s="19" t="s">
        <v>39</v>
      </c>
      <c r="N40" s="20" t="s">
        <v>18</v>
      </c>
      <c r="O40" s="20">
        <v>15</v>
      </c>
      <c r="P40" s="20"/>
      <c r="Q40" s="21">
        <v>45503</v>
      </c>
      <c r="R40" s="20">
        <v>55</v>
      </c>
      <c r="S40" s="22">
        <v>7735</v>
      </c>
      <c r="T40" s="23">
        <v>120</v>
      </c>
      <c r="V40" s="37">
        <f t="shared" si="9"/>
        <v>7675</v>
      </c>
      <c r="W40" s="46">
        <f t="shared" si="10"/>
        <v>-60</v>
      </c>
      <c r="X40" s="27">
        <f t="shared" si="11"/>
        <v>-45</v>
      </c>
      <c r="Y40" s="199">
        <f t="shared" si="12"/>
        <v>-105</v>
      </c>
      <c r="Z40" s="38">
        <f t="shared" si="13"/>
        <v>-60</v>
      </c>
      <c r="AA40" s="39">
        <f t="shared" si="14"/>
        <v>15</v>
      </c>
      <c r="AB40" s="58">
        <f t="shared" si="15"/>
        <v>-45</v>
      </c>
      <c r="AC40" s="225">
        <v>0.995</v>
      </c>
    </row>
    <row r="41" spans="1:30" s="1" customFormat="1" x14ac:dyDescent="0.2">
      <c r="A41" s="11" t="s">
        <v>5</v>
      </c>
      <c r="B41" s="12" t="s">
        <v>21</v>
      </c>
      <c r="C41" s="12" t="s">
        <v>214</v>
      </c>
      <c r="D41" s="12" t="s">
        <v>62</v>
      </c>
      <c r="E41" s="12">
        <v>6298199</v>
      </c>
      <c r="F41" s="13">
        <v>7780</v>
      </c>
      <c r="G41" s="14">
        <v>45503</v>
      </c>
      <c r="H41" s="15" t="s">
        <v>7</v>
      </c>
      <c r="I41" s="16" t="s">
        <v>63</v>
      </c>
      <c r="J41" s="16">
        <v>6298858</v>
      </c>
      <c r="K41" s="17">
        <v>7772</v>
      </c>
      <c r="L41" s="18">
        <v>45503</v>
      </c>
      <c r="M41" s="19" t="s">
        <v>39</v>
      </c>
      <c r="N41" s="20" t="s">
        <v>18</v>
      </c>
      <c r="O41" s="20">
        <v>15</v>
      </c>
      <c r="P41" s="20"/>
      <c r="Q41" s="21">
        <v>45503</v>
      </c>
      <c r="R41" s="20">
        <v>55</v>
      </c>
      <c r="S41" s="22">
        <v>7783</v>
      </c>
      <c r="T41" s="23">
        <v>228</v>
      </c>
      <c r="V41" s="37">
        <f t="shared" si="9"/>
        <v>7783</v>
      </c>
      <c r="W41" s="28">
        <f t="shared" si="10"/>
        <v>0</v>
      </c>
      <c r="X41" s="26">
        <f t="shared" si="11"/>
        <v>11</v>
      </c>
      <c r="Y41" s="200">
        <f t="shared" si="12"/>
        <v>3</v>
      </c>
      <c r="Z41" s="38">
        <f t="shared" si="13"/>
        <v>-8</v>
      </c>
      <c r="AA41" s="39">
        <f t="shared" si="14"/>
        <v>11</v>
      </c>
      <c r="AB41" s="58">
        <f t="shared" si="15"/>
        <v>3</v>
      </c>
      <c r="AC41" s="225">
        <v>0.995</v>
      </c>
    </row>
    <row r="42" spans="1:30" s="1" customFormat="1" x14ac:dyDescent="0.2">
      <c r="A42" s="11" t="s">
        <v>5</v>
      </c>
      <c r="B42" s="12" t="s">
        <v>21</v>
      </c>
      <c r="C42" s="180" t="s">
        <v>225</v>
      </c>
      <c r="D42" s="12" t="s">
        <v>127</v>
      </c>
      <c r="E42" s="12">
        <v>6303034</v>
      </c>
      <c r="F42" s="13">
        <v>7900</v>
      </c>
      <c r="G42" s="14">
        <v>45505</v>
      </c>
      <c r="H42" s="15" t="s">
        <v>163</v>
      </c>
      <c r="I42" s="16" t="s">
        <v>27</v>
      </c>
      <c r="J42" s="16">
        <v>6305517</v>
      </c>
      <c r="K42" s="17">
        <v>7810</v>
      </c>
      <c r="L42" s="18">
        <v>45507</v>
      </c>
      <c r="M42" s="19" t="s">
        <v>44</v>
      </c>
      <c r="N42" s="20" t="s">
        <v>18</v>
      </c>
      <c r="O42" s="20"/>
      <c r="P42" s="20">
        <v>25</v>
      </c>
      <c r="Q42" s="21">
        <v>45507</v>
      </c>
      <c r="R42" s="20">
        <v>110</v>
      </c>
      <c r="S42" s="22">
        <v>7825</v>
      </c>
      <c r="T42" s="23">
        <v>90</v>
      </c>
      <c r="V42" s="37">
        <f t="shared" si="9"/>
        <v>7715</v>
      </c>
      <c r="W42" s="46">
        <f t="shared" si="10"/>
        <v>-110</v>
      </c>
      <c r="X42" s="27">
        <f t="shared" si="11"/>
        <v>-95</v>
      </c>
      <c r="Y42" s="199">
        <f t="shared" si="12"/>
        <v>-185</v>
      </c>
      <c r="Z42" s="38">
        <f t="shared" si="13"/>
        <v>-90</v>
      </c>
      <c r="AA42" s="39">
        <f t="shared" si="14"/>
        <v>15</v>
      </c>
      <c r="AB42" s="58">
        <f t="shared" si="15"/>
        <v>-75</v>
      </c>
      <c r="AC42" s="225">
        <v>1.002</v>
      </c>
    </row>
    <row r="43" spans="1:30" s="1" customFormat="1" x14ac:dyDescent="0.2">
      <c r="A43" s="11" t="s">
        <v>5</v>
      </c>
      <c r="B43" s="12" t="s">
        <v>21</v>
      </c>
      <c r="C43" s="12" t="s">
        <v>234</v>
      </c>
      <c r="D43" s="12" t="s">
        <v>127</v>
      </c>
      <c r="E43" s="12">
        <v>6302654</v>
      </c>
      <c r="F43" s="13">
        <v>7720</v>
      </c>
      <c r="G43" s="14">
        <v>45505</v>
      </c>
      <c r="H43" s="15" t="s">
        <v>7</v>
      </c>
      <c r="I43" s="16" t="s">
        <v>63</v>
      </c>
      <c r="J43" s="16">
        <v>6303986</v>
      </c>
      <c r="K43" s="17">
        <v>7626</v>
      </c>
      <c r="L43" s="18">
        <v>45506</v>
      </c>
      <c r="M43" s="19" t="s">
        <v>39</v>
      </c>
      <c r="N43" s="20" t="s">
        <v>115</v>
      </c>
      <c r="O43" s="20">
        <v>15</v>
      </c>
      <c r="P43" s="20"/>
      <c r="Q43" s="21">
        <v>45506</v>
      </c>
      <c r="R43" s="20">
        <v>55</v>
      </c>
      <c r="S43" s="22">
        <v>7624</v>
      </c>
      <c r="T43" s="23">
        <v>70</v>
      </c>
      <c r="V43" s="37">
        <f t="shared" si="9"/>
        <v>7625</v>
      </c>
      <c r="W43" s="28">
        <f t="shared" si="10"/>
        <v>1</v>
      </c>
      <c r="X43" s="45">
        <f t="shared" si="11"/>
        <v>-1</v>
      </c>
      <c r="Y43" s="199">
        <f t="shared" si="12"/>
        <v>-95</v>
      </c>
      <c r="Z43" s="38">
        <f t="shared" si="13"/>
        <v>-94</v>
      </c>
      <c r="AA43" s="39">
        <f t="shared" si="14"/>
        <v>-2</v>
      </c>
      <c r="AB43" s="58">
        <f t="shared" si="15"/>
        <v>-96</v>
      </c>
      <c r="AC43" s="225">
        <v>0.995</v>
      </c>
    </row>
    <row r="44" spans="1:30" s="1" customFormat="1" x14ac:dyDescent="0.2">
      <c r="A44" s="209"/>
      <c r="B44" s="209"/>
      <c r="C44" s="209"/>
      <c r="D44" s="209"/>
      <c r="E44" s="209"/>
      <c r="F44" s="213"/>
      <c r="G44" s="153"/>
      <c r="H44" s="209"/>
      <c r="I44" s="209"/>
      <c r="J44" s="209"/>
      <c r="K44" s="213"/>
      <c r="L44" s="153"/>
      <c r="M44" s="209"/>
      <c r="N44" s="209"/>
      <c r="O44" s="209"/>
      <c r="P44" s="209"/>
      <c r="Q44" s="153"/>
      <c r="R44" s="209"/>
      <c r="S44" s="213"/>
      <c r="T44" s="209"/>
      <c r="U44" s="209"/>
      <c r="V44" s="213"/>
      <c r="W44" s="209"/>
      <c r="X44" s="213"/>
      <c r="Y44" s="154"/>
      <c r="Z44" s="209"/>
      <c r="AA44" s="209"/>
      <c r="AB44" s="209"/>
      <c r="AC44" s="196"/>
      <c r="AD44" s="209"/>
    </row>
    <row r="45" spans="1:30" s="1" customFormat="1" x14ac:dyDescent="0.2">
      <c r="A45" s="209"/>
      <c r="B45" s="209"/>
      <c r="C45" s="209"/>
      <c r="D45" s="209"/>
      <c r="E45" s="209"/>
      <c r="F45" s="213"/>
      <c r="G45" s="153"/>
      <c r="H45" s="209"/>
      <c r="I45" s="209"/>
      <c r="J45" s="209"/>
      <c r="K45" s="213"/>
      <c r="L45" s="153"/>
      <c r="M45" s="209"/>
      <c r="N45" s="209"/>
      <c r="O45" s="209"/>
      <c r="P45" s="209"/>
      <c r="Q45" s="153"/>
      <c r="R45" s="209"/>
      <c r="S45" s="213"/>
      <c r="T45" s="209"/>
      <c r="U45" s="209"/>
      <c r="V45" s="213"/>
      <c r="W45" s="213"/>
      <c r="X45" s="209"/>
      <c r="Y45" s="154"/>
      <c r="Z45" s="209"/>
      <c r="AA45" s="209"/>
      <c r="AB45" s="209"/>
      <c r="AC45" s="196"/>
      <c r="AD45" s="209"/>
    </row>
    <row r="46" spans="1:30" s="1" customFormat="1" x14ac:dyDescent="0.2">
      <c r="A46" s="209"/>
      <c r="B46" s="209"/>
      <c r="C46" s="209"/>
      <c r="D46" s="209"/>
      <c r="E46" s="209"/>
      <c r="F46" s="213"/>
      <c r="G46" s="153"/>
      <c r="H46" s="209"/>
      <c r="I46" s="209"/>
      <c r="J46" s="209"/>
      <c r="K46" s="213"/>
      <c r="L46" s="153"/>
      <c r="M46" s="209"/>
      <c r="N46" s="209"/>
      <c r="O46" s="209"/>
      <c r="P46" s="209"/>
      <c r="Q46" s="153"/>
      <c r="R46" s="209"/>
      <c r="S46" s="213"/>
      <c r="T46" s="209"/>
      <c r="U46" s="209"/>
      <c r="V46" s="213"/>
      <c r="W46" s="209"/>
      <c r="X46" s="213"/>
      <c r="Y46" s="154"/>
      <c r="Z46" s="209"/>
      <c r="AA46" s="209"/>
      <c r="AB46" s="209"/>
      <c r="AC46" s="196"/>
      <c r="AD46" s="209"/>
    </row>
    <row r="47" spans="1:30" s="1" customFormat="1" x14ac:dyDescent="0.2">
      <c r="A47" s="209"/>
      <c r="B47" s="209"/>
      <c r="C47" s="209"/>
      <c r="D47" s="209"/>
      <c r="E47" s="209"/>
      <c r="F47" s="213"/>
      <c r="G47" s="153"/>
      <c r="H47" s="209"/>
      <c r="I47" s="209"/>
      <c r="J47" s="209"/>
      <c r="K47" s="213"/>
      <c r="L47" s="153"/>
      <c r="M47" s="209"/>
      <c r="N47" s="209"/>
      <c r="O47" s="209"/>
      <c r="P47" s="209"/>
      <c r="Q47" s="153"/>
      <c r="R47" s="209"/>
      <c r="S47" s="213"/>
      <c r="T47" s="209"/>
      <c r="U47" s="209"/>
      <c r="V47" s="213"/>
      <c r="W47" s="209"/>
      <c r="X47" s="213"/>
      <c r="Y47" s="154"/>
      <c r="Z47" s="209"/>
      <c r="AA47" s="209"/>
      <c r="AB47" s="209"/>
      <c r="AC47" s="196"/>
      <c r="AD47" s="209"/>
    </row>
    <row r="48" spans="1:30" s="1" customFormat="1" ht="31.5" thickBot="1" x14ac:dyDescent="0.25">
      <c r="A48" s="209"/>
      <c r="B48" s="209"/>
      <c r="C48" s="209"/>
      <c r="D48" s="209"/>
      <c r="E48" s="209"/>
      <c r="F48" s="213"/>
      <c r="G48" s="153"/>
      <c r="H48" s="209"/>
      <c r="I48" s="209"/>
      <c r="J48" s="209"/>
      <c r="K48" s="213"/>
      <c r="L48" s="153"/>
      <c r="M48" s="209"/>
      <c r="N48" s="209"/>
      <c r="O48" s="209"/>
      <c r="P48" s="209"/>
      <c r="Q48" s="153"/>
      <c r="R48" s="209"/>
      <c r="S48" s="213"/>
      <c r="T48" s="209"/>
      <c r="U48" s="209"/>
      <c r="V48" s="213"/>
      <c r="W48" s="209"/>
      <c r="X48" s="213"/>
      <c r="Y48" s="154"/>
      <c r="Z48" s="209"/>
      <c r="AA48" s="209"/>
      <c r="AB48" s="209"/>
      <c r="AC48" s="196"/>
      <c r="AD48" s="209"/>
    </row>
    <row r="49" spans="1:35" s="1" customFormat="1" ht="80.099999999999994" customHeight="1" thickBot="1" x14ac:dyDescent="0.25">
      <c r="A49" s="253" t="s">
        <v>86</v>
      </c>
      <c r="B49" s="254" t="s">
        <v>136</v>
      </c>
      <c r="C49" s="254" t="s">
        <v>87</v>
      </c>
      <c r="D49" s="254" t="s">
        <v>88</v>
      </c>
      <c r="E49" s="254" t="s">
        <v>89</v>
      </c>
      <c r="F49" s="254" t="s">
        <v>90</v>
      </c>
      <c r="G49" s="207" t="s">
        <v>3</v>
      </c>
      <c r="H49" s="210" t="s">
        <v>9</v>
      </c>
      <c r="I49" s="211" t="s">
        <v>10</v>
      </c>
      <c r="J49" s="211" t="s">
        <v>1</v>
      </c>
      <c r="K49" s="211" t="s">
        <v>2</v>
      </c>
      <c r="L49" s="212" t="s">
        <v>3</v>
      </c>
      <c r="M49" s="264" t="s">
        <v>9</v>
      </c>
      <c r="N49" s="265" t="s">
        <v>10</v>
      </c>
      <c r="O49" s="266" t="s">
        <v>11</v>
      </c>
      <c r="P49" s="266" t="s">
        <v>12</v>
      </c>
      <c r="Q49" s="265" t="s">
        <v>3</v>
      </c>
      <c r="R49" s="266" t="s">
        <v>100</v>
      </c>
      <c r="S49" s="266" t="s">
        <v>95</v>
      </c>
      <c r="T49" s="267" t="s">
        <v>13</v>
      </c>
      <c r="U49" s="209"/>
      <c r="V49" s="271" t="s">
        <v>60</v>
      </c>
      <c r="W49" s="272" t="s">
        <v>91</v>
      </c>
      <c r="X49" s="272" t="s">
        <v>92</v>
      </c>
      <c r="Y49" s="273" t="s">
        <v>93</v>
      </c>
      <c r="Z49" s="183" t="s">
        <v>94</v>
      </c>
      <c r="AA49" s="151" t="s">
        <v>117</v>
      </c>
      <c r="AB49" s="152" t="s">
        <v>118</v>
      </c>
      <c r="AC49" s="185" t="s">
        <v>197</v>
      </c>
      <c r="AD49" s="209"/>
      <c r="AE49" s="209"/>
      <c r="AF49" s="209"/>
      <c r="AG49" s="209"/>
      <c r="AH49" s="50"/>
      <c r="AI49" s="50"/>
    </row>
    <row r="50" spans="1:35" s="1" customFormat="1" x14ac:dyDescent="0.2">
      <c r="A50" s="11" t="s">
        <v>5</v>
      </c>
      <c r="B50" s="12" t="s">
        <v>21</v>
      </c>
      <c r="C50" s="12" t="s">
        <v>215</v>
      </c>
      <c r="D50" s="12" t="s">
        <v>15</v>
      </c>
      <c r="E50" s="12">
        <v>6303251</v>
      </c>
      <c r="F50" s="13">
        <v>7720</v>
      </c>
      <c r="G50" s="14">
        <v>45506</v>
      </c>
      <c r="H50" s="15" t="s">
        <v>7</v>
      </c>
      <c r="I50" s="16" t="s">
        <v>63</v>
      </c>
      <c r="J50" s="16">
        <v>6304050</v>
      </c>
      <c r="K50" s="17">
        <v>7620</v>
      </c>
      <c r="L50" s="18">
        <v>45506</v>
      </c>
      <c r="M50" s="19" t="s">
        <v>39</v>
      </c>
      <c r="N50" s="20" t="s">
        <v>18</v>
      </c>
      <c r="O50" s="20">
        <v>15</v>
      </c>
      <c r="P50" s="20"/>
      <c r="Q50" s="21">
        <v>45506</v>
      </c>
      <c r="R50" s="20">
        <v>55</v>
      </c>
      <c r="S50" s="22">
        <v>7633</v>
      </c>
      <c r="T50" s="23">
        <v>100</v>
      </c>
      <c r="V50" s="37">
        <f t="shared" ref="V50:V63" si="16">IF(RIGHT(C50, 1)="1",
    IF(O50&lt;&gt;"", 500*O50 + T50 + IF(R50&lt;=110, R50, 0), IF(P50&lt;&gt;"", 305*P50 + T50 + IF(R50&lt;=110, R50, 0), "")),
    IF(O50&lt;&gt;"", 500*O50 + T50, IF(P50&lt;&gt;"", 305*P50 + T50, ""))
)</f>
        <v>7655</v>
      </c>
      <c r="W50" s="28">
        <f t="shared" ref="W50:W63" si="17">IF(OR(ISBLANK(V50), ISBLANK(S50), NOT(ISNUMBER(V50)), NOT(ISNUMBER(S50))), "", V50-S50)</f>
        <v>22</v>
      </c>
      <c r="X50" s="45">
        <f t="shared" ref="X50:X63" si="18">IF(OR(ISBLANK(V50), ISBLANK(K50), NOT(ISNUMBER(V50)), NOT(ISNUMBER(K50))), "", V50-K50)</f>
        <v>35</v>
      </c>
      <c r="Y50" s="199">
        <f t="shared" ref="Y50:Y63" si="19">IF(OR(ISBLANK(V50), ISBLANK(F50), NOT(ISNUMBER(V50)), NOT(ISNUMBER(F50))), "", V50-F50)</f>
        <v>-65</v>
      </c>
      <c r="Z50" s="38">
        <f t="shared" ref="Z50:Z63" si="20">IF(OR(ISBLANK(F50), ISBLANK(K50)), "",K50-F50)</f>
        <v>-100</v>
      </c>
      <c r="AA50" s="39">
        <f t="shared" ref="AA50:AA63" si="21">IF(OR(ISBLANK(K50), ISBLANK(S50)), "",S50-K50)</f>
        <v>13</v>
      </c>
      <c r="AB50" s="58">
        <f t="shared" ref="AB50:AB63" si="22">IF(OR(ISBLANK(F50), ISBLANK(S50)), "",S50-F50)</f>
        <v>-87</v>
      </c>
      <c r="AC50" s="224">
        <v>1000</v>
      </c>
    </row>
    <row r="51" spans="1:35" s="1" customFormat="1" x14ac:dyDescent="0.2">
      <c r="A51" s="11" t="s">
        <v>5</v>
      </c>
      <c r="B51" s="12" t="s">
        <v>21</v>
      </c>
      <c r="C51" s="12" t="s">
        <v>216</v>
      </c>
      <c r="D51" s="12" t="s">
        <v>62</v>
      </c>
      <c r="E51" s="12">
        <v>6305205</v>
      </c>
      <c r="F51" s="13">
        <v>7720</v>
      </c>
      <c r="G51" s="14">
        <v>45507</v>
      </c>
      <c r="H51" s="15" t="s">
        <v>7</v>
      </c>
      <c r="I51" s="16" t="s">
        <v>63</v>
      </c>
      <c r="J51" s="16">
        <v>6305306</v>
      </c>
      <c r="K51" s="17">
        <v>7637</v>
      </c>
      <c r="L51" s="18">
        <v>45507</v>
      </c>
      <c r="M51" s="19" t="s">
        <v>35</v>
      </c>
      <c r="N51" s="20" t="s">
        <v>74</v>
      </c>
      <c r="O51" s="20">
        <v>15</v>
      </c>
      <c r="P51" s="20"/>
      <c r="Q51" s="21">
        <v>45507</v>
      </c>
      <c r="R51" s="20">
        <v>55</v>
      </c>
      <c r="S51" s="22">
        <v>7555</v>
      </c>
      <c r="T51" s="23">
        <v>70</v>
      </c>
      <c r="V51" s="37">
        <f t="shared" si="16"/>
        <v>7625</v>
      </c>
      <c r="W51" s="46">
        <f t="shared" si="17"/>
        <v>70</v>
      </c>
      <c r="X51" s="27">
        <f t="shared" si="18"/>
        <v>-12</v>
      </c>
      <c r="Y51" s="199">
        <f t="shared" si="19"/>
        <v>-95</v>
      </c>
      <c r="Z51" s="38">
        <f t="shared" si="20"/>
        <v>-83</v>
      </c>
      <c r="AA51" s="39">
        <f t="shared" si="21"/>
        <v>-82</v>
      </c>
      <c r="AB51" s="58">
        <f t="shared" si="22"/>
        <v>-165</v>
      </c>
      <c r="AC51" s="224">
        <v>1000</v>
      </c>
    </row>
    <row r="52" spans="1:35" s="1" customFormat="1" x14ac:dyDescent="0.2">
      <c r="A52" s="11" t="s">
        <v>5</v>
      </c>
      <c r="B52" s="12" t="s">
        <v>21</v>
      </c>
      <c r="C52" s="12" t="s">
        <v>228</v>
      </c>
      <c r="D52" s="12" t="s">
        <v>67</v>
      </c>
      <c r="E52" s="12">
        <v>6304927</v>
      </c>
      <c r="F52" s="13">
        <v>7720</v>
      </c>
      <c r="G52" s="14">
        <v>45507</v>
      </c>
      <c r="H52" s="15" t="s">
        <v>7</v>
      </c>
      <c r="I52" s="16" t="s">
        <v>8</v>
      </c>
      <c r="J52" s="16">
        <v>6305088</v>
      </c>
      <c r="K52" s="17">
        <v>7790</v>
      </c>
      <c r="L52" s="18">
        <v>45507</v>
      </c>
      <c r="M52" s="19" t="s">
        <v>39</v>
      </c>
      <c r="N52" s="20" t="s">
        <v>115</v>
      </c>
      <c r="O52" s="20">
        <v>15</v>
      </c>
      <c r="P52" s="20"/>
      <c r="Q52" s="21">
        <v>45507</v>
      </c>
      <c r="R52" s="20">
        <v>55</v>
      </c>
      <c r="S52" s="22">
        <v>7794</v>
      </c>
      <c r="T52" s="23">
        <v>250</v>
      </c>
      <c r="V52" s="37">
        <f t="shared" si="16"/>
        <v>7805</v>
      </c>
      <c r="W52" s="28">
        <f t="shared" si="17"/>
        <v>11</v>
      </c>
      <c r="X52" s="45">
        <f t="shared" si="18"/>
        <v>15</v>
      </c>
      <c r="Y52" s="199">
        <f t="shared" si="19"/>
        <v>85</v>
      </c>
      <c r="Z52" s="38">
        <f t="shared" si="20"/>
        <v>70</v>
      </c>
      <c r="AA52" s="39">
        <f t="shared" si="21"/>
        <v>4</v>
      </c>
      <c r="AB52" s="58">
        <f t="shared" si="22"/>
        <v>74</v>
      </c>
      <c r="AC52" s="224">
        <v>1000</v>
      </c>
    </row>
    <row r="53" spans="1:35" s="1" customFormat="1" x14ac:dyDescent="0.2">
      <c r="A53" s="11" t="s">
        <v>5</v>
      </c>
      <c r="B53" s="12" t="s">
        <v>21</v>
      </c>
      <c r="C53" s="12" t="s">
        <v>217</v>
      </c>
      <c r="D53" s="12" t="s">
        <v>218</v>
      </c>
      <c r="E53" s="12">
        <v>6304721</v>
      </c>
      <c r="F53" s="13">
        <v>7860</v>
      </c>
      <c r="G53" s="14">
        <v>45506</v>
      </c>
      <c r="H53" s="15" t="s">
        <v>7</v>
      </c>
      <c r="I53" s="16" t="s">
        <v>8</v>
      </c>
      <c r="J53" s="16">
        <v>6305050</v>
      </c>
      <c r="K53" s="17">
        <v>7755</v>
      </c>
      <c r="L53" s="18">
        <v>45507</v>
      </c>
      <c r="M53" s="19" t="s">
        <v>35</v>
      </c>
      <c r="N53" s="20" t="s">
        <v>115</v>
      </c>
      <c r="O53" s="20">
        <v>15</v>
      </c>
      <c r="P53" s="20"/>
      <c r="Q53" s="21">
        <v>45507</v>
      </c>
      <c r="R53" s="20">
        <v>500</v>
      </c>
      <c r="S53" s="22">
        <v>7773</v>
      </c>
      <c r="T53" s="23">
        <v>257</v>
      </c>
      <c r="V53" s="37">
        <f t="shared" si="16"/>
        <v>7757</v>
      </c>
      <c r="W53" s="46">
        <f t="shared" si="17"/>
        <v>-16</v>
      </c>
      <c r="X53" s="27">
        <f t="shared" si="18"/>
        <v>2</v>
      </c>
      <c r="Y53" s="199">
        <f t="shared" si="19"/>
        <v>-103</v>
      </c>
      <c r="Z53" s="38">
        <f t="shared" si="20"/>
        <v>-105</v>
      </c>
      <c r="AA53" s="39">
        <f t="shared" si="21"/>
        <v>18</v>
      </c>
      <c r="AB53" s="58">
        <f t="shared" si="22"/>
        <v>-87</v>
      </c>
      <c r="AC53" s="224">
        <v>1000</v>
      </c>
    </row>
    <row r="54" spans="1:35" s="1" customFormat="1" x14ac:dyDescent="0.2">
      <c r="A54" s="11" t="s">
        <v>5</v>
      </c>
      <c r="B54" s="12" t="s">
        <v>21</v>
      </c>
      <c r="C54" s="12" t="s">
        <v>219</v>
      </c>
      <c r="D54" s="12" t="s">
        <v>218</v>
      </c>
      <c r="E54" s="12">
        <v>6304592</v>
      </c>
      <c r="F54" s="13">
        <v>7720</v>
      </c>
      <c r="G54" s="14">
        <v>45506</v>
      </c>
      <c r="H54" s="15" t="s">
        <v>7</v>
      </c>
      <c r="I54" s="16" t="s">
        <v>8</v>
      </c>
      <c r="J54" s="16">
        <v>6304856</v>
      </c>
      <c r="K54" s="17">
        <v>7630</v>
      </c>
      <c r="L54" s="18">
        <v>45507</v>
      </c>
      <c r="M54" s="19" t="s">
        <v>35</v>
      </c>
      <c r="N54" s="20" t="s">
        <v>74</v>
      </c>
      <c r="O54" s="20">
        <v>15</v>
      </c>
      <c r="P54" s="20"/>
      <c r="Q54" s="21">
        <v>45507</v>
      </c>
      <c r="R54" s="20">
        <v>55</v>
      </c>
      <c r="S54" s="22">
        <v>7555</v>
      </c>
      <c r="T54" s="23">
        <v>50</v>
      </c>
      <c r="V54" s="37">
        <f t="shared" si="16"/>
        <v>7605</v>
      </c>
      <c r="W54" s="46">
        <f t="shared" si="17"/>
        <v>50</v>
      </c>
      <c r="X54" s="27">
        <f t="shared" si="18"/>
        <v>-25</v>
      </c>
      <c r="Y54" s="199">
        <f t="shared" si="19"/>
        <v>-115</v>
      </c>
      <c r="Z54" s="38">
        <f t="shared" si="20"/>
        <v>-90</v>
      </c>
      <c r="AA54" s="39">
        <f t="shared" si="21"/>
        <v>-75</v>
      </c>
      <c r="AB54" s="58">
        <f t="shared" si="22"/>
        <v>-165</v>
      </c>
      <c r="AC54" s="224">
        <v>1000</v>
      </c>
    </row>
    <row r="55" spans="1:35" s="1" customFormat="1" x14ac:dyDescent="0.2">
      <c r="A55" s="11" t="s">
        <v>5</v>
      </c>
      <c r="B55" s="12" t="s">
        <v>21</v>
      </c>
      <c r="C55" s="12" t="s">
        <v>222</v>
      </c>
      <c r="D55" s="12" t="s">
        <v>218</v>
      </c>
      <c r="E55" s="12">
        <v>6304444</v>
      </c>
      <c r="F55" s="13">
        <v>7720</v>
      </c>
      <c r="G55" s="14">
        <v>45506</v>
      </c>
      <c r="H55" s="15" t="s">
        <v>7</v>
      </c>
      <c r="I55" s="16" t="s">
        <v>32</v>
      </c>
      <c r="J55" s="16">
        <v>6304605</v>
      </c>
      <c r="K55" s="17">
        <v>7620</v>
      </c>
      <c r="L55" s="18">
        <v>45506</v>
      </c>
      <c r="M55" s="19" t="s">
        <v>44</v>
      </c>
      <c r="N55" s="20" t="s">
        <v>223</v>
      </c>
      <c r="O55" s="20"/>
      <c r="P55" s="20">
        <v>24</v>
      </c>
      <c r="Q55" s="21">
        <v>45506</v>
      </c>
      <c r="R55" s="20">
        <v>110</v>
      </c>
      <c r="S55" s="22">
        <v>7600</v>
      </c>
      <c r="T55" s="23">
        <v>200</v>
      </c>
      <c r="V55" s="37">
        <f t="shared" si="16"/>
        <v>7630</v>
      </c>
      <c r="W55" s="46">
        <f t="shared" si="17"/>
        <v>30</v>
      </c>
      <c r="X55" s="27">
        <f t="shared" si="18"/>
        <v>10</v>
      </c>
      <c r="Y55" s="199">
        <f t="shared" si="19"/>
        <v>-90</v>
      </c>
      <c r="Z55" s="38">
        <f t="shared" si="20"/>
        <v>-100</v>
      </c>
      <c r="AA55" s="39">
        <f t="shared" si="21"/>
        <v>-20</v>
      </c>
      <c r="AB55" s="58">
        <f t="shared" si="22"/>
        <v>-120</v>
      </c>
      <c r="AC55" s="224">
        <v>1000</v>
      </c>
    </row>
    <row r="56" spans="1:35" s="1" customFormat="1" x14ac:dyDescent="0.2">
      <c r="A56" s="11" t="s">
        <v>5</v>
      </c>
      <c r="B56" s="12" t="s">
        <v>21</v>
      </c>
      <c r="C56" s="12" t="s">
        <v>224</v>
      </c>
      <c r="D56" s="12" t="s">
        <v>62</v>
      </c>
      <c r="E56" s="12">
        <v>6303787</v>
      </c>
      <c r="F56" s="13">
        <v>7720</v>
      </c>
      <c r="G56" s="14">
        <v>45506</v>
      </c>
      <c r="H56" s="15" t="s">
        <v>7</v>
      </c>
      <c r="I56" s="16" t="s">
        <v>32</v>
      </c>
      <c r="J56" s="16">
        <v>6304410</v>
      </c>
      <c r="K56" s="17">
        <v>7620</v>
      </c>
      <c r="L56" s="18">
        <v>45506</v>
      </c>
      <c r="M56" s="19" t="s">
        <v>44</v>
      </c>
      <c r="N56" s="20" t="s">
        <v>18</v>
      </c>
      <c r="O56" s="20"/>
      <c r="P56" s="20">
        <v>24</v>
      </c>
      <c r="Q56" s="21">
        <v>45506</v>
      </c>
      <c r="R56" s="20">
        <v>110</v>
      </c>
      <c r="S56" s="22">
        <v>7625</v>
      </c>
      <c r="T56" s="23">
        <v>200</v>
      </c>
      <c r="V56" s="37">
        <f t="shared" si="16"/>
        <v>7630</v>
      </c>
      <c r="W56" s="28">
        <f t="shared" si="17"/>
        <v>5</v>
      </c>
      <c r="X56" s="45">
        <f t="shared" si="18"/>
        <v>10</v>
      </c>
      <c r="Y56" s="199">
        <f t="shared" si="19"/>
        <v>-90</v>
      </c>
      <c r="Z56" s="38">
        <f t="shared" si="20"/>
        <v>-100</v>
      </c>
      <c r="AA56" s="39">
        <f t="shared" si="21"/>
        <v>5</v>
      </c>
      <c r="AB56" s="58">
        <f t="shared" si="22"/>
        <v>-95</v>
      </c>
      <c r="AC56" s="224">
        <v>1000</v>
      </c>
    </row>
    <row r="57" spans="1:35" s="1" customFormat="1" x14ac:dyDescent="0.2">
      <c r="A57" s="11" t="s">
        <v>5</v>
      </c>
      <c r="B57" s="12" t="s">
        <v>21</v>
      </c>
      <c r="C57" s="12" t="s">
        <v>226</v>
      </c>
      <c r="D57" s="12" t="s">
        <v>15</v>
      </c>
      <c r="E57" s="12">
        <v>6303354</v>
      </c>
      <c r="F57" s="13">
        <v>7920</v>
      </c>
      <c r="G57" s="14">
        <v>45506</v>
      </c>
      <c r="H57" s="15" t="s">
        <v>7</v>
      </c>
      <c r="I57" s="16" t="s">
        <v>8</v>
      </c>
      <c r="J57" s="16">
        <v>6304908</v>
      </c>
      <c r="K57" s="17">
        <v>7620</v>
      </c>
      <c r="L57" s="18">
        <v>45507</v>
      </c>
      <c r="M57" s="19" t="s">
        <v>44</v>
      </c>
      <c r="N57" s="20" t="s">
        <v>18</v>
      </c>
      <c r="O57" s="20">
        <v>15</v>
      </c>
      <c r="P57" s="20"/>
      <c r="Q57" s="21">
        <v>45507</v>
      </c>
      <c r="R57" s="20">
        <v>500</v>
      </c>
      <c r="S57" s="22">
        <v>7500</v>
      </c>
      <c r="T57" s="23">
        <v>150</v>
      </c>
      <c r="V57" s="37">
        <f t="shared" si="16"/>
        <v>7650</v>
      </c>
      <c r="W57" s="46">
        <f t="shared" si="17"/>
        <v>150</v>
      </c>
      <c r="X57" s="27">
        <f t="shared" si="18"/>
        <v>30</v>
      </c>
      <c r="Y57" s="199">
        <f t="shared" si="19"/>
        <v>-270</v>
      </c>
      <c r="Z57" s="38">
        <f t="shared" si="20"/>
        <v>-300</v>
      </c>
      <c r="AA57" s="39">
        <f t="shared" si="21"/>
        <v>-120</v>
      </c>
      <c r="AB57" s="58">
        <f t="shared" si="22"/>
        <v>-420</v>
      </c>
      <c r="AC57" s="224">
        <v>1000</v>
      </c>
    </row>
    <row r="58" spans="1:35" s="1" customFormat="1" x14ac:dyDescent="0.2">
      <c r="A58" s="11" t="s">
        <v>5</v>
      </c>
      <c r="B58" s="12" t="s">
        <v>21</v>
      </c>
      <c r="C58" s="12" t="s">
        <v>227</v>
      </c>
      <c r="D58" s="12" t="s">
        <v>15</v>
      </c>
      <c r="E58" s="12">
        <v>6303555</v>
      </c>
      <c r="F58" s="13">
        <v>7720</v>
      </c>
      <c r="G58" s="14">
        <v>45506</v>
      </c>
      <c r="H58" s="15" t="s">
        <v>7</v>
      </c>
      <c r="I58" s="16" t="s">
        <v>63</v>
      </c>
      <c r="J58" s="16">
        <v>6304220</v>
      </c>
      <c r="K58" s="17">
        <v>7840</v>
      </c>
      <c r="L58" s="18">
        <v>45506</v>
      </c>
      <c r="M58" s="19" t="s">
        <v>39</v>
      </c>
      <c r="N58" s="20" t="s">
        <v>18</v>
      </c>
      <c r="O58" s="20">
        <v>15</v>
      </c>
      <c r="P58" s="20"/>
      <c r="Q58" s="21">
        <v>45507</v>
      </c>
      <c r="R58" s="20">
        <v>55</v>
      </c>
      <c r="S58" s="22">
        <v>7855</v>
      </c>
      <c r="T58" s="23">
        <v>290</v>
      </c>
      <c r="V58" s="37">
        <f t="shared" si="16"/>
        <v>7845</v>
      </c>
      <c r="W58" s="46">
        <f t="shared" si="17"/>
        <v>-10</v>
      </c>
      <c r="X58" s="27">
        <f t="shared" si="18"/>
        <v>5</v>
      </c>
      <c r="Y58" s="199">
        <f t="shared" si="19"/>
        <v>125</v>
      </c>
      <c r="Z58" s="38">
        <f t="shared" si="20"/>
        <v>120</v>
      </c>
      <c r="AA58" s="39">
        <f t="shared" si="21"/>
        <v>15</v>
      </c>
      <c r="AB58" s="58">
        <f t="shared" si="22"/>
        <v>135</v>
      </c>
      <c r="AC58" s="224">
        <v>1000</v>
      </c>
    </row>
    <row r="59" spans="1:35" s="1" customFormat="1" x14ac:dyDescent="0.2">
      <c r="A59" s="11" t="s">
        <v>5</v>
      </c>
      <c r="B59" s="12" t="s">
        <v>21</v>
      </c>
      <c r="C59" s="12" t="s">
        <v>230</v>
      </c>
      <c r="D59" s="12" t="s">
        <v>231</v>
      </c>
      <c r="E59" s="12">
        <v>6305812</v>
      </c>
      <c r="F59" s="13">
        <v>7720</v>
      </c>
      <c r="G59" s="14">
        <v>45507</v>
      </c>
      <c r="H59" s="15" t="s">
        <v>7</v>
      </c>
      <c r="I59" s="16" t="s">
        <v>16</v>
      </c>
      <c r="J59" s="16">
        <v>6306570</v>
      </c>
      <c r="K59" s="17">
        <v>7620</v>
      </c>
      <c r="L59" s="18">
        <v>45509</v>
      </c>
      <c r="M59" s="19" t="s">
        <v>35</v>
      </c>
      <c r="N59" s="20" t="s">
        <v>74</v>
      </c>
      <c r="O59" s="20">
        <v>15</v>
      </c>
      <c r="P59" s="20"/>
      <c r="Q59" s="21">
        <v>45509</v>
      </c>
      <c r="R59" s="20">
        <v>55</v>
      </c>
      <c r="S59" s="22">
        <v>7555</v>
      </c>
      <c r="T59" s="23">
        <v>60</v>
      </c>
      <c r="V59" s="37">
        <f t="shared" si="16"/>
        <v>7615</v>
      </c>
      <c r="W59" s="46">
        <f t="shared" si="17"/>
        <v>60</v>
      </c>
      <c r="X59" s="27">
        <f t="shared" si="18"/>
        <v>-5</v>
      </c>
      <c r="Y59" s="199">
        <f t="shared" si="19"/>
        <v>-105</v>
      </c>
      <c r="Z59" s="38">
        <f t="shared" si="20"/>
        <v>-100</v>
      </c>
      <c r="AA59" s="39">
        <f t="shared" si="21"/>
        <v>-65</v>
      </c>
      <c r="AB59" s="58">
        <f t="shared" si="22"/>
        <v>-165</v>
      </c>
      <c r="AC59" s="224">
        <v>1000</v>
      </c>
    </row>
    <row r="60" spans="1:35" s="1" customFormat="1" x14ac:dyDescent="0.2">
      <c r="A60" s="11" t="s">
        <v>5</v>
      </c>
      <c r="B60" s="12" t="s">
        <v>21</v>
      </c>
      <c r="C60" s="12" t="s">
        <v>232</v>
      </c>
      <c r="D60" s="12" t="s">
        <v>231</v>
      </c>
      <c r="E60" s="12">
        <v>6304672</v>
      </c>
      <c r="F60" s="13">
        <v>7720</v>
      </c>
      <c r="G60" s="14">
        <v>45507</v>
      </c>
      <c r="H60" s="15" t="s">
        <v>7</v>
      </c>
      <c r="I60" s="16" t="s">
        <v>32</v>
      </c>
      <c r="J60" s="16">
        <v>6305810</v>
      </c>
      <c r="K60" s="17">
        <v>7630</v>
      </c>
      <c r="L60" s="18">
        <v>45507</v>
      </c>
      <c r="M60" s="19" t="s">
        <v>35</v>
      </c>
      <c r="N60" s="20" t="s">
        <v>74</v>
      </c>
      <c r="O60" s="20">
        <v>15</v>
      </c>
      <c r="P60" s="20"/>
      <c r="Q60" s="21">
        <v>45509</v>
      </c>
      <c r="R60" s="20">
        <v>55</v>
      </c>
      <c r="S60" s="22">
        <v>7555</v>
      </c>
      <c r="T60" s="23">
        <v>70</v>
      </c>
      <c r="V60" s="37">
        <f t="shared" si="16"/>
        <v>7625</v>
      </c>
      <c r="W60" s="46">
        <f t="shared" si="17"/>
        <v>70</v>
      </c>
      <c r="X60" s="27">
        <f t="shared" si="18"/>
        <v>-5</v>
      </c>
      <c r="Y60" s="199">
        <f t="shared" si="19"/>
        <v>-95</v>
      </c>
      <c r="Z60" s="38">
        <f t="shared" si="20"/>
        <v>-90</v>
      </c>
      <c r="AA60" s="39">
        <f t="shared" si="21"/>
        <v>-75</v>
      </c>
      <c r="AB60" s="58">
        <f t="shared" si="22"/>
        <v>-165</v>
      </c>
      <c r="AC60" s="224">
        <v>1000</v>
      </c>
    </row>
    <row r="61" spans="1:35" s="1" customFormat="1" x14ac:dyDescent="0.2">
      <c r="A61" s="11" t="s">
        <v>5</v>
      </c>
      <c r="B61" s="12" t="s">
        <v>21</v>
      </c>
      <c r="C61" s="197" t="s">
        <v>233</v>
      </c>
      <c r="D61" s="12" t="s">
        <v>15</v>
      </c>
      <c r="E61" s="12">
        <v>6303634</v>
      </c>
      <c r="F61" s="13">
        <v>7900</v>
      </c>
      <c r="G61" s="197">
        <v>45506</v>
      </c>
      <c r="H61" s="15" t="s">
        <v>7</v>
      </c>
      <c r="I61" s="16" t="s">
        <v>16</v>
      </c>
      <c r="J61" s="16">
        <v>6306733</v>
      </c>
      <c r="K61" s="17">
        <v>7810</v>
      </c>
      <c r="L61" s="18">
        <v>45509</v>
      </c>
      <c r="M61" s="19" t="s">
        <v>39</v>
      </c>
      <c r="N61" s="20" t="s">
        <v>18</v>
      </c>
      <c r="O61" s="20">
        <v>15</v>
      </c>
      <c r="P61" s="20"/>
      <c r="Q61" s="21">
        <v>45509</v>
      </c>
      <c r="R61" s="20">
        <v>500</v>
      </c>
      <c r="S61" s="22">
        <v>7805</v>
      </c>
      <c r="T61" s="23">
        <v>300</v>
      </c>
      <c r="V61" s="37">
        <f t="shared" si="16"/>
        <v>7800</v>
      </c>
      <c r="W61" s="28">
        <f t="shared" si="17"/>
        <v>-5</v>
      </c>
      <c r="X61" s="45">
        <f t="shared" si="18"/>
        <v>-10</v>
      </c>
      <c r="Y61" s="199">
        <f t="shared" si="19"/>
        <v>-100</v>
      </c>
      <c r="Z61" s="38">
        <f t="shared" si="20"/>
        <v>-90</v>
      </c>
      <c r="AA61" s="39">
        <f t="shared" si="21"/>
        <v>-5</v>
      </c>
      <c r="AB61" s="58">
        <f t="shared" si="22"/>
        <v>-95</v>
      </c>
      <c r="AC61" s="224">
        <v>1000</v>
      </c>
    </row>
    <row r="62" spans="1:35" s="1" customFormat="1" x14ac:dyDescent="0.2">
      <c r="A62" s="11" t="s">
        <v>5</v>
      </c>
      <c r="B62" s="12" t="s">
        <v>21</v>
      </c>
      <c r="C62" s="12" t="s">
        <v>235</v>
      </c>
      <c r="D62" s="12" t="s">
        <v>62</v>
      </c>
      <c r="E62" s="12">
        <v>6306286</v>
      </c>
      <c r="F62" s="13">
        <v>7720</v>
      </c>
      <c r="G62" s="14">
        <v>45509</v>
      </c>
      <c r="H62" s="15" t="s">
        <v>7</v>
      </c>
      <c r="I62" s="16" t="s">
        <v>27</v>
      </c>
      <c r="J62" s="16">
        <v>6306404</v>
      </c>
      <c r="K62" s="17">
        <v>7620</v>
      </c>
      <c r="L62" s="18">
        <v>45509</v>
      </c>
      <c r="M62" s="19" t="s">
        <v>35</v>
      </c>
      <c r="N62" s="20" t="s">
        <v>74</v>
      </c>
      <c r="O62" s="20">
        <v>15</v>
      </c>
      <c r="P62" s="20"/>
      <c r="Q62" s="21">
        <v>45509</v>
      </c>
      <c r="R62" s="20">
        <v>55</v>
      </c>
      <c r="S62" s="22">
        <v>7555</v>
      </c>
      <c r="T62" s="23">
        <v>70</v>
      </c>
      <c r="V62" s="37">
        <f t="shared" si="16"/>
        <v>7625</v>
      </c>
      <c r="W62" s="46">
        <f t="shared" si="17"/>
        <v>70</v>
      </c>
      <c r="X62" s="27">
        <f t="shared" si="18"/>
        <v>5</v>
      </c>
      <c r="Y62" s="199">
        <f t="shared" si="19"/>
        <v>-95</v>
      </c>
      <c r="Z62" s="38">
        <f t="shared" si="20"/>
        <v>-100</v>
      </c>
      <c r="AA62" s="39">
        <f t="shared" si="21"/>
        <v>-65</v>
      </c>
      <c r="AB62" s="58">
        <f t="shared" si="22"/>
        <v>-165</v>
      </c>
      <c r="AC62" s="224">
        <v>1000</v>
      </c>
    </row>
    <row r="63" spans="1:35" s="1" customFormat="1" x14ac:dyDescent="0.2">
      <c r="A63" s="11" t="s">
        <v>5</v>
      </c>
      <c r="B63" s="12" t="s">
        <v>21</v>
      </c>
      <c r="C63" s="12" t="s">
        <v>235</v>
      </c>
      <c r="D63" s="12" t="s">
        <v>62</v>
      </c>
      <c r="E63" s="12">
        <v>6306286</v>
      </c>
      <c r="F63" s="13">
        <v>7930</v>
      </c>
      <c r="G63" s="14">
        <v>45507</v>
      </c>
      <c r="H63" s="15" t="s">
        <v>163</v>
      </c>
      <c r="I63" s="16" t="s">
        <v>63</v>
      </c>
      <c r="J63" s="16">
        <v>6306485</v>
      </c>
      <c r="K63" s="17">
        <v>7835</v>
      </c>
      <c r="L63" s="18">
        <v>45509</v>
      </c>
      <c r="M63" s="19" t="s">
        <v>39</v>
      </c>
      <c r="N63" s="20" t="s">
        <v>115</v>
      </c>
      <c r="O63" s="20"/>
      <c r="P63" s="20">
        <v>25</v>
      </c>
      <c r="Q63" s="21">
        <v>45509</v>
      </c>
      <c r="R63" s="20">
        <v>110</v>
      </c>
      <c r="S63" s="22">
        <v>7742</v>
      </c>
      <c r="T63" s="23">
        <v>130</v>
      </c>
      <c r="V63" s="37">
        <f t="shared" si="16"/>
        <v>7865</v>
      </c>
      <c r="W63" s="24">
        <f t="shared" si="17"/>
        <v>123</v>
      </c>
      <c r="X63" s="27">
        <f t="shared" si="18"/>
        <v>30</v>
      </c>
      <c r="Y63" s="200">
        <f t="shared" si="19"/>
        <v>-65</v>
      </c>
      <c r="Z63" s="38">
        <f t="shared" si="20"/>
        <v>-95</v>
      </c>
      <c r="AA63" s="39">
        <f t="shared" si="21"/>
        <v>-93</v>
      </c>
      <c r="AB63" s="58">
        <f t="shared" si="22"/>
        <v>-188</v>
      </c>
      <c r="AC63" s="224">
        <v>1000</v>
      </c>
    </row>
    <row r="64" spans="1:35" s="1" customFormat="1" x14ac:dyDescent="0.2">
      <c r="A64" s="209"/>
      <c r="B64" s="209"/>
      <c r="C64" s="209"/>
      <c r="D64" s="209"/>
      <c r="E64" s="209"/>
      <c r="F64" s="213"/>
      <c r="G64" s="153"/>
      <c r="H64" s="209"/>
      <c r="I64" s="209"/>
      <c r="J64" s="209"/>
      <c r="K64" s="213"/>
      <c r="L64" s="153"/>
      <c r="M64" s="209"/>
      <c r="N64" s="209"/>
      <c r="O64" s="209"/>
      <c r="P64" s="209"/>
      <c r="Q64" s="153"/>
      <c r="R64" s="209"/>
      <c r="S64" s="213"/>
      <c r="T64" s="209"/>
      <c r="U64" s="209"/>
      <c r="V64" s="213"/>
      <c r="W64" s="213"/>
      <c r="X64" s="209"/>
      <c r="Y64" s="154"/>
      <c r="Z64" s="209"/>
      <c r="AA64" s="209"/>
      <c r="AB64" s="209"/>
      <c r="AC64" s="196"/>
      <c r="AD64" s="209"/>
    </row>
    <row r="65" spans="1:35" s="1" customFormat="1" x14ac:dyDescent="0.2">
      <c r="A65" s="209"/>
      <c r="B65" s="209"/>
      <c r="C65" s="209"/>
      <c r="D65" s="209"/>
      <c r="E65" s="209"/>
      <c r="F65" s="213"/>
      <c r="G65" s="153"/>
      <c r="H65" s="209"/>
      <c r="I65" s="209"/>
      <c r="J65" s="209"/>
      <c r="K65" s="213"/>
      <c r="L65" s="153"/>
      <c r="M65" s="209"/>
      <c r="N65" s="209"/>
      <c r="O65" s="209"/>
      <c r="P65" s="209"/>
      <c r="Q65" s="153"/>
      <c r="R65" s="209"/>
      <c r="S65" s="213"/>
      <c r="T65" s="209"/>
      <c r="U65" s="209"/>
      <c r="V65" s="213"/>
      <c r="W65" s="213"/>
      <c r="X65" s="209"/>
      <c r="Y65" s="154"/>
      <c r="Z65" s="209"/>
      <c r="AA65" s="209"/>
      <c r="AB65" s="209"/>
      <c r="AC65" s="196"/>
      <c r="AD65" s="209"/>
    </row>
    <row r="66" spans="1:35" s="1" customFormat="1" x14ac:dyDescent="0.2">
      <c r="A66" s="209"/>
      <c r="B66" s="209"/>
      <c r="C66" s="209"/>
      <c r="D66" s="209"/>
      <c r="E66" s="209"/>
      <c r="F66" s="213"/>
      <c r="G66" s="153"/>
      <c r="H66" s="209"/>
      <c r="I66" s="209"/>
      <c r="J66" s="209"/>
      <c r="K66" s="213"/>
      <c r="L66" s="153"/>
      <c r="M66" s="209"/>
      <c r="N66" s="209"/>
      <c r="O66" s="209"/>
      <c r="P66" s="209"/>
      <c r="Q66" s="153"/>
      <c r="R66" s="209"/>
      <c r="S66" s="213"/>
      <c r="T66" s="209"/>
      <c r="U66" s="209"/>
      <c r="V66" s="213"/>
      <c r="W66" s="213"/>
      <c r="X66" s="209"/>
      <c r="Y66" s="154"/>
      <c r="Z66" s="209"/>
      <c r="AA66" s="209"/>
      <c r="AB66" s="209"/>
      <c r="AC66" s="196"/>
      <c r="AD66" s="209"/>
    </row>
    <row r="67" spans="1:35" x14ac:dyDescent="0.2">
      <c r="A67" s="209"/>
      <c r="B67" s="209"/>
      <c r="C67" s="209"/>
      <c r="D67" s="209"/>
      <c r="E67" s="209"/>
      <c r="F67" s="213"/>
      <c r="G67" s="153"/>
      <c r="H67" s="209"/>
      <c r="I67" s="209"/>
      <c r="J67" s="209"/>
      <c r="K67" s="213"/>
      <c r="L67" s="153"/>
      <c r="M67" s="209"/>
      <c r="N67" s="209"/>
      <c r="O67" s="209"/>
      <c r="P67" s="209"/>
      <c r="Q67" s="153"/>
      <c r="R67" s="209"/>
      <c r="S67" s="213"/>
      <c r="T67" s="209"/>
      <c r="U67" s="209"/>
      <c r="V67" s="213"/>
      <c r="W67" s="213"/>
      <c r="X67" s="209"/>
      <c r="Y67" s="154"/>
      <c r="Z67" s="209"/>
      <c r="AA67" s="209"/>
      <c r="AB67" s="209"/>
      <c r="AC67" s="209"/>
      <c r="AD67" s="209"/>
      <c r="AE67" s="168"/>
      <c r="AF67" s="168"/>
    </row>
    <row r="68" spans="1:35" ht="31.5" thickBot="1" x14ac:dyDescent="0.25">
      <c r="A68" s="209"/>
      <c r="B68" s="209"/>
      <c r="C68" s="209"/>
      <c r="D68" s="209"/>
      <c r="E68" s="209"/>
      <c r="F68" s="213"/>
      <c r="G68" s="153"/>
      <c r="H68" s="209"/>
      <c r="I68" s="209"/>
      <c r="J68" s="209"/>
      <c r="K68" s="213"/>
      <c r="L68" s="153"/>
      <c r="M68" s="209"/>
      <c r="N68" s="209"/>
      <c r="O68" s="209"/>
      <c r="P68" s="209"/>
      <c r="Q68" s="153"/>
      <c r="R68" s="209"/>
      <c r="S68" s="213"/>
      <c r="T68" s="209"/>
      <c r="U68" s="209"/>
      <c r="V68" s="213"/>
      <c r="W68" s="213"/>
      <c r="X68" s="209"/>
      <c r="Y68" s="154"/>
      <c r="Z68" s="209"/>
      <c r="AA68" s="209"/>
      <c r="AB68" s="209"/>
      <c r="AC68" s="209"/>
      <c r="AD68" s="209"/>
      <c r="AE68" s="168"/>
      <c r="AF68" s="168"/>
    </row>
    <row r="69" spans="1:35" s="1" customFormat="1" ht="80.099999999999994" customHeight="1" thickBot="1" x14ac:dyDescent="0.25">
      <c r="A69" s="253" t="s">
        <v>86</v>
      </c>
      <c r="B69" s="254" t="s">
        <v>136</v>
      </c>
      <c r="C69" s="254" t="s">
        <v>87</v>
      </c>
      <c r="D69" s="254" t="s">
        <v>88</v>
      </c>
      <c r="E69" s="254" t="s">
        <v>89</v>
      </c>
      <c r="F69" s="254" t="s">
        <v>90</v>
      </c>
      <c r="G69" s="207" t="s">
        <v>3</v>
      </c>
      <c r="H69" s="210" t="s">
        <v>9</v>
      </c>
      <c r="I69" s="211" t="s">
        <v>10</v>
      </c>
      <c r="J69" s="211" t="s">
        <v>1</v>
      </c>
      <c r="K69" s="211" t="s">
        <v>2</v>
      </c>
      <c r="L69" s="212" t="s">
        <v>3</v>
      </c>
      <c r="M69" s="264" t="s">
        <v>9</v>
      </c>
      <c r="N69" s="265" t="s">
        <v>10</v>
      </c>
      <c r="O69" s="266" t="s">
        <v>11</v>
      </c>
      <c r="P69" s="266" t="s">
        <v>12</v>
      </c>
      <c r="Q69" s="265" t="s">
        <v>3</v>
      </c>
      <c r="R69" s="266" t="s">
        <v>100</v>
      </c>
      <c r="S69" s="266" t="s">
        <v>95</v>
      </c>
      <c r="T69" s="267" t="s">
        <v>13</v>
      </c>
      <c r="U69" s="209"/>
      <c r="V69" s="271" t="s">
        <v>60</v>
      </c>
      <c r="W69" s="272" t="s">
        <v>91</v>
      </c>
      <c r="X69" s="272" t="s">
        <v>92</v>
      </c>
      <c r="Y69" s="273" t="s">
        <v>93</v>
      </c>
      <c r="Z69" s="183" t="s">
        <v>94</v>
      </c>
      <c r="AA69" s="151" t="s">
        <v>117</v>
      </c>
      <c r="AB69" s="152" t="s">
        <v>118</v>
      </c>
      <c r="AC69" s="185" t="s">
        <v>197</v>
      </c>
      <c r="AD69" s="209"/>
      <c r="AE69" s="209"/>
      <c r="AF69" s="209"/>
      <c r="AG69" s="209"/>
      <c r="AH69" s="50"/>
      <c r="AI69" s="50"/>
    </row>
    <row r="70" spans="1:35" s="1" customFormat="1" x14ac:dyDescent="0.2">
      <c r="A70" s="11" t="s">
        <v>5</v>
      </c>
      <c r="B70" s="12" t="s">
        <v>21</v>
      </c>
      <c r="C70" s="12" t="s">
        <v>240</v>
      </c>
      <c r="D70" s="12" t="s">
        <v>231</v>
      </c>
      <c r="E70" s="12">
        <v>6305922</v>
      </c>
      <c r="F70" s="13">
        <v>7870</v>
      </c>
      <c r="G70" s="14">
        <v>414401</v>
      </c>
      <c r="H70" s="15" t="s">
        <v>48</v>
      </c>
      <c r="I70" s="16" t="s">
        <v>63</v>
      </c>
      <c r="J70" s="16">
        <v>6309334</v>
      </c>
      <c r="K70" s="17">
        <v>7800</v>
      </c>
      <c r="L70" s="18">
        <v>45511</v>
      </c>
      <c r="M70" s="19" t="s">
        <v>44</v>
      </c>
      <c r="N70" s="20" t="s">
        <v>115</v>
      </c>
      <c r="O70" s="20"/>
      <c r="P70" s="20">
        <v>24</v>
      </c>
      <c r="Q70" s="21">
        <v>45511</v>
      </c>
      <c r="R70" s="20">
        <v>110</v>
      </c>
      <c r="S70" s="22">
        <v>7749</v>
      </c>
      <c r="T70" s="23">
        <v>51</v>
      </c>
      <c r="V70" s="37">
        <f t="shared" ref="V70:V78" si="23">IF(RIGHT(C70, 1)="1",
    IF(O70&lt;&gt;"", 500*O70 + T70 + IF(R70&lt;=110, R70, 0), IF(P70&lt;&gt;"", 305*P70 + T70 + IF(R70&lt;=110, R70, 0), "")),
    IF(O70&lt;&gt;"", 500*O70 + T70, IF(P70&lt;&gt;"", 305*P70 + T70, ""))
)</f>
        <v>7371</v>
      </c>
      <c r="W70" s="28">
        <f t="shared" ref="W70:W78" si="24">IF(OR(ISBLANK(V70), ISBLANK(S70), NOT(ISNUMBER(V70)), NOT(ISNUMBER(S70))), "", V70-S70)</f>
        <v>-378</v>
      </c>
      <c r="X70" s="45">
        <f t="shared" ref="X70:X78" si="25">IF(OR(ISBLANK(V70), ISBLANK(K70), NOT(ISNUMBER(V70)), NOT(ISNUMBER(K70))), "", V70-K70)</f>
        <v>-429</v>
      </c>
      <c r="Y70" s="199">
        <f t="shared" ref="Y70:Y78" si="26">IF(OR(ISBLANK(V70), ISBLANK(F70), NOT(ISNUMBER(V70)), NOT(ISNUMBER(F70))), "", V70-F70)</f>
        <v>-499</v>
      </c>
      <c r="Z70" s="38">
        <f t="shared" ref="Z70:Z78" si="27">IF(OR(ISBLANK(F70), ISBLANK(K70)), "",K70-F70)</f>
        <v>-70</v>
      </c>
      <c r="AA70" s="39">
        <f t="shared" ref="AA70:AA78" si="28">IF(OR(ISBLANK(K70), ISBLANK(S70)), "",S70-K70)</f>
        <v>-51</v>
      </c>
      <c r="AB70" s="58">
        <f t="shared" ref="AB70:AB78" si="29">IF(OR(ISBLANK(F70), ISBLANK(S70)), "",S70-F70)</f>
        <v>-121</v>
      </c>
      <c r="AC70" s="224">
        <v>1003</v>
      </c>
    </row>
    <row r="71" spans="1:35" s="1" customFormat="1" x14ac:dyDescent="0.2">
      <c r="A71" s="11" t="s">
        <v>5</v>
      </c>
      <c r="B71" s="12" t="s">
        <v>21</v>
      </c>
      <c r="C71" s="12" t="s">
        <v>246</v>
      </c>
      <c r="D71" s="12" t="s">
        <v>218</v>
      </c>
      <c r="E71" s="12">
        <v>6309688</v>
      </c>
      <c r="F71" s="13">
        <v>8030</v>
      </c>
      <c r="G71" s="14">
        <v>45511</v>
      </c>
      <c r="H71" s="15" t="s">
        <v>31</v>
      </c>
      <c r="I71" s="16" t="s">
        <v>101</v>
      </c>
      <c r="J71" s="16">
        <v>6310500</v>
      </c>
      <c r="K71" s="17">
        <v>7930</v>
      </c>
      <c r="L71" s="18">
        <v>45511</v>
      </c>
      <c r="M71" s="19" t="s">
        <v>39</v>
      </c>
      <c r="N71" s="20" t="s">
        <v>247</v>
      </c>
      <c r="O71" s="20">
        <v>15</v>
      </c>
      <c r="P71" s="20"/>
      <c r="Q71" s="21">
        <v>45512</v>
      </c>
      <c r="R71" s="20">
        <v>500</v>
      </c>
      <c r="S71" s="22">
        <v>7910</v>
      </c>
      <c r="T71" s="23">
        <v>390</v>
      </c>
      <c r="V71" s="37">
        <f t="shared" si="23"/>
        <v>7890</v>
      </c>
      <c r="W71" s="28">
        <f t="shared" si="24"/>
        <v>-20</v>
      </c>
      <c r="X71" s="45">
        <f t="shared" si="25"/>
        <v>-40</v>
      </c>
      <c r="Y71" s="204">
        <f t="shared" si="26"/>
        <v>-140</v>
      </c>
      <c r="Z71" s="38">
        <f t="shared" si="27"/>
        <v>-100</v>
      </c>
      <c r="AA71" s="39">
        <f t="shared" si="28"/>
        <v>-20</v>
      </c>
      <c r="AB71" s="39">
        <f t="shared" si="29"/>
        <v>-120</v>
      </c>
      <c r="AC71" s="224">
        <v>1005</v>
      </c>
    </row>
    <row r="72" spans="1:35" s="1" customFormat="1" x14ac:dyDescent="0.2">
      <c r="A72" s="11" t="s">
        <v>5</v>
      </c>
      <c r="B72" s="12" t="s">
        <v>21</v>
      </c>
      <c r="C72" s="12" t="s">
        <v>248</v>
      </c>
      <c r="D72" s="12" t="s">
        <v>62</v>
      </c>
      <c r="E72" s="12">
        <v>6310764</v>
      </c>
      <c r="F72" s="13">
        <v>7660</v>
      </c>
      <c r="G72" s="14">
        <v>45512</v>
      </c>
      <c r="H72" s="15" t="s">
        <v>31</v>
      </c>
      <c r="I72" s="16" t="s">
        <v>27</v>
      </c>
      <c r="J72" s="16">
        <v>6310934</v>
      </c>
      <c r="K72" s="17">
        <v>7560</v>
      </c>
      <c r="L72" s="18">
        <v>45512</v>
      </c>
      <c r="M72" s="19" t="s">
        <v>44</v>
      </c>
      <c r="N72" s="20" t="s">
        <v>115</v>
      </c>
      <c r="O72" s="20">
        <v>14</v>
      </c>
      <c r="P72" s="20"/>
      <c r="Q72" s="21">
        <v>45512</v>
      </c>
      <c r="R72" s="20">
        <v>110</v>
      </c>
      <c r="S72" s="22">
        <v>7560</v>
      </c>
      <c r="T72" s="23">
        <v>450</v>
      </c>
      <c r="V72" s="37">
        <f t="shared" si="23"/>
        <v>7560</v>
      </c>
      <c r="W72" s="28">
        <f t="shared" si="24"/>
        <v>0</v>
      </c>
      <c r="X72" s="45">
        <f t="shared" si="25"/>
        <v>0</v>
      </c>
      <c r="Y72" s="204">
        <f t="shared" si="26"/>
        <v>-100</v>
      </c>
      <c r="Z72" s="38">
        <f t="shared" si="27"/>
        <v>-100</v>
      </c>
      <c r="AA72" s="39">
        <f t="shared" si="28"/>
        <v>0</v>
      </c>
      <c r="AB72" s="39">
        <f t="shared" si="29"/>
        <v>-100</v>
      </c>
      <c r="AC72" s="224">
        <v>1003</v>
      </c>
    </row>
    <row r="73" spans="1:35" s="1" customFormat="1" x14ac:dyDescent="0.2">
      <c r="A73" s="11" t="s">
        <v>5</v>
      </c>
      <c r="B73" s="12" t="s">
        <v>21</v>
      </c>
      <c r="C73" s="12" t="s">
        <v>249</v>
      </c>
      <c r="D73" s="12" t="s">
        <v>15</v>
      </c>
      <c r="E73" s="12">
        <v>6310568</v>
      </c>
      <c r="F73" s="13">
        <v>7760</v>
      </c>
      <c r="G73" s="14">
        <v>45511</v>
      </c>
      <c r="H73" s="15" t="s">
        <v>31</v>
      </c>
      <c r="I73" s="16" t="s">
        <v>27</v>
      </c>
      <c r="J73" s="16">
        <v>6310781</v>
      </c>
      <c r="K73" s="17">
        <v>7560</v>
      </c>
      <c r="L73" s="18">
        <v>45512</v>
      </c>
      <c r="M73" s="19" t="s">
        <v>44</v>
      </c>
      <c r="N73" s="20" t="s">
        <v>18</v>
      </c>
      <c r="O73" s="20">
        <v>14</v>
      </c>
      <c r="P73" s="20"/>
      <c r="Q73" s="21">
        <v>45512</v>
      </c>
      <c r="R73" s="20">
        <v>110</v>
      </c>
      <c r="S73" s="22">
        <v>7570</v>
      </c>
      <c r="T73" s="23">
        <v>450</v>
      </c>
      <c r="V73" s="37">
        <f t="shared" si="23"/>
        <v>7560</v>
      </c>
      <c r="W73" s="46">
        <f t="shared" si="24"/>
        <v>-10</v>
      </c>
      <c r="X73" s="27">
        <f t="shared" si="25"/>
        <v>0</v>
      </c>
      <c r="Y73" s="204">
        <f t="shared" si="26"/>
        <v>-200</v>
      </c>
      <c r="Z73" s="38">
        <f t="shared" si="27"/>
        <v>-200</v>
      </c>
      <c r="AA73" s="39">
        <f t="shared" si="28"/>
        <v>10</v>
      </c>
      <c r="AB73" s="39">
        <f t="shared" si="29"/>
        <v>-190</v>
      </c>
      <c r="AC73" s="224">
        <v>1003</v>
      </c>
    </row>
    <row r="74" spans="1:35" s="1" customFormat="1" x14ac:dyDescent="0.2">
      <c r="A74" s="11" t="s">
        <v>5</v>
      </c>
      <c r="B74" s="12" t="s">
        <v>21</v>
      </c>
      <c r="C74" s="12" t="s">
        <v>257</v>
      </c>
      <c r="D74" s="12" t="s">
        <v>218</v>
      </c>
      <c r="E74" s="12">
        <v>6309587</v>
      </c>
      <c r="F74" s="13">
        <v>7660</v>
      </c>
      <c r="G74" s="14">
        <v>45511</v>
      </c>
      <c r="H74" s="15" t="s">
        <v>31</v>
      </c>
      <c r="I74" s="16" t="s">
        <v>101</v>
      </c>
      <c r="J74" s="16">
        <v>6310368</v>
      </c>
      <c r="K74" s="17">
        <v>7550</v>
      </c>
      <c r="L74" s="18">
        <v>45511</v>
      </c>
      <c r="M74" s="19" t="s">
        <v>39</v>
      </c>
      <c r="N74" s="20" t="s">
        <v>51</v>
      </c>
      <c r="O74" s="20">
        <v>14</v>
      </c>
      <c r="P74" s="20"/>
      <c r="Q74" s="21">
        <v>45511</v>
      </c>
      <c r="R74" s="20">
        <v>110</v>
      </c>
      <c r="S74" s="22">
        <v>7520</v>
      </c>
      <c r="T74" s="23">
        <v>350</v>
      </c>
      <c r="V74" s="37">
        <f t="shared" si="23"/>
        <v>7460</v>
      </c>
      <c r="W74" s="28">
        <f t="shared" si="24"/>
        <v>-60</v>
      </c>
      <c r="X74" s="45">
        <f t="shared" si="25"/>
        <v>-90</v>
      </c>
      <c r="Y74" s="204">
        <f t="shared" si="26"/>
        <v>-200</v>
      </c>
      <c r="Z74" s="38">
        <f t="shared" si="27"/>
        <v>-110</v>
      </c>
      <c r="AA74" s="39">
        <f t="shared" si="28"/>
        <v>-30</v>
      </c>
      <c r="AB74" s="39">
        <f t="shared" si="29"/>
        <v>-140</v>
      </c>
      <c r="AC74" s="224">
        <v>1005</v>
      </c>
    </row>
    <row r="75" spans="1:35" s="1" customFormat="1" x14ac:dyDescent="0.2">
      <c r="A75" s="11" t="s">
        <v>5</v>
      </c>
      <c r="B75" s="12" t="s">
        <v>21</v>
      </c>
      <c r="C75" s="12" t="s">
        <v>261</v>
      </c>
      <c r="D75" s="12" t="s">
        <v>15</v>
      </c>
      <c r="E75" s="12">
        <v>6310479</v>
      </c>
      <c r="F75" s="13">
        <v>7668</v>
      </c>
      <c r="G75" s="14">
        <v>45511</v>
      </c>
      <c r="H75" s="15" t="s">
        <v>163</v>
      </c>
      <c r="I75" s="16" t="s">
        <v>8</v>
      </c>
      <c r="J75" s="16">
        <v>6312095</v>
      </c>
      <c r="K75" s="17">
        <v>7540</v>
      </c>
      <c r="L75" s="18">
        <v>45512</v>
      </c>
      <c r="M75" s="19" t="s">
        <v>39</v>
      </c>
      <c r="N75" s="20" t="s">
        <v>51</v>
      </c>
      <c r="O75" s="20">
        <v>15</v>
      </c>
      <c r="P75" s="20"/>
      <c r="Q75" s="21">
        <v>45512</v>
      </c>
      <c r="R75" s="20">
        <v>500</v>
      </c>
      <c r="S75" s="22">
        <v>7528</v>
      </c>
      <c r="T75" s="23">
        <v>10</v>
      </c>
      <c r="V75" s="37">
        <f t="shared" si="23"/>
        <v>7510</v>
      </c>
      <c r="W75" s="28">
        <f t="shared" si="24"/>
        <v>-18</v>
      </c>
      <c r="X75" s="45">
        <f t="shared" si="25"/>
        <v>-30</v>
      </c>
      <c r="Y75" s="204">
        <f t="shared" si="26"/>
        <v>-158</v>
      </c>
      <c r="Z75" s="38">
        <f t="shared" si="27"/>
        <v>-128</v>
      </c>
      <c r="AA75" s="39">
        <f t="shared" si="28"/>
        <v>-12</v>
      </c>
      <c r="AB75" s="39">
        <f t="shared" si="29"/>
        <v>-140</v>
      </c>
      <c r="AC75" s="224">
        <v>1003</v>
      </c>
    </row>
    <row r="76" spans="1:35" s="1" customFormat="1" x14ac:dyDescent="0.2">
      <c r="A76" s="11" t="s">
        <v>5</v>
      </c>
      <c r="B76" s="12" t="s">
        <v>21</v>
      </c>
      <c r="C76" s="12" t="s">
        <v>262</v>
      </c>
      <c r="D76" s="12" t="s">
        <v>62</v>
      </c>
      <c r="E76" s="12">
        <v>6310941</v>
      </c>
      <c r="F76" s="13">
        <v>7660</v>
      </c>
      <c r="G76" s="14">
        <v>45512</v>
      </c>
      <c r="H76" s="15" t="s">
        <v>31</v>
      </c>
      <c r="I76" s="16" t="s">
        <v>43</v>
      </c>
      <c r="J76" s="16">
        <v>6311470</v>
      </c>
      <c r="K76" s="17">
        <v>7560</v>
      </c>
      <c r="L76" s="18">
        <v>45512</v>
      </c>
      <c r="M76" s="19" t="s">
        <v>17</v>
      </c>
      <c r="N76" s="20" t="s">
        <v>51</v>
      </c>
      <c r="O76" s="20">
        <v>15</v>
      </c>
      <c r="P76" s="20"/>
      <c r="Q76" s="21">
        <v>45512</v>
      </c>
      <c r="R76" s="20">
        <v>500</v>
      </c>
      <c r="S76" s="22">
        <v>7555</v>
      </c>
      <c r="T76" s="23">
        <v>30</v>
      </c>
      <c r="V76" s="37">
        <f t="shared" si="23"/>
        <v>7530</v>
      </c>
      <c r="W76" s="28">
        <f t="shared" si="24"/>
        <v>-25</v>
      </c>
      <c r="X76" s="45">
        <f t="shared" si="25"/>
        <v>-30</v>
      </c>
      <c r="Y76" s="204">
        <f t="shared" si="26"/>
        <v>-130</v>
      </c>
      <c r="Z76" s="38">
        <f t="shared" si="27"/>
        <v>-100</v>
      </c>
      <c r="AA76" s="39">
        <f t="shared" si="28"/>
        <v>-5</v>
      </c>
      <c r="AB76" s="39">
        <f t="shared" si="29"/>
        <v>-105</v>
      </c>
      <c r="AC76" s="224">
        <v>1002</v>
      </c>
    </row>
    <row r="77" spans="1:35" s="1" customFormat="1" x14ac:dyDescent="0.2">
      <c r="A77" s="11" t="s">
        <v>28</v>
      </c>
      <c r="B77" s="12" t="s">
        <v>21</v>
      </c>
      <c r="C77" s="12" t="s">
        <v>265</v>
      </c>
      <c r="D77" s="12" t="s">
        <v>218</v>
      </c>
      <c r="E77" s="12">
        <v>6311718</v>
      </c>
      <c r="F77" s="13">
        <v>7660</v>
      </c>
      <c r="G77" s="14">
        <v>45512</v>
      </c>
      <c r="H77" s="15" t="s">
        <v>163</v>
      </c>
      <c r="I77" s="16" t="s">
        <v>8</v>
      </c>
      <c r="J77" s="16">
        <v>6312184</v>
      </c>
      <c r="K77" s="17">
        <v>7540</v>
      </c>
      <c r="L77" s="18">
        <v>45512</v>
      </c>
      <c r="M77" s="19" t="s">
        <v>35</v>
      </c>
      <c r="N77" s="20"/>
      <c r="O77" s="20">
        <v>15</v>
      </c>
      <c r="P77" s="20"/>
      <c r="Q77" s="21">
        <v>45512</v>
      </c>
      <c r="R77" s="20">
        <v>110</v>
      </c>
      <c r="S77" s="22">
        <v>7539</v>
      </c>
      <c r="T77" s="23">
        <v>34</v>
      </c>
      <c r="V77" s="37">
        <f t="shared" si="23"/>
        <v>7534</v>
      </c>
      <c r="W77" s="28">
        <f t="shared" si="24"/>
        <v>-5</v>
      </c>
      <c r="X77" s="45">
        <f t="shared" si="25"/>
        <v>-6</v>
      </c>
      <c r="Y77" s="204">
        <f t="shared" si="26"/>
        <v>-126</v>
      </c>
      <c r="Z77" s="38">
        <f t="shared" si="27"/>
        <v>-120</v>
      </c>
      <c r="AA77" s="39">
        <f t="shared" si="28"/>
        <v>-1</v>
      </c>
      <c r="AB77" s="39">
        <f t="shared" si="29"/>
        <v>-121</v>
      </c>
      <c r="AC77" s="224">
        <v>1002</v>
      </c>
    </row>
    <row r="78" spans="1:35" s="1" customFormat="1" x14ac:dyDescent="0.2">
      <c r="A78" s="11" t="s">
        <v>5</v>
      </c>
      <c r="B78" s="12" t="s">
        <v>21</v>
      </c>
      <c r="C78" s="12" t="s">
        <v>273</v>
      </c>
      <c r="D78" s="12" t="s">
        <v>62</v>
      </c>
      <c r="E78" s="12">
        <v>6311084</v>
      </c>
      <c r="F78" s="13">
        <v>8090</v>
      </c>
      <c r="G78" s="14">
        <v>45512</v>
      </c>
      <c r="H78" s="15" t="s">
        <v>163</v>
      </c>
      <c r="I78" s="16" t="s">
        <v>32</v>
      </c>
      <c r="J78" s="16">
        <v>6313058</v>
      </c>
      <c r="K78" s="17">
        <v>7980</v>
      </c>
      <c r="L78" s="18">
        <v>45513</v>
      </c>
      <c r="M78" s="19" t="s">
        <v>17</v>
      </c>
      <c r="N78" s="20" t="s">
        <v>115</v>
      </c>
      <c r="O78" s="20"/>
      <c r="P78" s="20">
        <v>26</v>
      </c>
      <c r="Q78" s="21">
        <v>45513</v>
      </c>
      <c r="R78" s="20">
        <v>310</v>
      </c>
      <c r="S78" s="22">
        <v>7993</v>
      </c>
      <c r="T78" s="23">
        <v>67</v>
      </c>
      <c r="V78" s="37">
        <f t="shared" si="23"/>
        <v>7997</v>
      </c>
      <c r="W78" s="28">
        <f t="shared" si="24"/>
        <v>4</v>
      </c>
      <c r="X78" s="45">
        <f t="shared" si="25"/>
        <v>17</v>
      </c>
      <c r="Y78" s="204">
        <f t="shared" si="26"/>
        <v>-93</v>
      </c>
      <c r="Z78" s="38">
        <f t="shared" si="27"/>
        <v>-110</v>
      </c>
      <c r="AA78" s="39">
        <f t="shared" si="28"/>
        <v>13</v>
      </c>
      <c r="AB78" s="39">
        <f t="shared" si="29"/>
        <v>-97</v>
      </c>
      <c r="AC78" s="224">
        <v>1003</v>
      </c>
    </row>
    <row r="79" spans="1:35" x14ac:dyDescent="0.2">
      <c r="A79" s="209"/>
      <c r="B79" s="209"/>
      <c r="C79" s="209"/>
      <c r="D79" s="209"/>
      <c r="E79" s="209"/>
      <c r="F79" s="213"/>
      <c r="G79" s="209"/>
      <c r="H79" s="209"/>
      <c r="I79" s="209"/>
      <c r="J79" s="209"/>
      <c r="K79" s="213"/>
      <c r="L79" s="209"/>
      <c r="M79" s="209"/>
      <c r="N79" s="209"/>
      <c r="O79" s="209"/>
      <c r="P79" s="209"/>
      <c r="Q79" s="209"/>
      <c r="R79" s="209"/>
      <c r="S79" s="213"/>
      <c r="T79" s="209"/>
      <c r="U79" s="209"/>
      <c r="V79" s="213"/>
      <c r="W79" s="209"/>
      <c r="X79" s="209"/>
      <c r="Y79" s="155"/>
      <c r="Z79" s="209"/>
      <c r="AA79" s="209"/>
      <c r="AB79" s="209"/>
      <c r="AC79" s="209"/>
      <c r="AD79" s="209"/>
      <c r="AE79" s="168"/>
      <c r="AF79" s="168"/>
    </row>
    <row r="80" spans="1:35" x14ac:dyDescent="0.2">
      <c r="A80" s="209"/>
      <c r="B80" s="209"/>
      <c r="C80" s="209"/>
      <c r="D80" s="209"/>
      <c r="E80" s="209"/>
      <c r="F80" s="213"/>
      <c r="G80" s="209"/>
      <c r="H80" s="209"/>
      <c r="I80" s="209"/>
      <c r="J80" s="209"/>
      <c r="K80" s="213"/>
      <c r="L80" s="209"/>
      <c r="M80" s="209"/>
      <c r="N80" s="209"/>
      <c r="O80" s="209"/>
      <c r="P80" s="209"/>
      <c r="Q80" s="209"/>
      <c r="R80" s="209"/>
      <c r="S80" s="213"/>
      <c r="T80" s="209"/>
      <c r="U80" s="209"/>
      <c r="V80" s="213"/>
      <c r="W80" s="209"/>
      <c r="X80" s="209"/>
      <c r="Y80" s="155"/>
      <c r="Z80" s="209"/>
      <c r="AA80" s="209"/>
      <c r="AB80" s="209"/>
      <c r="AC80" s="209"/>
      <c r="AD80" s="209"/>
      <c r="AE80" s="168"/>
      <c r="AF80" s="168"/>
    </row>
    <row r="81" spans="1:35" x14ac:dyDescent="0.2">
      <c r="A81" s="209"/>
      <c r="B81" s="209"/>
      <c r="C81" s="209"/>
      <c r="D81" s="209"/>
      <c r="E81" s="209"/>
      <c r="F81" s="213"/>
      <c r="G81" s="209"/>
      <c r="H81" s="209"/>
      <c r="I81" s="209"/>
      <c r="J81" s="209"/>
      <c r="K81" s="213"/>
      <c r="L81" s="209"/>
      <c r="M81" s="209"/>
      <c r="N81" s="209"/>
      <c r="O81" s="209"/>
      <c r="P81" s="209"/>
      <c r="Q81" s="209"/>
      <c r="R81" s="209"/>
      <c r="S81" s="213"/>
      <c r="T81" s="209"/>
      <c r="U81" s="209"/>
      <c r="V81" s="213"/>
      <c r="W81" s="209"/>
      <c r="X81" s="209"/>
      <c r="Y81" s="155"/>
      <c r="Z81" s="209"/>
      <c r="AA81" s="209"/>
      <c r="AB81" s="209"/>
      <c r="AC81" s="209"/>
      <c r="AD81" s="209"/>
      <c r="AE81" s="168"/>
      <c r="AF81" s="168"/>
    </row>
    <row r="82" spans="1:35" x14ac:dyDescent="0.2">
      <c r="A82" s="209"/>
      <c r="B82" s="209"/>
      <c r="C82" s="209"/>
      <c r="D82" s="209"/>
      <c r="E82" s="209"/>
      <c r="F82" s="213"/>
      <c r="G82" s="209"/>
      <c r="H82" s="209"/>
      <c r="I82" s="209"/>
      <c r="J82" s="209"/>
      <c r="K82" s="213"/>
      <c r="L82" s="209"/>
      <c r="M82" s="209"/>
      <c r="N82" s="209"/>
      <c r="O82" s="209"/>
      <c r="P82" s="209"/>
      <c r="Q82" s="209"/>
      <c r="R82" s="209"/>
      <c r="S82" s="213"/>
      <c r="T82" s="209"/>
      <c r="U82" s="209"/>
      <c r="V82" s="213"/>
      <c r="W82" s="209"/>
      <c r="X82" s="209"/>
      <c r="Y82" s="155"/>
      <c r="Z82" s="209"/>
      <c r="AA82" s="209"/>
      <c r="AB82" s="209"/>
      <c r="AC82" s="209"/>
      <c r="AD82" s="209"/>
      <c r="AE82" s="168"/>
      <c r="AF82" s="168"/>
    </row>
    <row r="83" spans="1:35" x14ac:dyDescent="0.2">
      <c r="A83" s="209"/>
      <c r="B83" s="209"/>
      <c r="C83" s="209"/>
      <c r="D83" s="209"/>
      <c r="E83" s="209"/>
      <c r="F83" s="213"/>
      <c r="G83" s="209"/>
      <c r="H83" s="209"/>
      <c r="I83" s="209"/>
      <c r="J83" s="209"/>
      <c r="K83" s="213"/>
      <c r="L83" s="209"/>
      <c r="M83" s="209"/>
      <c r="N83" s="209"/>
      <c r="O83" s="209"/>
      <c r="P83" s="209"/>
      <c r="Q83" s="209"/>
      <c r="R83" s="209"/>
      <c r="S83" s="213"/>
      <c r="T83" s="209"/>
      <c r="U83" s="209"/>
      <c r="V83" s="213"/>
      <c r="W83" s="209"/>
      <c r="X83" s="209"/>
      <c r="Y83" s="155"/>
      <c r="Z83" s="209"/>
      <c r="AA83" s="209"/>
      <c r="AB83" s="209"/>
      <c r="AC83" s="209"/>
      <c r="AD83" s="209"/>
      <c r="AE83" s="168"/>
      <c r="AF83" s="168"/>
    </row>
    <row r="84" spans="1:35" s="1" customFormat="1" ht="80.099999999999994" customHeight="1" x14ac:dyDescent="0.2">
      <c r="A84" s="183"/>
      <c r="B84" s="183"/>
      <c r="C84" s="183"/>
      <c r="D84" s="183"/>
      <c r="E84" s="183"/>
      <c r="F84" s="183"/>
      <c r="G84" s="213"/>
      <c r="H84" s="213"/>
      <c r="I84" s="213"/>
      <c r="J84" s="213"/>
      <c r="K84" s="213"/>
      <c r="L84" s="213"/>
      <c r="M84" s="213"/>
      <c r="N84" s="213"/>
      <c r="O84" s="183"/>
      <c r="P84" s="183"/>
      <c r="Q84" s="213"/>
      <c r="R84" s="183"/>
      <c r="S84" s="183"/>
      <c r="T84" s="213"/>
      <c r="U84" s="209"/>
      <c r="V84" s="213"/>
      <c r="W84" s="182"/>
      <c r="X84" s="182"/>
      <c r="Y84" s="182"/>
      <c r="Z84" s="183"/>
      <c r="AA84" s="183"/>
      <c r="AB84" s="183"/>
      <c r="AC84" s="196"/>
      <c r="AD84" s="209"/>
      <c r="AE84" s="209"/>
      <c r="AF84" s="209"/>
      <c r="AG84" s="209"/>
      <c r="AH84" s="50"/>
      <c r="AI84" s="50"/>
    </row>
    <row r="85" spans="1:35" x14ac:dyDescent="0.2">
      <c r="A85" s="209"/>
      <c r="B85" s="209"/>
      <c r="C85" s="209"/>
      <c r="D85" s="209"/>
      <c r="E85" s="209"/>
      <c r="F85" s="213"/>
      <c r="G85" s="209"/>
      <c r="H85" s="209"/>
      <c r="I85" s="209"/>
      <c r="J85" s="209"/>
      <c r="K85" s="213"/>
      <c r="L85" s="209"/>
      <c r="M85" s="209"/>
      <c r="N85" s="209"/>
      <c r="O85" s="209"/>
      <c r="P85" s="209"/>
      <c r="Q85" s="209"/>
      <c r="R85" s="209"/>
      <c r="S85" s="213"/>
      <c r="T85" s="209"/>
      <c r="U85" s="209"/>
      <c r="V85" s="213"/>
      <c r="W85" s="209"/>
      <c r="X85" s="209"/>
      <c r="Y85" s="155"/>
      <c r="Z85" s="209"/>
      <c r="AA85" s="209"/>
      <c r="AB85" s="209"/>
      <c r="AC85" s="209"/>
      <c r="AD85" s="209"/>
      <c r="AE85" s="168"/>
      <c r="AF85" s="168"/>
    </row>
    <row r="86" spans="1:35" x14ac:dyDescent="0.2">
      <c r="A86" s="209"/>
      <c r="B86" s="209"/>
      <c r="C86" s="209"/>
      <c r="D86" s="209"/>
      <c r="E86" s="209"/>
      <c r="F86" s="213"/>
      <c r="G86" s="209"/>
      <c r="H86" s="209"/>
      <c r="I86" s="209"/>
      <c r="J86" s="209"/>
      <c r="K86" s="213"/>
      <c r="L86" s="209"/>
      <c r="M86" s="209"/>
      <c r="N86" s="209"/>
      <c r="O86" s="209"/>
      <c r="P86" s="209"/>
      <c r="Q86" s="209"/>
      <c r="R86" s="209"/>
      <c r="S86" s="213"/>
      <c r="T86" s="209"/>
      <c r="U86" s="209"/>
      <c r="V86" s="213"/>
      <c r="W86" s="209"/>
      <c r="X86" s="209"/>
      <c r="Y86" s="155"/>
      <c r="Z86" s="209"/>
      <c r="AA86" s="209"/>
      <c r="AB86" s="209"/>
      <c r="AC86" s="209"/>
      <c r="AD86" s="209"/>
      <c r="AE86" s="168"/>
      <c r="AF86" s="168"/>
    </row>
    <row r="87" spans="1:35" x14ac:dyDescent="0.2">
      <c r="A87" s="209"/>
      <c r="B87" s="209"/>
      <c r="C87" s="209"/>
      <c r="D87" s="209"/>
      <c r="E87" s="209"/>
      <c r="F87" s="213"/>
      <c r="G87" s="209"/>
      <c r="H87" s="209"/>
      <c r="I87" s="209"/>
      <c r="J87" s="209"/>
      <c r="K87" s="213"/>
      <c r="L87" s="209"/>
      <c r="M87" s="209"/>
      <c r="N87" s="209"/>
      <c r="O87" s="209"/>
      <c r="P87" s="209"/>
      <c r="Q87" s="209"/>
      <c r="R87" s="209"/>
      <c r="S87" s="213"/>
      <c r="T87" s="209"/>
      <c r="U87" s="209"/>
      <c r="V87" s="213"/>
      <c r="W87" s="209"/>
      <c r="X87" s="209"/>
      <c r="Y87" s="155"/>
      <c r="Z87" s="209"/>
      <c r="AA87" s="209"/>
      <c r="AB87" s="209"/>
      <c r="AC87" s="209"/>
      <c r="AD87" s="209"/>
      <c r="AE87" s="168"/>
      <c r="AF87" s="168"/>
    </row>
    <row r="88" spans="1:35" x14ac:dyDescent="0.2">
      <c r="A88" s="209"/>
      <c r="B88" s="209"/>
      <c r="C88" s="209"/>
      <c r="D88" s="209"/>
      <c r="E88" s="209"/>
      <c r="F88" s="213"/>
      <c r="G88" s="209"/>
      <c r="H88" s="209"/>
      <c r="I88" s="209"/>
      <c r="J88" s="209"/>
      <c r="K88" s="213"/>
      <c r="L88" s="209"/>
      <c r="M88" s="209"/>
      <c r="N88" s="209"/>
      <c r="O88" s="209"/>
      <c r="P88" s="209"/>
      <c r="Q88" s="209"/>
      <c r="R88" s="209"/>
      <c r="S88" s="213"/>
      <c r="T88" s="209"/>
      <c r="U88" s="209"/>
      <c r="V88" s="213"/>
      <c r="W88" s="209"/>
      <c r="X88" s="209"/>
      <c r="Y88" s="155"/>
      <c r="Z88" s="209"/>
      <c r="AA88" s="209"/>
      <c r="AB88" s="209"/>
      <c r="AC88" s="209"/>
      <c r="AD88" s="209"/>
      <c r="AE88" s="168"/>
      <c r="AF88" s="168"/>
    </row>
    <row r="89" spans="1:35" x14ac:dyDescent="0.2">
      <c r="A89" s="209"/>
      <c r="B89" s="209"/>
      <c r="C89" s="209"/>
      <c r="D89" s="209"/>
      <c r="E89" s="209"/>
      <c r="F89" s="213"/>
      <c r="G89" s="209"/>
      <c r="H89" s="209"/>
      <c r="I89" s="209"/>
      <c r="J89" s="209"/>
      <c r="K89" s="213"/>
      <c r="L89" s="209"/>
      <c r="M89" s="209"/>
      <c r="N89" s="209"/>
      <c r="O89" s="209"/>
      <c r="P89" s="209"/>
      <c r="Q89" s="209"/>
      <c r="R89" s="209"/>
      <c r="S89" s="213"/>
      <c r="T89" s="209"/>
      <c r="U89" s="209"/>
      <c r="V89" s="213"/>
      <c r="W89" s="209"/>
      <c r="X89" s="209"/>
      <c r="Y89" s="155"/>
      <c r="Z89" s="209"/>
      <c r="AA89" s="209"/>
      <c r="AB89" s="209"/>
      <c r="AC89" s="209"/>
      <c r="AD89" s="209"/>
      <c r="AE89" s="168"/>
      <c r="AF89" s="168"/>
    </row>
    <row r="90" spans="1:35" x14ac:dyDescent="0.2">
      <c r="A90" s="209"/>
      <c r="B90" s="209"/>
      <c r="C90" s="209"/>
      <c r="D90" s="209"/>
      <c r="E90" s="209"/>
      <c r="F90" s="213"/>
      <c r="G90" s="209"/>
      <c r="H90" s="209"/>
      <c r="I90" s="209"/>
      <c r="J90" s="209"/>
      <c r="K90" s="213"/>
      <c r="L90" s="209"/>
      <c r="M90" s="209"/>
      <c r="N90" s="209"/>
      <c r="O90" s="209"/>
      <c r="P90" s="209"/>
      <c r="Q90" s="209"/>
      <c r="R90" s="209"/>
      <c r="S90" s="213"/>
      <c r="T90" s="209"/>
      <c r="U90" s="209"/>
      <c r="V90" s="213"/>
      <c r="W90" s="209"/>
      <c r="X90" s="209"/>
      <c r="Y90" s="155"/>
      <c r="Z90" s="209"/>
      <c r="AA90" s="209"/>
      <c r="AB90" s="209"/>
      <c r="AC90" s="209"/>
      <c r="AD90" s="209"/>
      <c r="AE90" s="168"/>
      <c r="AF90" s="168"/>
    </row>
    <row r="91" spans="1:35" x14ac:dyDescent="0.2">
      <c r="A91" s="209"/>
      <c r="B91" s="209"/>
      <c r="C91" s="209"/>
      <c r="D91" s="209"/>
      <c r="E91" s="209"/>
      <c r="F91" s="213"/>
      <c r="G91" s="209"/>
      <c r="H91" s="209"/>
      <c r="I91" s="209"/>
      <c r="J91" s="209"/>
      <c r="K91" s="213"/>
      <c r="L91" s="209"/>
      <c r="M91" s="209"/>
      <c r="N91" s="209"/>
      <c r="O91" s="209"/>
      <c r="P91" s="209"/>
      <c r="Q91" s="209"/>
      <c r="R91" s="209"/>
      <c r="S91" s="213"/>
      <c r="T91" s="209"/>
      <c r="U91" s="209"/>
      <c r="V91" s="213"/>
      <c r="W91" s="209"/>
      <c r="X91" s="209"/>
      <c r="Y91" s="155"/>
      <c r="Z91" s="209"/>
      <c r="AA91" s="209"/>
      <c r="AB91" s="209"/>
      <c r="AC91" s="209"/>
      <c r="AD91" s="209"/>
      <c r="AE91" s="168"/>
      <c r="AF91" s="168"/>
    </row>
    <row r="92" spans="1:35" x14ac:dyDescent="0.2">
      <c r="A92" s="209"/>
      <c r="B92" s="209"/>
      <c r="C92" s="209"/>
      <c r="D92" s="209"/>
      <c r="E92" s="209"/>
      <c r="F92" s="213"/>
      <c r="G92" s="209"/>
      <c r="H92" s="209"/>
      <c r="I92" s="209"/>
      <c r="J92" s="209"/>
      <c r="K92" s="213"/>
      <c r="L92" s="209"/>
      <c r="M92" s="209"/>
      <c r="N92" s="209"/>
      <c r="O92" s="209"/>
      <c r="P92" s="209"/>
      <c r="Q92" s="209"/>
      <c r="R92" s="209"/>
      <c r="S92" s="213"/>
      <c r="T92" s="209"/>
      <c r="U92" s="209"/>
      <c r="V92" s="213"/>
      <c r="W92" s="209"/>
      <c r="X92" s="209"/>
      <c r="Y92" s="155"/>
      <c r="Z92" s="209"/>
      <c r="AA92" s="209"/>
      <c r="AB92" s="209"/>
      <c r="AC92" s="209"/>
      <c r="AD92" s="209"/>
      <c r="AE92" s="168"/>
      <c r="AF92" s="168"/>
    </row>
    <row r="93" spans="1:35" x14ac:dyDescent="0.2">
      <c r="A93" s="209"/>
      <c r="B93" s="209"/>
      <c r="C93" s="209"/>
      <c r="D93" s="209"/>
      <c r="E93" s="209"/>
      <c r="F93" s="213"/>
      <c r="G93" s="209"/>
      <c r="H93" s="209"/>
      <c r="I93" s="209"/>
      <c r="J93" s="209"/>
      <c r="K93" s="213"/>
      <c r="L93" s="209"/>
      <c r="M93" s="209"/>
      <c r="N93" s="209"/>
      <c r="O93" s="209"/>
      <c r="P93" s="209"/>
      <c r="Q93" s="209"/>
      <c r="R93" s="209"/>
      <c r="S93" s="213"/>
      <c r="T93" s="209"/>
      <c r="U93" s="209"/>
      <c r="V93" s="213"/>
      <c r="W93" s="209"/>
      <c r="X93" s="209"/>
      <c r="Y93" s="155"/>
      <c r="Z93" s="209"/>
      <c r="AA93" s="209"/>
      <c r="AB93" s="209"/>
      <c r="AC93" s="209"/>
      <c r="AD93" s="209"/>
      <c r="AE93" s="168"/>
      <c r="AF93" s="168"/>
    </row>
    <row r="94" spans="1:35" x14ac:dyDescent="0.2">
      <c r="A94" s="209"/>
      <c r="B94" s="209"/>
      <c r="C94" s="209"/>
      <c r="D94" s="209"/>
      <c r="E94" s="209"/>
      <c r="F94" s="213"/>
      <c r="G94" s="209"/>
      <c r="H94" s="209"/>
      <c r="I94" s="209"/>
      <c r="J94" s="209"/>
      <c r="K94" s="213"/>
      <c r="L94" s="209"/>
      <c r="M94" s="209"/>
      <c r="N94" s="209"/>
      <c r="O94" s="209"/>
      <c r="P94" s="209"/>
      <c r="Q94" s="209"/>
      <c r="R94" s="209"/>
      <c r="S94" s="213"/>
      <c r="T94" s="209"/>
      <c r="U94" s="209"/>
      <c r="V94" s="213"/>
      <c r="W94" s="209"/>
      <c r="X94" s="209"/>
      <c r="Y94" s="155"/>
      <c r="Z94" s="209"/>
      <c r="AA94" s="209"/>
      <c r="AB94" s="209"/>
      <c r="AC94" s="209"/>
      <c r="AD94" s="209"/>
      <c r="AE94" s="168"/>
      <c r="AF94" s="168"/>
    </row>
    <row r="95" spans="1:35" x14ac:dyDescent="0.2">
      <c r="A95" s="209"/>
      <c r="B95" s="209"/>
      <c r="C95" s="209"/>
      <c r="D95" s="209"/>
      <c r="E95" s="209"/>
      <c r="F95" s="213"/>
      <c r="G95" s="209"/>
      <c r="H95" s="209"/>
      <c r="I95" s="209"/>
      <c r="J95" s="209"/>
      <c r="K95" s="213"/>
      <c r="L95" s="209"/>
      <c r="M95" s="209"/>
      <c r="N95" s="209"/>
      <c r="O95" s="209"/>
      <c r="P95" s="209"/>
      <c r="Q95" s="209"/>
      <c r="R95" s="209"/>
      <c r="S95" s="213"/>
      <c r="T95" s="209"/>
      <c r="U95" s="209"/>
      <c r="V95" s="213"/>
      <c r="W95" s="209"/>
      <c r="X95" s="209"/>
      <c r="Y95" s="155"/>
      <c r="Z95" s="209"/>
      <c r="AA95" s="209"/>
      <c r="AB95" s="209"/>
      <c r="AC95" s="209"/>
      <c r="AD95" s="209"/>
      <c r="AE95" s="168"/>
      <c r="AF95" s="168"/>
    </row>
    <row r="96" spans="1:35" x14ac:dyDescent="0.2">
      <c r="A96" s="209"/>
      <c r="B96" s="209"/>
      <c r="C96" s="209"/>
      <c r="D96" s="209"/>
      <c r="E96" s="209"/>
      <c r="F96" s="213"/>
      <c r="G96" s="209"/>
      <c r="H96" s="209"/>
      <c r="I96" s="209"/>
      <c r="J96" s="209"/>
      <c r="K96" s="213"/>
      <c r="L96" s="209"/>
      <c r="M96" s="209"/>
      <c r="N96" s="209"/>
      <c r="O96" s="209"/>
      <c r="P96" s="209"/>
      <c r="Q96" s="209"/>
      <c r="R96" s="209"/>
      <c r="S96" s="213"/>
      <c r="T96" s="209"/>
      <c r="U96" s="209"/>
      <c r="V96" s="213"/>
      <c r="W96" s="209"/>
      <c r="X96" s="209"/>
      <c r="Y96" s="155"/>
      <c r="Z96" s="209"/>
      <c r="AA96" s="209"/>
      <c r="AB96" s="209"/>
      <c r="AC96" s="209"/>
      <c r="AD96" s="209"/>
      <c r="AE96" s="168"/>
      <c r="AF96" s="168"/>
    </row>
    <row r="97" spans="1:32" x14ac:dyDescent="0.2">
      <c r="A97" s="209"/>
      <c r="B97" s="209"/>
      <c r="C97" s="209"/>
      <c r="D97" s="209"/>
      <c r="E97" s="209"/>
      <c r="F97" s="213"/>
      <c r="G97" s="209"/>
      <c r="H97" s="209"/>
      <c r="I97" s="209"/>
      <c r="J97" s="209"/>
      <c r="K97" s="213"/>
      <c r="L97" s="209"/>
      <c r="M97" s="209"/>
      <c r="N97" s="209"/>
      <c r="O97" s="209"/>
      <c r="P97" s="209"/>
      <c r="Q97" s="209"/>
      <c r="R97" s="209"/>
      <c r="S97" s="213"/>
      <c r="T97" s="209"/>
      <c r="U97" s="209"/>
      <c r="V97" s="213"/>
      <c r="W97" s="209"/>
      <c r="X97" s="209"/>
      <c r="Y97" s="155"/>
      <c r="Z97" s="209"/>
      <c r="AA97" s="209"/>
      <c r="AB97" s="209"/>
      <c r="AC97" s="209"/>
      <c r="AD97" s="209"/>
      <c r="AE97" s="168"/>
      <c r="AF97" s="168"/>
    </row>
    <row r="98" spans="1:32" x14ac:dyDescent="0.2">
      <c r="A98" s="209"/>
      <c r="B98" s="209"/>
      <c r="C98" s="209"/>
      <c r="D98" s="209"/>
      <c r="E98" s="209"/>
      <c r="F98" s="213"/>
      <c r="G98" s="209"/>
      <c r="H98" s="209"/>
      <c r="I98" s="209"/>
      <c r="J98" s="209"/>
      <c r="K98" s="213"/>
      <c r="L98" s="209"/>
      <c r="M98" s="209"/>
      <c r="N98" s="209"/>
      <c r="O98" s="209"/>
      <c r="P98" s="209"/>
      <c r="Q98" s="209"/>
      <c r="R98" s="209"/>
      <c r="S98" s="213"/>
      <c r="T98" s="209"/>
      <c r="U98" s="209"/>
      <c r="V98" s="213"/>
      <c r="W98" s="209"/>
      <c r="X98" s="209"/>
      <c r="Y98" s="155"/>
      <c r="Z98" s="209"/>
      <c r="AA98" s="209"/>
      <c r="AB98" s="209"/>
      <c r="AC98" s="209"/>
      <c r="AD98" s="209"/>
      <c r="AE98" s="168"/>
      <c r="AF98" s="168"/>
    </row>
    <row r="99" spans="1:32" x14ac:dyDescent="0.2">
      <c r="A99" s="209"/>
      <c r="B99" s="209"/>
      <c r="C99" s="209"/>
      <c r="D99" s="209"/>
      <c r="E99" s="209"/>
      <c r="F99" s="213"/>
      <c r="G99" s="209"/>
      <c r="H99" s="209"/>
      <c r="I99" s="209"/>
      <c r="J99" s="209"/>
      <c r="K99" s="213"/>
      <c r="L99" s="209"/>
      <c r="M99" s="209"/>
      <c r="N99" s="209"/>
      <c r="O99" s="209"/>
      <c r="P99" s="209"/>
      <c r="Q99" s="209"/>
      <c r="R99" s="209"/>
      <c r="S99" s="213"/>
      <c r="T99" s="209"/>
      <c r="U99" s="209"/>
      <c r="V99" s="213"/>
      <c r="W99" s="209"/>
      <c r="X99" s="209"/>
      <c r="Y99" s="155"/>
      <c r="Z99" s="209"/>
      <c r="AA99" s="209"/>
      <c r="AB99" s="209"/>
      <c r="AC99" s="209"/>
      <c r="AD99" s="209"/>
      <c r="AE99" s="168"/>
      <c r="AF99" s="168"/>
    </row>
    <row r="100" spans="1:32" x14ac:dyDescent="0.2">
      <c r="A100" s="209"/>
      <c r="B100" s="209"/>
      <c r="C100" s="209"/>
      <c r="D100" s="209"/>
      <c r="E100" s="209"/>
      <c r="F100" s="213"/>
      <c r="G100" s="209"/>
      <c r="H100" s="209"/>
      <c r="I100" s="209"/>
      <c r="J100" s="209"/>
      <c r="K100" s="213"/>
      <c r="L100" s="209"/>
      <c r="M100" s="209"/>
      <c r="N100" s="209"/>
      <c r="O100" s="209"/>
      <c r="P100" s="209"/>
      <c r="Q100" s="209"/>
      <c r="R100" s="209"/>
      <c r="S100" s="213"/>
      <c r="T100" s="209"/>
      <c r="U100" s="209"/>
      <c r="V100" s="213"/>
      <c r="W100" s="209"/>
      <c r="X100" s="209"/>
      <c r="Y100" s="155"/>
      <c r="Z100" s="209"/>
      <c r="AA100" s="209"/>
      <c r="AB100" s="209"/>
      <c r="AC100" s="209"/>
      <c r="AD100" s="209"/>
      <c r="AE100" s="168"/>
      <c r="AF100" s="168"/>
    </row>
    <row r="101" spans="1:32" x14ac:dyDescent="0.2">
      <c r="A101" s="209"/>
      <c r="B101" s="209"/>
      <c r="C101" s="209"/>
      <c r="D101" s="209"/>
      <c r="E101" s="209"/>
      <c r="F101" s="213"/>
      <c r="G101" s="209"/>
      <c r="H101" s="209"/>
      <c r="I101" s="209"/>
      <c r="J101" s="209"/>
      <c r="K101" s="213"/>
      <c r="L101" s="209"/>
      <c r="M101" s="209"/>
      <c r="N101" s="209"/>
      <c r="O101" s="209"/>
      <c r="P101" s="209"/>
      <c r="Q101" s="209"/>
      <c r="R101" s="209"/>
      <c r="S101" s="213"/>
      <c r="T101" s="209"/>
      <c r="U101" s="209"/>
      <c r="V101" s="213"/>
      <c r="W101" s="209"/>
      <c r="X101" s="209"/>
      <c r="Y101" s="155"/>
      <c r="Z101" s="209"/>
      <c r="AA101" s="209"/>
      <c r="AB101" s="209"/>
      <c r="AC101" s="209"/>
      <c r="AD101" s="209"/>
      <c r="AE101" s="168"/>
      <c r="AF101" s="168"/>
    </row>
    <row r="102" spans="1:32" x14ac:dyDescent="0.2">
      <c r="A102" s="209"/>
      <c r="B102" s="209"/>
      <c r="C102" s="209"/>
      <c r="D102" s="209"/>
      <c r="E102" s="209"/>
      <c r="F102" s="213"/>
      <c r="G102" s="209"/>
      <c r="H102" s="209"/>
      <c r="I102" s="209"/>
      <c r="J102" s="209"/>
      <c r="K102" s="213"/>
      <c r="L102" s="209"/>
      <c r="M102" s="209"/>
      <c r="N102" s="209"/>
      <c r="O102" s="209"/>
      <c r="P102" s="209"/>
      <c r="Q102" s="209"/>
      <c r="R102" s="209"/>
      <c r="S102" s="213"/>
      <c r="T102" s="209"/>
      <c r="U102" s="209"/>
      <c r="V102" s="213"/>
      <c r="W102" s="209"/>
      <c r="X102" s="209"/>
      <c r="Y102" s="155"/>
      <c r="Z102" s="209"/>
      <c r="AA102" s="209"/>
      <c r="AB102" s="209"/>
      <c r="AC102" s="209"/>
      <c r="AD102" s="209"/>
      <c r="AE102" s="168"/>
      <c r="AF102" s="168"/>
    </row>
    <row r="103" spans="1:32" x14ac:dyDescent="0.2">
      <c r="A103" s="209"/>
      <c r="B103" s="209"/>
      <c r="C103" s="209"/>
      <c r="D103" s="209"/>
      <c r="E103" s="209"/>
      <c r="F103" s="213"/>
      <c r="G103" s="209"/>
      <c r="H103" s="209"/>
      <c r="I103" s="209"/>
      <c r="J103" s="209"/>
      <c r="K103" s="213"/>
      <c r="L103" s="209"/>
      <c r="M103" s="209"/>
      <c r="N103" s="209"/>
      <c r="O103" s="209"/>
      <c r="P103" s="209"/>
      <c r="Q103" s="209"/>
      <c r="R103" s="209"/>
      <c r="S103" s="213"/>
      <c r="T103" s="209"/>
      <c r="U103" s="209"/>
      <c r="V103" s="213"/>
      <c r="W103" s="209"/>
      <c r="X103" s="209"/>
      <c r="Y103" s="155"/>
      <c r="Z103" s="209"/>
      <c r="AA103" s="209"/>
      <c r="AB103" s="209"/>
      <c r="AC103" s="209"/>
      <c r="AD103" s="209"/>
      <c r="AE103" s="168"/>
      <c r="AF103" s="168"/>
    </row>
    <row r="104" spans="1:32" x14ac:dyDescent="0.2">
      <c r="A104" s="209"/>
      <c r="B104" s="209"/>
      <c r="C104" s="209"/>
      <c r="D104" s="209"/>
      <c r="E104" s="209"/>
      <c r="F104" s="213"/>
      <c r="G104" s="209"/>
      <c r="H104" s="209"/>
      <c r="I104" s="209"/>
      <c r="J104" s="209"/>
      <c r="K104" s="213"/>
      <c r="L104" s="209"/>
      <c r="M104" s="209"/>
      <c r="N104" s="209"/>
      <c r="O104" s="209"/>
      <c r="P104" s="209"/>
      <c r="Q104" s="209"/>
      <c r="R104" s="209"/>
      <c r="S104" s="213"/>
      <c r="T104" s="209"/>
      <c r="U104" s="209"/>
      <c r="V104" s="213"/>
      <c r="W104" s="209"/>
      <c r="X104" s="209"/>
      <c r="Y104" s="155"/>
      <c r="Z104" s="209"/>
      <c r="AA104" s="209"/>
      <c r="AB104" s="209"/>
      <c r="AC104" s="209"/>
      <c r="AD104" s="209"/>
      <c r="AE104" s="168"/>
      <c r="AF104" s="168"/>
    </row>
    <row r="105" spans="1:32" x14ac:dyDescent="0.2">
      <c r="A105" s="209"/>
      <c r="B105" s="209"/>
      <c r="C105" s="209"/>
      <c r="D105" s="209"/>
      <c r="E105" s="209"/>
      <c r="F105" s="213"/>
      <c r="G105" s="209"/>
      <c r="H105" s="209"/>
      <c r="I105" s="209"/>
      <c r="J105" s="209"/>
      <c r="K105" s="213"/>
      <c r="L105" s="209"/>
      <c r="M105" s="209"/>
      <c r="N105" s="209"/>
      <c r="O105" s="209"/>
      <c r="P105" s="209"/>
      <c r="Q105" s="209"/>
      <c r="R105" s="209"/>
      <c r="S105" s="213"/>
      <c r="T105" s="209"/>
      <c r="U105" s="209"/>
      <c r="V105" s="213"/>
      <c r="W105" s="209"/>
      <c r="X105" s="209"/>
      <c r="Y105" s="155"/>
      <c r="Z105" s="209"/>
      <c r="AA105" s="209"/>
      <c r="AB105" s="209"/>
      <c r="AC105" s="209"/>
      <c r="AD105" s="209"/>
      <c r="AE105" s="168"/>
      <c r="AF105" s="168"/>
    </row>
    <row r="106" spans="1:32" x14ac:dyDescent="0.2">
      <c r="A106" s="209"/>
      <c r="B106" s="209"/>
      <c r="C106" s="209"/>
      <c r="D106" s="209"/>
      <c r="E106" s="209"/>
      <c r="F106" s="213"/>
      <c r="G106" s="209"/>
      <c r="H106" s="209"/>
      <c r="I106" s="209"/>
      <c r="J106" s="209"/>
      <c r="K106" s="213"/>
      <c r="L106" s="209"/>
      <c r="M106" s="209"/>
      <c r="N106" s="209"/>
      <c r="O106" s="209"/>
      <c r="P106" s="209"/>
      <c r="Q106" s="209"/>
      <c r="R106" s="209"/>
      <c r="S106" s="213"/>
      <c r="T106" s="209"/>
      <c r="U106" s="209"/>
      <c r="V106" s="213"/>
      <c r="W106" s="209"/>
      <c r="X106" s="209"/>
      <c r="Y106" s="155"/>
      <c r="Z106" s="209"/>
      <c r="AA106" s="209"/>
      <c r="AB106" s="209"/>
      <c r="AC106" s="209"/>
      <c r="AD106" s="209"/>
      <c r="AE106" s="168"/>
      <c r="AF106" s="168"/>
    </row>
    <row r="107" spans="1:32" x14ac:dyDescent="0.2">
      <c r="A107" s="209"/>
      <c r="B107" s="209"/>
      <c r="C107" s="209"/>
      <c r="D107" s="209"/>
      <c r="E107" s="209"/>
      <c r="F107" s="213"/>
      <c r="G107" s="209"/>
      <c r="H107" s="209"/>
      <c r="I107" s="209"/>
      <c r="J107" s="209"/>
      <c r="K107" s="213"/>
      <c r="L107" s="209"/>
      <c r="M107" s="209"/>
      <c r="N107" s="209"/>
      <c r="O107" s="209"/>
      <c r="P107" s="209"/>
      <c r="Q107" s="209"/>
      <c r="R107" s="209"/>
      <c r="S107" s="213"/>
      <c r="T107" s="209"/>
      <c r="U107" s="209"/>
      <c r="V107" s="213"/>
      <c r="W107" s="209"/>
      <c r="X107" s="209"/>
      <c r="Y107" s="155"/>
      <c r="Z107" s="209"/>
      <c r="AA107" s="209"/>
      <c r="AB107" s="209"/>
      <c r="AC107" s="209"/>
      <c r="AD107" s="209"/>
      <c r="AE107" s="168"/>
      <c r="AF107" s="168"/>
    </row>
    <row r="108" spans="1:32" x14ac:dyDescent="0.2">
      <c r="A108" s="209"/>
      <c r="B108" s="209"/>
      <c r="C108" s="209"/>
      <c r="D108" s="209"/>
      <c r="E108" s="209"/>
      <c r="F108" s="213"/>
      <c r="G108" s="209"/>
      <c r="H108" s="209"/>
      <c r="I108" s="209"/>
      <c r="J108" s="209"/>
      <c r="K108" s="213"/>
      <c r="L108" s="209"/>
      <c r="M108" s="209"/>
      <c r="N108" s="209"/>
      <c r="O108" s="209"/>
      <c r="P108" s="209"/>
      <c r="Q108" s="209"/>
      <c r="R108" s="209"/>
      <c r="S108" s="213"/>
      <c r="T108" s="209"/>
      <c r="U108" s="209"/>
      <c r="V108" s="213"/>
      <c r="W108" s="209"/>
      <c r="X108" s="209"/>
      <c r="Y108" s="155"/>
      <c r="Z108" s="209"/>
      <c r="AA108" s="209"/>
      <c r="AB108" s="209"/>
      <c r="AC108" s="209"/>
      <c r="AD108" s="209"/>
      <c r="AE108" s="168"/>
      <c r="AF108" s="168"/>
    </row>
    <row r="109" spans="1:32" x14ac:dyDescent="0.2">
      <c r="A109" s="209"/>
      <c r="B109" s="209"/>
      <c r="C109" s="209"/>
      <c r="D109" s="209"/>
      <c r="E109" s="209"/>
      <c r="F109" s="213"/>
      <c r="G109" s="209"/>
      <c r="H109" s="209"/>
      <c r="I109" s="209"/>
      <c r="J109" s="209"/>
      <c r="K109" s="213"/>
      <c r="L109" s="209"/>
      <c r="M109" s="209"/>
      <c r="N109" s="209"/>
      <c r="O109" s="209"/>
      <c r="P109" s="209"/>
      <c r="Q109" s="209"/>
      <c r="R109" s="209"/>
      <c r="S109" s="213"/>
      <c r="T109" s="209"/>
      <c r="U109" s="209"/>
      <c r="V109" s="213"/>
      <c r="W109" s="209"/>
      <c r="X109" s="209"/>
      <c r="Y109" s="155"/>
      <c r="Z109" s="209"/>
      <c r="AA109" s="209"/>
      <c r="AB109" s="209"/>
      <c r="AC109" s="209"/>
      <c r="AD109" s="209"/>
      <c r="AE109" s="168"/>
      <c r="AF109" s="168"/>
    </row>
    <row r="110" spans="1:32" x14ac:dyDescent="0.2">
      <c r="A110" s="209"/>
      <c r="B110" s="209"/>
      <c r="C110" s="209"/>
      <c r="D110" s="209"/>
      <c r="E110" s="209"/>
      <c r="F110" s="213"/>
      <c r="G110" s="209"/>
      <c r="H110" s="209"/>
      <c r="I110" s="209"/>
      <c r="J110" s="209"/>
      <c r="K110" s="213"/>
      <c r="L110" s="209"/>
      <c r="M110" s="209"/>
      <c r="N110" s="209"/>
      <c r="O110" s="209"/>
      <c r="P110" s="209"/>
      <c r="Q110" s="209"/>
      <c r="R110" s="209"/>
      <c r="S110" s="213"/>
      <c r="T110" s="209"/>
      <c r="U110" s="209"/>
      <c r="V110" s="213"/>
      <c r="W110" s="209"/>
      <c r="X110" s="209"/>
      <c r="Y110" s="155"/>
      <c r="Z110" s="209"/>
      <c r="AA110" s="209"/>
      <c r="AB110" s="209"/>
      <c r="AC110" s="209"/>
      <c r="AD110" s="209"/>
      <c r="AE110" s="168"/>
      <c r="AF110" s="168"/>
    </row>
    <row r="111" spans="1:32" x14ac:dyDescent="0.2">
      <c r="A111" s="209"/>
      <c r="B111" s="209"/>
      <c r="C111" s="209"/>
      <c r="D111" s="209"/>
      <c r="E111" s="209"/>
      <c r="F111" s="213"/>
      <c r="G111" s="209"/>
      <c r="H111" s="209"/>
      <c r="I111" s="209"/>
      <c r="J111" s="209"/>
      <c r="K111" s="213"/>
      <c r="L111" s="209"/>
      <c r="M111" s="209"/>
      <c r="N111" s="209"/>
      <c r="O111" s="209"/>
      <c r="P111" s="209"/>
      <c r="Q111" s="209"/>
      <c r="R111" s="209"/>
      <c r="S111" s="213"/>
      <c r="T111" s="209"/>
      <c r="U111" s="209"/>
      <c r="V111" s="213"/>
      <c r="W111" s="209"/>
      <c r="X111" s="209"/>
      <c r="Y111" s="155"/>
      <c r="Z111" s="209"/>
      <c r="AA111" s="209"/>
      <c r="AB111" s="209"/>
      <c r="AC111" s="209"/>
      <c r="AD111" s="209"/>
      <c r="AE111" s="168"/>
      <c r="AF111" s="168"/>
    </row>
    <row r="112" spans="1:32" x14ac:dyDescent="0.2">
      <c r="A112" s="209"/>
      <c r="B112" s="209"/>
      <c r="C112" s="209"/>
      <c r="D112" s="209"/>
      <c r="E112" s="209"/>
      <c r="F112" s="213"/>
      <c r="G112" s="209"/>
      <c r="H112" s="209"/>
      <c r="I112" s="209"/>
      <c r="J112" s="209"/>
      <c r="K112" s="213"/>
      <c r="L112" s="209"/>
      <c r="M112" s="209"/>
      <c r="N112" s="209"/>
      <c r="O112" s="209"/>
      <c r="P112" s="209"/>
      <c r="Q112" s="209"/>
      <c r="R112" s="209"/>
      <c r="S112" s="213"/>
      <c r="T112" s="209"/>
      <c r="U112" s="209"/>
      <c r="V112" s="213"/>
      <c r="W112" s="209"/>
      <c r="X112" s="209"/>
      <c r="Y112" s="155"/>
      <c r="Z112" s="209"/>
      <c r="AA112" s="209"/>
      <c r="AB112" s="209"/>
      <c r="AC112" s="209"/>
      <c r="AD112" s="209"/>
      <c r="AE112" s="168"/>
      <c r="AF112" s="168"/>
    </row>
    <row r="113" spans="1:32" x14ac:dyDescent="0.2">
      <c r="A113" s="209"/>
      <c r="B113" s="209"/>
      <c r="C113" s="209"/>
      <c r="D113" s="209"/>
      <c r="E113" s="209"/>
      <c r="F113" s="213"/>
      <c r="G113" s="209"/>
      <c r="H113" s="209"/>
      <c r="I113" s="209"/>
      <c r="J113" s="209"/>
      <c r="K113" s="213"/>
      <c r="L113" s="209"/>
      <c r="M113" s="209"/>
      <c r="N113" s="209"/>
      <c r="O113" s="209"/>
      <c r="P113" s="209"/>
      <c r="Q113" s="209"/>
      <c r="R113" s="209"/>
      <c r="S113" s="213"/>
      <c r="T113" s="209"/>
      <c r="U113" s="209"/>
      <c r="V113" s="213"/>
      <c r="W113" s="209"/>
      <c r="X113" s="209"/>
      <c r="Y113" s="155"/>
      <c r="Z113" s="209"/>
      <c r="AA113" s="209"/>
      <c r="AB113" s="209"/>
      <c r="AC113" s="209"/>
      <c r="AD113" s="209"/>
      <c r="AE113" s="168"/>
      <c r="AF113" s="168"/>
    </row>
    <row r="114" spans="1:32" x14ac:dyDescent="0.2">
      <c r="A114" s="209"/>
      <c r="B114" s="209"/>
      <c r="C114" s="209"/>
      <c r="D114" s="209"/>
      <c r="E114" s="209"/>
      <c r="F114" s="213"/>
      <c r="G114" s="209"/>
      <c r="H114" s="209"/>
      <c r="I114" s="209"/>
      <c r="J114" s="209"/>
      <c r="K114" s="213"/>
      <c r="L114" s="209"/>
      <c r="M114" s="209"/>
      <c r="N114" s="209"/>
      <c r="O114" s="209"/>
      <c r="P114" s="209"/>
      <c r="Q114" s="209"/>
      <c r="R114" s="209"/>
      <c r="S114" s="213"/>
      <c r="T114" s="209"/>
      <c r="U114" s="209"/>
      <c r="V114" s="213"/>
      <c r="W114" s="209"/>
      <c r="X114" s="209"/>
      <c r="Y114" s="155"/>
      <c r="Z114" s="209"/>
      <c r="AA114" s="209"/>
      <c r="AB114" s="209"/>
      <c r="AC114" s="209"/>
      <c r="AD114" s="209"/>
      <c r="AE114" s="168"/>
      <c r="AF114" s="168"/>
    </row>
    <row r="115" spans="1:32" x14ac:dyDescent="0.2">
      <c r="A115" s="209"/>
      <c r="B115" s="209"/>
      <c r="C115" s="209"/>
      <c r="D115" s="209"/>
      <c r="E115" s="209"/>
      <c r="F115" s="213"/>
      <c r="G115" s="209"/>
      <c r="H115" s="209"/>
      <c r="I115" s="209"/>
      <c r="J115" s="209"/>
      <c r="K115" s="213"/>
      <c r="L115" s="209"/>
      <c r="M115" s="209"/>
      <c r="N115" s="209"/>
      <c r="O115" s="209"/>
      <c r="P115" s="209"/>
      <c r="Q115" s="209"/>
      <c r="R115" s="209"/>
      <c r="S115" s="213"/>
      <c r="T115" s="209"/>
      <c r="U115" s="209"/>
      <c r="V115" s="213"/>
      <c r="W115" s="209"/>
      <c r="X115" s="209"/>
      <c r="Y115" s="155"/>
      <c r="Z115" s="209"/>
      <c r="AA115" s="209"/>
      <c r="AB115" s="209"/>
      <c r="AC115" s="209"/>
      <c r="AD115" s="209"/>
      <c r="AE115" s="168"/>
      <c r="AF115" s="168"/>
    </row>
    <row r="116" spans="1:32" x14ac:dyDescent="0.2">
      <c r="A116" s="209"/>
      <c r="B116" s="209"/>
      <c r="C116" s="209"/>
      <c r="D116" s="209"/>
      <c r="E116" s="209"/>
      <c r="F116" s="213"/>
      <c r="G116" s="209"/>
      <c r="H116" s="209"/>
      <c r="I116" s="209"/>
      <c r="J116" s="209"/>
      <c r="K116" s="213"/>
      <c r="L116" s="209"/>
      <c r="M116" s="209"/>
      <c r="N116" s="209"/>
      <c r="O116" s="209"/>
      <c r="P116" s="209"/>
      <c r="Q116" s="209"/>
      <c r="R116" s="209"/>
      <c r="S116" s="213"/>
      <c r="T116" s="209"/>
      <c r="U116" s="209"/>
      <c r="V116" s="213"/>
      <c r="W116" s="209"/>
      <c r="X116" s="209"/>
      <c r="Y116" s="155"/>
      <c r="Z116" s="209"/>
      <c r="AA116" s="209"/>
      <c r="AB116" s="209"/>
      <c r="AC116" s="209"/>
      <c r="AD116" s="209"/>
      <c r="AE116" s="168"/>
      <c r="AF116" s="168"/>
    </row>
    <row r="117" spans="1:32" x14ac:dyDescent="0.2">
      <c r="A117" s="209"/>
      <c r="B117" s="209"/>
      <c r="C117" s="209"/>
      <c r="D117" s="209"/>
      <c r="E117" s="209"/>
      <c r="F117" s="213"/>
      <c r="G117" s="209"/>
      <c r="H117" s="209"/>
      <c r="I117" s="209"/>
      <c r="J117" s="209"/>
      <c r="K117" s="213"/>
      <c r="L117" s="209"/>
      <c r="M117" s="209"/>
      <c r="N117" s="209"/>
      <c r="O117" s="209"/>
      <c r="P117" s="209"/>
      <c r="Q117" s="209"/>
      <c r="R117" s="209"/>
      <c r="S117" s="213"/>
      <c r="T117" s="209"/>
      <c r="U117" s="209"/>
      <c r="V117" s="213"/>
      <c r="W117" s="209"/>
      <c r="X117" s="209"/>
      <c r="Y117" s="155"/>
      <c r="Z117" s="209"/>
      <c r="AA117" s="209"/>
      <c r="AB117" s="209"/>
      <c r="AC117" s="209"/>
      <c r="AD117" s="209"/>
      <c r="AE117" s="168"/>
      <c r="AF117" s="168"/>
    </row>
    <row r="118" spans="1:32" x14ac:dyDescent="0.2">
      <c r="A118" s="209"/>
      <c r="B118" s="209"/>
      <c r="C118" s="209"/>
      <c r="D118" s="209"/>
      <c r="E118" s="209"/>
      <c r="F118" s="213"/>
      <c r="G118" s="209"/>
      <c r="H118" s="209"/>
      <c r="I118" s="209"/>
      <c r="J118" s="209"/>
      <c r="K118" s="213"/>
      <c r="L118" s="209"/>
      <c r="M118" s="209"/>
      <c r="N118" s="209"/>
      <c r="O118" s="209"/>
      <c r="P118" s="209"/>
      <c r="Q118" s="209"/>
      <c r="R118" s="209"/>
      <c r="S118" s="213"/>
      <c r="T118" s="209"/>
      <c r="U118" s="209"/>
      <c r="V118" s="213"/>
      <c r="W118" s="209"/>
      <c r="X118" s="209"/>
      <c r="Y118" s="155"/>
      <c r="Z118" s="209"/>
      <c r="AA118" s="209"/>
      <c r="AB118" s="209"/>
      <c r="AC118" s="209"/>
      <c r="AD118" s="209"/>
      <c r="AE118" s="168"/>
      <c r="AF118" s="168"/>
    </row>
    <row r="119" spans="1:32" x14ac:dyDescent="0.2">
      <c r="A119" s="209"/>
      <c r="B119" s="209"/>
      <c r="C119" s="209"/>
      <c r="D119" s="209"/>
      <c r="E119" s="209"/>
      <c r="F119" s="213"/>
      <c r="G119" s="209"/>
      <c r="H119" s="209"/>
      <c r="I119" s="209"/>
      <c r="J119" s="209"/>
      <c r="K119" s="213"/>
      <c r="L119" s="209"/>
      <c r="M119" s="209"/>
      <c r="N119" s="209"/>
      <c r="O119" s="209"/>
      <c r="P119" s="209"/>
      <c r="Q119" s="209"/>
      <c r="R119" s="209"/>
      <c r="S119" s="213"/>
      <c r="T119" s="209"/>
      <c r="U119" s="209"/>
      <c r="V119" s="213"/>
      <c r="W119" s="209"/>
      <c r="X119" s="209"/>
      <c r="Y119" s="155"/>
      <c r="Z119" s="209"/>
      <c r="AA119" s="209"/>
      <c r="AB119" s="209"/>
      <c r="AC119" s="209"/>
      <c r="AD119" s="209"/>
      <c r="AE119" s="168"/>
      <c r="AF119" s="168"/>
    </row>
    <row r="120" spans="1:32" x14ac:dyDescent="0.2">
      <c r="A120" s="209"/>
      <c r="B120" s="209"/>
      <c r="C120" s="209"/>
      <c r="D120" s="209"/>
      <c r="E120" s="209"/>
      <c r="F120" s="213"/>
      <c r="G120" s="209"/>
      <c r="H120" s="209"/>
      <c r="I120" s="209"/>
      <c r="J120" s="209"/>
      <c r="K120" s="213"/>
      <c r="L120" s="209"/>
      <c r="M120" s="209"/>
      <c r="N120" s="209"/>
      <c r="O120" s="209"/>
      <c r="P120" s="209"/>
      <c r="Q120" s="209"/>
      <c r="R120" s="209"/>
      <c r="S120" s="213"/>
      <c r="T120" s="209"/>
      <c r="U120" s="209"/>
      <c r="V120" s="213"/>
      <c r="W120" s="209"/>
      <c r="X120" s="209"/>
      <c r="Y120" s="155"/>
      <c r="Z120" s="209"/>
      <c r="AA120" s="209"/>
      <c r="AB120" s="209"/>
      <c r="AC120" s="209"/>
      <c r="AD120" s="209"/>
      <c r="AE120" s="168"/>
      <c r="AF120" s="168"/>
    </row>
    <row r="121" spans="1:32" x14ac:dyDescent="0.2">
      <c r="A121" s="209"/>
      <c r="B121" s="209"/>
      <c r="C121" s="209"/>
      <c r="D121" s="209"/>
      <c r="E121" s="209"/>
      <c r="F121" s="213"/>
      <c r="G121" s="209"/>
      <c r="H121" s="209"/>
      <c r="I121" s="209"/>
      <c r="J121" s="209"/>
      <c r="K121" s="213"/>
      <c r="L121" s="209"/>
      <c r="M121" s="209"/>
      <c r="N121" s="209"/>
      <c r="O121" s="209"/>
      <c r="P121" s="209"/>
      <c r="Q121" s="209"/>
      <c r="R121" s="209"/>
      <c r="S121" s="213"/>
      <c r="T121" s="209"/>
      <c r="U121" s="209"/>
      <c r="V121" s="213"/>
      <c r="W121" s="209"/>
      <c r="X121" s="209"/>
      <c r="Y121" s="155"/>
      <c r="Z121" s="209"/>
      <c r="AA121" s="209"/>
      <c r="AB121" s="209"/>
      <c r="AC121" s="209"/>
      <c r="AD121" s="209"/>
      <c r="AE121" s="168"/>
      <c r="AF121" s="168"/>
    </row>
    <row r="122" spans="1:32" x14ac:dyDescent="0.2">
      <c r="A122" s="209"/>
      <c r="B122" s="209"/>
      <c r="C122" s="209"/>
      <c r="D122" s="209"/>
      <c r="E122" s="209"/>
      <c r="F122" s="213"/>
      <c r="G122" s="209"/>
      <c r="H122" s="209"/>
      <c r="I122" s="209"/>
      <c r="J122" s="209"/>
      <c r="K122" s="213"/>
      <c r="L122" s="209"/>
      <c r="M122" s="209"/>
      <c r="N122" s="209"/>
      <c r="O122" s="209"/>
      <c r="P122" s="209"/>
      <c r="Q122" s="209"/>
      <c r="R122" s="209"/>
      <c r="S122" s="213"/>
      <c r="T122" s="209"/>
      <c r="U122" s="209"/>
      <c r="V122" s="213"/>
      <c r="W122" s="209"/>
      <c r="X122" s="209"/>
      <c r="Y122" s="155"/>
      <c r="Z122" s="209"/>
      <c r="AA122" s="209"/>
      <c r="AB122" s="209"/>
      <c r="AC122" s="209"/>
      <c r="AD122" s="209"/>
      <c r="AE122" s="168"/>
      <c r="AF122" s="168"/>
    </row>
    <row r="123" spans="1:32" x14ac:dyDescent="0.2">
      <c r="A123" s="209"/>
      <c r="B123" s="209"/>
      <c r="C123" s="209"/>
      <c r="D123" s="209"/>
      <c r="E123" s="209"/>
      <c r="F123" s="213"/>
      <c r="G123" s="209"/>
      <c r="H123" s="209"/>
      <c r="I123" s="209"/>
      <c r="J123" s="209"/>
      <c r="K123" s="213"/>
      <c r="L123" s="209"/>
      <c r="M123" s="209"/>
      <c r="N123" s="209"/>
      <c r="O123" s="209"/>
      <c r="P123" s="209"/>
      <c r="Q123" s="209"/>
      <c r="R123" s="209"/>
      <c r="S123" s="213"/>
      <c r="T123" s="209"/>
      <c r="U123" s="209"/>
      <c r="V123" s="213"/>
      <c r="W123" s="209"/>
      <c r="X123" s="209"/>
      <c r="Y123" s="155"/>
      <c r="Z123" s="209"/>
      <c r="AA123" s="209"/>
      <c r="AB123" s="209"/>
      <c r="AC123" s="209"/>
      <c r="AD123" s="209"/>
      <c r="AE123" s="168"/>
      <c r="AF123" s="168"/>
    </row>
    <row r="124" spans="1:32" x14ac:dyDescent="0.2">
      <c r="A124" s="209"/>
      <c r="B124" s="209"/>
      <c r="C124" s="209"/>
      <c r="D124" s="209"/>
      <c r="E124" s="209"/>
      <c r="F124" s="213"/>
      <c r="G124" s="209"/>
      <c r="H124" s="209"/>
      <c r="I124" s="209"/>
      <c r="J124" s="209"/>
      <c r="K124" s="213"/>
      <c r="L124" s="209"/>
      <c r="M124" s="209"/>
      <c r="N124" s="209"/>
      <c r="O124" s="209"/>
      <c r="P124" s="209"/>
      <c r="Q124" s="209"/>
      <c r="R124" s="209"/>
      <c r="S124" s="213"/>
      <c r="T124" s="209"/>
      <c r="U124" s="209"/>
      <c r="V124" s="213"/>
      <c r="W124" s="209"/>
      <c r="X124" s="209"/>
      <c r="Y124" s="155"/>
      <c r="Z124" s="209"/>
      <c r="AA124" s="209"/>
      <c r="AB124" s="209"/>
      <c r="AC124" s="209"/>
      <c r="AD124" s="209"/>
      <c r="AE124" s="168"/>
      <c r="AF124" s="168"/>
    </row>
    <row r="125" spans="1:32" x14ac:dyDescent="0.2">
      <c r="A125" s="209"/>
      <c r="B125" s="209"/>
      <c r="C125" s="209"/>
      <c r="D125" s="209"/>
      <c r="E125" s="209"/>
      <c r="F125" s="213"/>
      <c r="G125" s="209"/>
      <c r="H125" s="209"/>
      <c r="I125" s="209"/>
      <c r="J125" s="209"/>
      <c r="K125" s="213"/>
      <c r="L125" s="209"/>
      <c r="M125" s="209"/>
      <c r="N125" s="209"/>
      <c r="O125" s="209"/>
      <c r="P125" s="209"/>
      <c r="Q125" s="209"/>
      <c r="R125" s="209"/>
      <c r="S125" s="213"/>
      <c r="T125" s="209"/>
      <c r="U125" s="209"/>
      <c r="V125" s="213"/>
      <c r="W125" s="209"/>
      <c r="X125" s="209"/>
      <c r="Y125" s="155"/>
      <c r="Z125" s="209"/>
      <c r="AA125" s="209"/>
      <c r="AB125" s="209"/>
      <c r="AC125" s="209"/>
      <c r="AD125" s="209"/>
      <c r="AE125" s="168"/>
      <c r="AF125" s="168"/>
    </row>
    <row r="126" spans="1:32" x14ac:dyDescent="0.2">
      <c r="A126" s="209"/>
      <c r="B126" s="209"/>
      <c r="C126" s="209"/>
      <c r="D126" s="209"/>
      <c r="E126" s="209"/>
      <c r="F126" s="213"/>
      <c r="G126" s="209"/>
      <c r="H126" s="209"/>
      <c r="I126" s="209"/>
      <c r="J126" s="209"/>
      <c r="K126" s="213"/>
      <c r="L126" s="209"/>
      <c r="M126" s="209"/>
      <c r="N126" s="209"/>
      <c r="O126" s="209"/>
      <c r="P126" s="209"/>
      <c r="Q126" s="209"/>
      <c r="R126" s="209"/>
      <c r="S126" s="213"/>
      <c r="T126" s="209"/>
      <c r="U126" s="209"/>
      <c r="V126" s="213"/>
      <c r="W126" s="209"/>
      <c r="X126" s="209"/>
      <c r="Y126" s="155"/>
      <c r="Z126" s="209"/>
      <c r="AA126" s="209"/>
      <c r="AB126" s="209"/>
      <c r="AC126" s="209"/>
      <c r="AD126" s="209"/>
      <c r="AE126" s="168"/>
      <c r="AF126" s="168"/>
    </row>
    <row r="127" spans="1:32" x14ac:dyDescent="0.2">
      <c r="A127" s="209"/>
      <c r="B127" s="209"/>
      <c r="C127" s="209"/>
      <c r="D127" s="209"/>
      <c r="E127" s="209"/>
      <c r="F127" s="213"/>
      <c r="G127" s="209"/>
      <c r="H127" s="209"/>
      <c r="I127" s="209"/>
      <c r="J127" s="209"/>
      <c r="K127" s="213"/>
      <c r="L127" s="209"/>
      <c r="M127" s="209"/>
      <c r="N127" s="209"/>
      <c r="O127" s="209"/>
      <c r="P127" s="209"/>
      <c r="Q127" s="209"/>
      <c r="R127" s="209"/>
      <c r="S127" s="213"/>
      <c r="T127" s="209"/>
      <c r="U127" s="209"/>
      <c r="V127" s="213"/>
      <c r="W127" s="209"/>
      <c r="X127" s="209"/>
      <c r="Y127" s="155"/>
      <c r="Z127" s="209"/>
      <c r="AA127" s="209"/>
      <c r="AB127" s="209"/>
      <c r="AC127" s="209"/>
      <c r="AD127" s="209"/>
      <c r="AE127" s="168"/>
      <c r="AF127" s="168"/>
    </row>
    <row r="128" spans="1:32" x14ac:dyDescent="0.2">
      <c r="A128" s="209"/>
      <c r="B128" s="209"/>
      <c r="C128" s="209"/>
      <c r="D128" s="209"/>
      <c r="E128" s="209"/>
      <c r="F128" s="213"/>
      <c r="G128" s="209"/>
      <c r="H128" s="209"/>
      <c r="I128" s="209"/>
      <c r="J128" s="209"/>
      <c r="K128" s="213"/>
      <c r="L128" s="209"/>
      <c r="M128" s="209"/>
      <c r="N128" s="209"/>
      <c r="O128" s="209"/>
      <c r="P128" s="209"/>
      <c r="Q128" s="209"/>
      <c r="R128" s="209"/>
      <c r="S128" s="213"/>
      <c r="T128" s="209"/>
      <c r="U128" s="209"/>
      <c r="V128" s="213"/>
      <c r="W128" s="209"/>
      <c r="X128" s="209"/>
      <c r="Y128" s="155"/>
      <c r="Z128" s="209"/>
      <c r="AA128" s="209"/>
      <c r="AB128" s="209"/>
      <c r="AC128" s="209"/>
      <c r="AD128" s="209"/>
      <c r="AE128" s="168"/>
      <c r="AF128" s="168"/>
    </row>
    <row r="129" spans="1:32" x14ac:dyDescent="0.2">
      <c r="A129" s="209"/>
      <c r="B129" s="209"/>
      <c r="C129" s="209"/>
      <c r="D129" s="209"/>
      <c r="E129" s="209"/>
      <c r="F129" s="213"/>
      <c r="G129" s="209"/>
      <c r="H129" s="209"/>
      <c r="I129" s="209"/>
      <c r="J129" s="209"/>
      <c r="K129" s="213"/>
      <c r="L129" s="209"/>
      <c r="M129" s="209"/>
      <c r="N129" s="209"/>
      <c r="O129" s="209"/>
      <c r="P129" s="209"/>
      <c r="Q129" s="209"/>
      <c r="R129" s="209"/>
      <c r="S129" s="213"/>
      <c r="T129" s="209"/>
      <c r="U129" s="209"/>
      <c r="V129" s="213"/>
      <c r="W129" s="209"/>
      <c r="X129" s="209"/>
      <c r="Y129" s="155"/>
      <c r="Z129" s="209"/>
      <c r="AA129" s="209"/>
      <c r="AB129" s="209"/>
      <c r="AC129" s="209"/>
      <c r="AD129" s="209"/>
      <c r="AE129" s="168"/>
      <c r="AF129" s="168"/>
    </row>
    <row r="130" spans="1:32" x14ac:dyDescent="0.2">
      <c r="A130" s="209"/>
      <c r="B130" s="209"/>
      <c r="C130" s="209"/>
      <c r="D130" s="209"/>
      <c r="E130" s="209"/>
      <c r="F130" s="213"/>
      <c r="G130" s="209"/>
      <c r="H130" s="209"/>
      <c r="I130" s="209"/>
      <c r="J130" s="209"/>
      <c r="K130" s="213"/>
      <c r="L130" s="209"/>
      <c r="M130" s="209"/>
      <c r="N130" s="209"/>
      <c r="O130" s="209"/>
      <c r="P130" s="209"/>
      <c r="Q130" s="209"/>
      <c r="R130" s="209"/>
      <c r="S130" s="213"/>
      <c r="T130" s="209"/>
      <c r="U130" s="209"/>
      <c r="V130" s="213"/>
      <c r="W130" s="209"/>
      <c r="X130" s="209"/>
      <c r="Y130" s="155"/>
      <c r="Z130" s="209"/>
      <c r="AA130" s="209"/>
      <c r="AB130" s="209"/>
      <c r="AC130" s="209"/>
      <c r="AD130" s="209"/>
      <c r="AE130" s="168"/>
      <c r="AF130" s="168"/>
    </row>
    <row r="131" spans="1:32" x14ac:dyDescent="0.2">
      <c r="A131" s="209"/>
      <c r="B131" s="209"/>
      <c r="C131" s="209"/>
      <c r="D131" s="209"/>
      <c r="E131" s="209"/>
      <c r="F131" s="213"/>
      <c r="G131" s="209"/>
      <c r="H131" s="209"/>
      <c r="I131" s="209"/>
      <c r="J131" s="209"/>
      <c r="K131" s="213"/>
      <c r="L131" s="209"/>
      <c r="M131" s="209"/>
      <c r="N131" s="209"/>
      <c r="O131" s="209"/>
      <c r="P131" s="209"/>
      <c r="Q131" s="209"/>
      <c r="R131" s="209"/>
      <c r="S131" s="213"/>
      <c r="T131" s="209"/>
      <c r="U131" s="209"/>
      <c r="V131" s="213"/>
      <c r="W131" s="209"/>
      <c r="X131" s="209"/>
      <c r="Y131" s="155"/>
      <c r="Z131" s="209"/>
      <c r="AA131" s="209"/>
      <c r="AB131" s="209"/>
      <c r="AC131" s="209"/>
      <c r="AD131" s="209"/>
      <c r="AE131" s="168"/>
      <c r="AF131" s="168"/>
    </row>
    <row r="132" spans="1:32" x14ac:dyDescent="0.2">
      <c r="A132" s="209"/>
      <c r="B132" s="209"/>
      <c r="C132" s="209"/>
      <c r="D132" s="209"/>
      <c r="E132" s="209"/>
      <c r="F132" s="213"/>
      <c r="G132" s="209"/>
      <c r="H132" s="209"/>
      <c r="I132" s="209"/>
      <c r="J132" s="209"/>
      <c r="K132" s="213"/>
      <c r="L132" s="209"/>
      <c r="M132" s="209"/>
      <c r="N132" s="209"/>
      <c r="O132" s="209"/>
      <c r="P132" s="209"/>
      <c r="Q132" s="209"/>
      <c r="R132" s="209"/>
      <c r="S132" s="213"/>
      <c r="T132" s="209"/>
      <c r="U132" s="209"/>
      <c r="V132" s="213"/>
      <c r="W132" s="209"/>
      <c r="X132" s="209"/>
      <c r="Y132" s="155"/>
      <c r="Z132" s="209"/>
      <c r="AA132" s="209"/>
      <c r="AB132" s="209"/>
      <c r="AC132" s="209"/>
      <c r="AD132" s="209"/>
      <c r="AE132" s="168"/>
      <c r="AF132" s="168"/>
    </row>
    <row r="133" spans="1:32" x14ac:dyDescent="0.2">
      <c r="A133" s="209"/>
      <c r="B133" s="209"/>
      <c r="C133" s="209"/>
      <c r="D133" s="209"/>
      <c r="E133" s="209"/>
      <c r="F133" s="213"/>
      <c r="G133" s="209"/>
      <c r="H133" s="209"/>
      <c r="I133" s="209"/>
      <c r="J133" s="209"/>
      <c r="K133" s="213"/>
      <c r="L133" s="209"/>
      <c r="M133" s="209"/>
      <c r="N133" s="209"/>
      <c r="O133" s="209"/>
      <c r="P133" s="209"/>
      <c r="Q133" s="209"/>
      <c r="R133" s="209"/>
      <c r="S133" s="213"/>
      <c r="T133" s="209"/>
      <c r="U133" s="209"/>
      <c r="V133" s="213"/>
      <c r="W133" s="209"/>
      <c r="X133" s="209"/>
      <c r="Y133" s="155"/>
      <c r="Z133" s="209"/>
      <c r="AA133" s="209"/>
      <c r="AB133" s="209"/>
      <c r="AC133" s="209"/>
      <c r="AD133" s="209"/>
      <c r="AE133" s="168"/>
      <c r="AF133" s="168"/>
    </row>
    <row r="134" spans="1:32" x14ac:dyDescent="0.2">
      <c r="A134" s="209"/>
      <c r="B134" s="209"/>
      <c r="C134" s="209"/>
      <c r="D134" s="209"/>
      <c r="E134" s="209"/>
      <c r="F134" s="213"/>
      <c r="G134" s="209"/>
      <c r="H134" s="209"/>
      <c r="I134" s="209"/>
      <c r="J134" s="209"/>
      <c r="K134" s="213"/>
      <c r="L134" s="209"/>
      <c r="M134" s="209"/>
      <c r="N134" s="209"/>
      <c r="O134" s="209"/>
      <c r="P134" s="209"/>
      <c r="Q134" s="209"/>
      <c r="R134" s="209"/>
      <c r="S134" s="213"/>
      <c r="T134" s="209"/>
      <c r="U134" s="209"/>
      <c r="V134" s="213"/>
      <c r="W134" s="209"/>
      <c r="X134" s="209"/>
      <c r="Y134" s="155"/>
      <c r="Z134" s="209"/>
      <c r="AA134" s="209"/>
      <c r="AB134" s="209"/>
      <c r="AC134" s="209"/>
      <c r="AD134" s="209"/>
      <c r="AE134" s="168"/>
      <c r="AF134" s="168"/>
    </row>
    <row r="135" spans="1:32" x14ac:dyDescent="0.2">
      <c r="A135" s="209"/>
      <c r="B135" s="209"/>
      <c r="C135" s="209"/>
      <c r="D135" s="209"/>
      <c r="E135" s="209"/>
      <c r="F135" s="213"/>
      <c r="G135" s="209"/>
      <c r="H135" s="209"/>
      <c r="I135" s="209"/>
      <c r="J135" s="209"/>
      <c r="K135" s="213"/>
      <c r="L135" s="209"/>
      <c r="M135" s="209"/>
      <c r="N135" s="209"/>
      <c r="O135" s="209"/>
      <c r="P135" s="209"/>
      <c r="Q135" s="209"/>
      <c r="R135" s="209"/>
      <c r="S135" s="213"/>
      <c r="T135" s="209"/>
      <c r="U135" s="209"/>
      <c r="V135" s="213"/>
      <c r="W135" s="209"/>
      <c r="X135" s="209"/>
      <c r="Y135" s="155"/>
      <c r="Z135" s="209"/>
      <c r="AA135" s="209"/>
      <c r="AB135" s="209"/>
      <c r="AC135" s="209"/>
      <c r="AD135" s="209"/>
      <c r="AE135" s="168"/>
      <c r="AF135" s="168"/>
    </row>
    <row r="136" spans="1:32" x14ac:dyDescent="0.2">
      <c r="A136" s="209"/>
      <c r="B136" s="209"/>
      <c r="C136" s="209"/>
      <c r="D136" s="209"/>
      <c r="E136" s="209"/>
      <c r="F136" s="213"/>
      <c r="G136" s="209"/>
      <c r="H136" s="209"/>
      <c r="I136" s="209"/>
      <c r="J136" s="209"/>
      <c r="K136" s="213"/>
      <c r="L136" s="209"/>
      <c r="M136" s="209"/>
      <c r="N136" s="209"/>
      <c r="O136" s="209"/>
      <c r="P136" s="209"/>
      <c r="Q136" s="209"/>
      <c r="R136" s="209"/>
      <c r="S136" s="213"/>
      <c r="T136" s="209"/>
      <c r="U136" s="209"/>
      <c r="V136" s="213"/>
      <c r="W136" s="209"/>
      <c r="X136" s="209"/>
      <c r="Y136" s="155"/>
      <c r="Z136" s="209"/>
      <c r="AA136" s="209"/>
      <c r="AB136" s="209"/>
      <c r="AC136" s="209"/>
      <c r="AD136" s="209"/>
      <c r="AE136" s="168"/>
      <c r="AF136" s="168"/>
    </row>
    <row r="137" spans="1:32" x14ac:dyDescent="0.2">
      <c r="A137" s="209"/>
      <c r="B137" s="209"/>
      <c r="C137" s="209"/>
      <c r="D137" s="209"/>
      <c r="E137" s="209"/>
      <c r="F137" s="213"/>
      <c r="G137" s="209"/>
      <c r="H137" s="209"/>
      <c r="I137" s="209"/>
      <c r="J137" s="209"/>
      <c r="K137" s="213"/>
      <c r="L137" s="209"/>
      <c r="M137" s="209"/>
      <c r="N137" s="209"/>
      <c r="O137" s="209"/>
      <c r="P137" s="209"/>
      <c r="Q137" s="209"/>
      <c r="R137" s="209"/>
      <c r="S137" s="213"/>
      <c r="T137" s="209"/>
      <c r="U137" s="209"/>
      <c r="V137" s="213"/>
      <c r="W137" s="209"/>
      <c r="X137" s="209"/>
      <c r="Y137" s="155"/>
      <c r="Z137" s="209"/>
      <c r="AA137" s="209"/>
      <c r="AB137" s="209"/>
      <c r="AC137" s="209"/>
      <c r="AD137" s="209"/>
      <c r="AE137" s="168"/>
      <c r="AF137" s="168"/>
    </row>
    <row r="138" spans="1:32" x14ac:dyDescent="0.2">
      <c r="A138" s="209"/>
      <c r="B138" s="209"/>
      <c r="C138" s="209"/>
      <c r="D138" s="209"/>
      <c r="E138" s="209"/>
      <c r="F138" s="213"/>
      <c r="G138" s="209"/>
      <c r="H138" s="209"/>
      <c r="I138" s="209"/>
      <c r="J138" s="209"/>
      <c r="K138" s="213"/>
      <c r="L138" s="209"/>
      <c r="M138" s="209"/>
      <c r="N138" s="209"/>
      <c r="O138" s="209"/>
      <c r="P138" s="209"/>
      <c r="Q138" s="209"/>
      <c r="R138" s="209"/>
      <c r="S138" s="213"/>
      <c r="T138" s="209"/>
      <c r="U138" s="209"/>
      <c r="V138" s="213"/>
      <c r="W138" s="209"/>
      <c r="X138" s="209"/>
      <c r="Y138" s="155"/>
      <c r="Z138" s="209"/>
      <c r="AA138" s="209"/>
      <c r="AB138" s="209"/>
      <c r="AC138" s="209"/>
      <c r="AD138" s="209"/>
      <c r="AE138" s="168"/>
      <c r="AF138" s="168"/>
    </row>
    <row r="139" spans="1:32" x14ac:dyDescent="0.2">
      <c r="A139" s="209"/>
      <c r="B139" s="209"/>
      <c r="C139" s="209"/>
      <c r="D139" s="209"/>
      <c r="E139" s="209"/>
      <c r="F139" s="213"/>
      <c r="G139" s="209"/>
      <c r="H139" s="209"/>
      <c r="I139" s="209"/>
      <c r="J139" s="209"/>
      <c r="K139" s="213"/>
      <c r="L139" s="209"/>
      <c r="M139" s="209"/>
      <c r="N139" s="209"/>
      <c r="O139" s="209"/>
      <c r="P139" s="209"/>
      <c r="Q139" s="209"/>
      <c r="R139" s="209"/>
      <c r="S139" s="213"/>
      <c r="T139" s="209"/>
      <c r="U139" s="209"/>
      <c r="V139" s="213"/>
      <c r="W139" s="209"/>
      <c r="X139" s="209"/>
      <c r="Y139" s="155"/>
      <c r="Z139" s="209"/>
      <c r="AA139" s="209"/>
      <c r="AB139" s="209"/>
      <c r="AC139" s="209"/>
      <c r="AD139" s="209"/>
      <c r="AE139" s="168"/>
      <c r="AF139" s="168"/>
    </row>
    <row r="140" spans="1:32" x14ac:dyDescent="0.2">
      <c r="A140" s="209"/>
      <c r="B140" s="209"/>
      <c r="C140" s="209"/>
      <c r="D140" s="209"/>
      <c r="E140" s="209"/>
      <c r="F140" s="213"/>
      <c r="G140" s="209"/>
      <c r="H140" s="209"/>
      <c r="I140" s="209"/>
      <c r="J140" s="209"/>
      <c r="K140" s="213"/>
      <c r="L140" s="209"/>
      <c r="M140" s="209"/>
      <c r="N140" s="209"/>
      <c r="O140" s="209"/>
      <c r="P140" s="209"/>
      <c r="Q140" s="209"/>
      <c r="R140" s="209"/>
      <c r="S140" s="213"/>
      <c r="T140" s="209"/>
      <c r="U140" s="209"/>
      <c r="V140" s="213"/>
      <c r="W140" s="209"/>
      <c r="X140" s="209"/>
      <c r="Y140" s="155"/>
      <c r="Z140" s="209"/>
      <c r="AA140" s="209"/>
      <c r="AB140" s="209"/>
      <c r="AC140" s="209"/>
      <c r="AD140" s="209"/>
      <c r="AE140" s="168"/>
      <c r="AF140" s="168"/>
    </row>
    <row r="141" spans="1:32" x14ac:dyDescent="0.2">
      <c r="A141" s="209"/>
      <c r="B141" s="209"/>
      <c r="C141" s="209"/>
      <c r="D141" s="209"/>
      <c r="E141" s="209"/>
      <c r="F141" s="213"/>
      <c r="G141" s="209"/>
      <c r="H141" s="209"/>
      <c r="I141" s="209"/>
      <c r="J141" s="209"/>
      <c r="K141" s="213"/>
      <c r="L141" s="209"/>
      <c r="M141" s="209"/>
      <c r="N141" s="209"/>
      <c r="O141" s="209"/>
      <c r="P141" s="209"/>
      <c r="Q141" s="209"/>
      <c r="R141" s="209"/>
      <c r="S141" s="213"/>
      <c r="T141" s="209"/>
      <c r="U141" s="209"/>
      <c r="V141" s="213"/>
      <c r="W141" s="209"/>
      <c r="X141" s="209"/>
      <c r="Y141" s="155"/>
      <c r="Z141" s="209"/>
      <c r="AA141" s="209"/>
      <c r="AB141" s="209"/>
      <c r="AC141" s="209"/>
      <c r="AD141" s="209"/>
      <c r="AE141" s="168"/>
      <c r="AF141" s="168"/>
    </row>
    <row r="142" spans="1:32" x14ac:dyDescent="0.2">
      <c r="A142" s="209"/>
      <c r="B142" s="209"/>
      <c r="C142" s="209"/>
      <c r="D142" s="209"/>
      <c r="E142" s="209"/>
      <c r="F142" s="213"/>
      <c r="G142" s="209"/>
      <c r="H142" s="209"/>
      <c r="I142" s="209"/>
      <c r="J142" s="209"/>
      <c r="K142" s="213"/>
      <c r="L142" s="209"/>
      <c r="M142" s="209"/>
      <c r="N142" s="209"/>
      <c r="O142" s="209"/>
      <c r="P142" s="209"/>
      <c r="Q142" s="209"/>
      <c r="R142" s="209"/>
      <c r="S142" s="213"/>
      <c r="T142" s="209"/>
      <c r="U142" s="209"/>
      <c r="V142" s="213"/>
      <c r="W142" s="209"/>
      <c r="X142" s="209"/>
      <c r="Y142" s="155"/>
      <c r="Z142" s="209"/>
      <c r="AA142" s="209"/>
      <c r="AB142" s="209"/>
      <c r="AC142" s="209"/>
      <c r="AD142" s="209"/>
      <c r="AE142" s="168"/>
      <c r="AF142" s="168"/>
    </row>
    <row r="143" spans="1:32" x14ac:dyDescent="0.2">
      <c r="A143" s="209"/>
      <c r="B143" s="209"/>
      <c r="C143" s="209"/>
      <c r="D143" s="209"/>
      <c r="E143" s="209"/>
      <c r="F143" s="213"/>
      <c r="G143" s="209"/>
      <c r="H143" s="209"/>
      <c r="I143" s="209"/>
      <c r="J143" s="209"/>
      <c r="K143" s="213"/>
      <c r="L143" s="209"/>
      <c r="M143" s="209"/>
      <c r="N143" s="209"/>
      <c r="O143" s="209"/>
      <c r="P143" s="209"/>
      <c r="Q143" s="209"/>
      <c r="R143" s="209"/>
      <c r="S143" s="213"/>
      <c r="T143" s="209"/>
      <c r="U143" s="209"/>
      <c r="V143" s="213"/>
      <c r="W143" s="209"/>
      <c r="X143" s="209"/>
      <c r="Y143" s="155"/>
      <c r="Z143" s="209"/>
      <c r="AA143" s="209"/>
      <c r="AB143" s="209"/>
      <c r="AC143" s="209"/>
      <c r="AD143" s="209"/>
      <c r="AE143" s="168"/>
      <c r="AF143" s="168"/>
    </row>
    <row r="144" spans="1:32" x14ac:dyDescent="0.2">
      <c r="A144" s="209"/>
      <c r="B144" s="209"/>
      <c r="C144" s="209"/>
      <c r="D144" s="209"/>
      <c r="E144" s="209"/>
      <c r="F144" s="213"/>
      <c r="G144" s="209"/>
      <c r="H144" s="209"/>
      <c r="I144" s="209"/>
      <c r="J144" s="209"/>
      <c r="K144" s="213"/>
      <c r="L144" s="209"/>
      <c r="M144" s="209"/>
      <c r="N144" s="209"/>
      <c r="O144" s="209"/>
      <c r="P144" s="209"/>
      <c r="Q144" s="209"/>
      <c r="R144" s="209"/>
      <c r="S144" s="213"/>
      <c r="T144" s="209"/>
      <c r="U144" s="209"/>
      <c r="V144" s="213"/>
      <c r="W144" s="209"/>
      <c r="X144" s="209"/>
      <c r="Y144" s="155"/>
      <c r="Z144" s="209"/>
      <c r="AA144" s="209"/>
      <c r="AB144" s="209"/>
      <c r="AC144" s="209"/>
      <c r="AD144" s="209"/>
      <c r="AE144" s="168"/>
      <c r="AF144" s="168"/>
    </row>
    <row r="145" spans="1:32" x14ac:dyDescent="0.2">
      <c r="A145" s="209"/>
      <c r="B145" s="209"/>
      <c r="C145" s="209"/>
      <c r="D145" s="209"/>
      <c r="E145" s="209"/>
      <c r="F145" s="213"/>
      <c r="G145" s="209"/>
      <c r="H145" s="209"/>
      <c r="I145" s="209"/>
      <c r="J145" s="209"/>
      <c r="K145" s="213"/>
      <c r="L145" s="209"/>
      <c r="M145" s="209"/>
      <c r="N145" s="209"/>
      <c r="O145" s="209"/>
      <c r="P145" s="209"/>
      <c r="Q145" s="209"/>
      <c r="R145" s="209"/>
      <c r="S145" s="213"/>
      <c r="T145" s="209"/>
      <c r="U145" s="209"/>
      <c r="V145" s="213"/>
      <c r="W145" s="209"/>
      <c r="X145" s="209"/>
      <c r="Y145" s="155"/>
      <c r="Z145" s="209"/>
      <c r="AA145" s="209"/>
      <c r="AB145" s="209"/>
      <c r="AC145" s="209"/>
      <c r="AD145" s="209"/>
      <c r="AE145" s="168"/>
      <c r="AF145" s="168"/>
    </row>
    <row r="146" spans="1:32" x14ac:dyDescent="0.2">
      <c r="A146" s="209"/>
      <c r="B146" s="209"/>
      <c r="C146" s="209"/>
      <c r="D146" s="209"/>
      <c r="E146" s="209"/>
      <c r="F146" s="213"/>
      <c r="G146" s="209"/>
      <c r="H146" s="209"/>
      <c r="I146" s="209"/>
      <c r="J146" s="209"/>
      <c r="K146" s="213"/>
      <c r="L146" s="209"/>
      <c r="M146" s="209"/>
      <c r="N146" s="209"/>
      <c r="O146" s="209"/>
      <c r="P146" s="209"/>
      <c r="Q146" s="209"/>
      <c r="R146" s="209"/>
      <c r="S146" s="213"/>
      <c r="T146" s="209"/>
      <c r="U146" s="209"/>
      <c r="V146" s="213"/>
      <c r="W146" s="209"/>
      <c r="X146" s="209"/>
      <c r="Y146" s="155"/>
      <c r="Z146" s="209"/>
      <c r="AA146" s="209"/>
      <c r="AB146" s="209"/>
      <c r="AC146" s="209"/>
      <c r="AD146" s="209"/>
      <c r="AE146" s="168"/>
      <c r="AF146" s="168"/>
    </row>
    <row r="147" spans="1:32" x14ac:dyDescent="0.2">
      <c r="A147" s="209"/>
      <c r="B147" s="209"/>
      <c r="C147" s="209"/>
      <c r="D147" s="209"/>
      <c r="E147" s="209"/>
      <c r="F147" s="213"/>
      <c r="G147" s="209"/>
      <c r="H147" s="209"/>
      <c r="I147" s="209"/>
      <c r="J147" s="209"/>
      <c r="K147" s="213"/>
      <c r="L147" s="209"/>
      <c r="M147" s="209"/>
      <c r="N147" s="209"/>
      <c r="O147" s="209"/>
      <c r="P147" s="209"/>
      <c r="Q147" s="209"/>
      <c r="R147" s="209"/>
      <c r="S147" s="213"/>
      <c r="T147" s="209"/>
      <c r="U147" s="209"/>
      <c r="V147" s="213"/>
      <c r="W147" s="209"/>
      <c r="X147" s="209"/>
      <c r="Y147" s="209"/>
      <c r="Z147" s="209"/>
      <c r="AA147" s="209"/>
      <c r="AB147" s="209"/>
      <c r="AC147" s="209"/>
      <c r="AD147" s="209"/>
      <c r="AE147" s="168"/>
      <c r="AF147" s="168"/>
    </row>
    <row r="148" spans="1:32" x14ac:dyDescent="0.2">
      <c r="A148" s="209"/>
      <c r="B148" s="209"/>
      <c r="C148" s="209"/>
      <c r="D148" s="209"/>
      <c r="E148" s="209"/>
      <c r="F148" s="213"/>
      <c r="G148" s="209"/>
      <c r="H148" s="209"/>
      <c r="I148" s="209"/>
      <c r="J148" s="209"/>
      <c r="K148" s="213"/>
      <c r="L148" s="209"/>
      <c r="M148" s="209"/>
      <c r="N148" s="209"/>
      <c r="O148" s="209"/>
      <c r="P148" s="209"/>
      <c r="Q148" s="209"/>
      <c r="R148" s="209"/>
      <c r="S148" s="213"/>
      <c r="T148" s="209"/>
      <c r="U148" s="209"/>
      <c r="V148" s="213"/>
      <c r="W148" s="209"/>
      <c r="X148" s="209"/>
      <c r="Y148" s="209"/>
      <c r="Z148" s="209"/>
      <c r="AA148" s="209"/>
      <c r="AB148" s="209"/>
      <c r="AC148" s="209"/>
      <c r="AD148" s="209"/>
      <c r="AE148" s="168"/>
      <c r="AF148" s="168"/>
    </row>
    <row r="149" spans="1:32" x14ac:dyDescent="0.2">
      <c r="A149" s="209"/>
      <c r="B149" s="209"/>
      <c r="C149" s="209"/>
      <c r="D149" s="209"/>
      <c r="E149" s="209"/>
      <c r="F149" s="213"/>
      <c r="G149" s="209"/>
      <c r="H149" s="209"/>
      <c r="I149" s="209"/>
      <c r="J149" s="209"/>
      <c r="K149" s="213"/>
      <c r="L149" s="209"/>
      <c r="M149" s="209"/>
      <c r="N149" s="209"/>
      <c r="O149" s="209"/>
      <c r="P149" s="209"/>
      <c r="Q149" s="209"/>
      <c r="R149" s="209"/>
      <c r="S149" s="213"/>
      <c r="T149" s="209"/>
      <c r="U149" s="209"/>
      <c r="V149" s="213"/>
      <c r="W149" s="209"/>
      <c r="X149" s="209"/>
      <c r="Y149" s="209"/>
      <c r="Z149" s="209"/>
      <c r="AA149" s="209"/>
      <c r="AB149" s="209"/>
      <c r="AC149" s="209"/>
      <c r="AD149" s="209"/>
      <c r="AE149" s="168"/>
      <c r="AF149" s="168"/>
    </row>
    <row r="150" spans="1:32" x14ac:dyDescent="0.2">
      <c r="X150" s="168"/>
      <c r="Z150" s="168"/>
      <c r="AE150" s="168"/>
      <c r="AF150" s="168"/>
    </row>
    <row r="151" spans="1:32" x14ac:dyDescent="0.2">
      <c r="X151" s="168"/>
      <c r="Z151" s="168"/>
      <c r="AE151" s="168"/>
      <c r="AF151" s="168"/>
    </row>
    <row r="152" spans="1:32" x14ac:dyDescent="0.2">
      <c r="X152" s="168"/>
      <c r="Z152" s="168"/>
      <c r="AE152" s="168"/>
      <c r="AF152" s="168"/>
    </row>
    <row r="153" spans="1:32" x14ac:dyDescent="0.2">
      <c r="X153" s="168"/>
      <c r="Z153" s="168"/>
      <c r="AE153" s="168"/>
      <c r="AF153" s="168"/>
    </row>
    <row r="154" spans="1:32" x14ac:dyDescent="0.2">
      <c r="X154" s="168"/>
      <c r="Z154" s="168"/>
      <c r="AE154" s="168"/>
      <c r="AF154" s="168"/>
    </row>
    <row r="155" spans="1:32" x14ac:dyDescent="0.2">
      <c r="X155" s="168"/>
      <c r="Z155" s="168"/>
      <c r="AE155" s="168"/>
      <c r="AF155" s="168"/>
    </row>
    <row r="156" spans="1:32" x14ac:dyDescent="0.2">
      <c r="X156" s="168"/>
      <c r="Z156" s="168"/>
      <c r="AE156" s="168"/>
      <c r="AF156" s="168"/>
    </row>
    <row r="157" spans="1:32" x14ac:dyDescent="0.2">
      <c r="X157" s="168"/>
      <c r="Z157" s="168"/>
      <c r="AE157" s="168"/>
      <c r="AF157" s="168"/>
    </row>
    <row r="158" spans="1:32" x14ac:dyDescent="0.2">
      <c r="X158" s="168"/>
      <c r="Z158" s="168"/>
      <c r="AE158" s="168"/>
      <c r="AF158" s="168"/>
    </row>
    <row r="159" spans="1:32" x14ac:dyDescent="0.2">
      <c r="X159" s="168"/>
      <c r="Z159" s="168"/>
      <c r="AE159" s="168"/>
      <c r="AF159" s="168"/>
    </row>
    <row r="160" spans="1:32" x14ac:dyDescent="0.2">
      <c r="X160" s="168"/>
      <c r="Z160" s="168"/>
      <c r="AE160" s="168"/>
      <c r="AF160" s="168"/>
    </row>
    <row r="161" spans="24:32" x14ac:dyDescent="0.2">
      <c r="X161" s="168"/>
      <c r="Z161" s="168"/>
      <c r="AE161" s="168"/>
      <c r="AF161" s="168"/>
    </row>
    <row r="162" spans="24:32" x14ac:dyDescent="0.2">
      <c r="X162" s="168"/>
      <c r="Z162" s="168"/>
      <c r="AE162" s="168"/>
      <c r="AF162" s="168"/>
    </row>
    <row r="163" spans="24:32" x14ac:dyDescent="0.2">
      <c r="X163" s="168"/>
      <c r="Z163" s="168"/>
      <c r="AE163" s="168"/>
      <c r="AF163" s="168"/>
    </row>
    <row r="164" spans="24:32" x14ac:dyDescent="0.2">
      <c r="X164" s="168"/>
      <c r="Z164" s="168"/>
      <c r="AE164" s="168"/>
      <c r="AF164" s="168"/>
    </row>
    <row r="165" spans="24:32" x14ac:dyDescent="0.2">
      <c r="X165" s="168"/>
      <c r="Z165" s="168"/>
      <c r="AE165" s="168"/>
      <c r="AF165" s="168"/>
    </row>
    <row r="166" spans="24:32" x14ac:dyDescent="0.2">
      <c r="X166" s="168"/>
      <c r="Z166" s="168"/>
      <c r="AE166" s="168"/>
      <c r="AF166" s="168"/>
    </row>
    <row r="167" spans="24:32" x14ac:dyDescent="0.2">
      <c r="X167" s="168"/>
      <c r="Z167" s="168"/>
      <c r="AE167" s="168"/>
      <c r="AF167" s="168"/>
    </row>
    <row r="168" spans="24:32" x14ac:dyDescent="0.2">
      <c r="X168" s="168"/>
      <c r="Z168" s="168"/>
      <c r="AE168" s="168"/>
      <c r="AF168" s="168"/>
    </row>
    <row r="169" spans="24:32" x14ac:dyDescent="0.2">
      <c r="X169" s="168"/>
      <c r="Z169" s="168"/>
      <c r="AE169" s="168"/>
      <c r="AF169" s="168"/>
    </row>
    <row r="170" spans="24:32" x14ac:dyDescent="0.2">
      <c r="X170" s="168"/>
      <c r="Z170" s="168"/>
      <c r="AE170" s="168"/>
      <c r="AF170" s="168"/>
    </row>
    <row r="171" spans="24:32" x14ac:dyDescent="0.4">
      <c r="AE171" s="168"/>
      <c r="AF171" s="168"/>
    </row>
    <row r="172" spans="24:32" x14ac:dyDescent="0.4">
      <c r="AE172" s="168"/>
      <c r="AF172" s="168"/>
    </row>
    <row r="173" spans="24:32" x14ac:dyDescent="0.4">
      <c r="AE173" s="168"/>
      <c r="AF173" s="168"/>
    </row>
    <row r="174" spans="24:32" x14ac:dyDescent="0.4">
      <c r="AE174" s="168"/>
      <c r="AF174" s="168"/>
    </row>
    <row r="175" spans="24:32" x14ac:dyDescent="0.4">
      <c r="AE175" s="168"/>
      <c r="AF175" s="168"/>
    </row>
    <row r="176" spans="24:32" x14ac:dyDescent="0.4">
      <c r="AE176" s="168"/>
      <c r="AF176" s="168"/>
    </row>
    <row r="177" spans="31:32" x14ac:dyDescent="0.4">
      <c r="AE177" s="168"/>
      <c r="AF177" s="168"/>
    </row>
    <row r="178" spans="31:32" x14ac:dyDescent="0.4">
      <c r="AE178" s="168"/>
      <c r="AF178" s="168"/>
    </row>
    <row r="179" spans="31:32" x14ac:dyDescent="0.4">
      <c r="AE179" s="168"/>
      <c r="AF179" s="168"/>
    </row>
    <row r="180" spans="31:32" x14ac:dyDescent="0.4">
      <c r="AE180" s="168"/>
      <c r="AF180" s="168"/>
    </row>
    <row r="181" spans="31:32" x14ac:dyDescent="0.4">
      <c r="AE181" s="168"/>
      <c r="AF181" s="168"/>
    </row>
    <row r="182" spans="31:32" x14ac:dyDescent="0.4">
      <c r="AE182" s="168"/>
      <c r="AF182" s="168"/>
    </row>
    <row r="183" spans="31:32" x14ac:dyDescent="0.4">
      <c r="AE183" s="168"/>
      <c r="AF183" s="168"/>
    </row>
    <row r="184" spans="31:32" x14ac:dyDescent="0.4">
      <c r="AE184" s="168"/>
      <c r="AF184" s="168"/>
    </row>
    <row r="185" spans="31:32" x14ac:dyDescent="0.4">
      <c r="AE185" s="168"/>
      <c r="AF185" s="168"/>
    </row>
    <row r="186" spans="31:32" x14ac:dyDescent="0.4">
      <c r="AE186" s="168"/>
      <c r="AF186" s="168"/>
    </row>
    <row r="187" spans="31:32" x14ac:dyDescent="0.4">
      <c r="AE187" s="168"/>
      <c r="AF187" s="168"/>
    </row>
    <row r="188" spans="31:32" x14ac:dyDescent="0.4">
      <c r="AE188" s="168"/>
      <c r="AF188" s="168"/>
    </row>
    <row r="189" spans="31:32" x14ac:dyDescent="0.4">
      <c r="AE189" s="168"/>
      <c r="AF189" s="168"/>
    </row>
    <row r="190" spans="31:32" x14ac:dyDescent="0.4">
      <c r="AE190" s="168"/>
      <c r="AF190" s="168"/>
    </row>
    <row r="191" spans="31:32" x14ac:dyDescent="0.4">
      <c r="AE191" s="168"/>
      <c r="AF191" s="168"/>
    </row>
    <row r="192" spans="31:32" x14ac:dyDescent="0.4">
      <c r="AE192" s="168"/>
      <c r="AF192" s="168"/>
    </row>
    <row r="193" spans="31:32" x14ac:dyDescent="0.4">
      <c r="AE193" s="168"/>
      <c r="AF193" s="168"/>
    </row>
    <row r="194" spans="31:32" x14ac:dyDescent="0.4">
      <c r="AE194" s="168"/>
      <c r="AF194" s="168"/>
    </row>
    <row r="195" spans="31:32" x14ac:dyDescent="0.4">
      <c r="AE195" s="168"/>
      <c r="AF195" s="168"/>
    </row>
    <row r="196" spans="31:32" x14ac:dyDescent="0.4">
      <c r="AE196" s="168"/>
      <c r="AF196" s="168"/>
    </row>
    <row r="197" spans="31:32" x14ac:dyDescent="0.4">
      <c r="AE197" s="168"/>
      <c r="AF197" s="168"/>
    </row>
    <row r="198" spans="31:32" x14ac:dyDescent="0.4">
      <c r="AE198" s="168"/>
      <c r="AF198" s="168"/>
    </row>
    <row r="199" spans="31:32" x14ac:dyDescent="0.4">
      <c r="AE199" s="168"/>
      <c r="AF199" s="168"/>
    </row>
    <row r="200" spans="31:32" x14ac:dyDescent="0.4">
      <c r="AE200" s="168"/>
      <c r="AF200" s="168"/>
    </row>
    <row r="201" spans="31:32" x14ac:dyDescent="0.4">
      <c r="AE201" s="168"/>
      <c r="AF201" s="168"/>
    </row>
    <row r="202" spans="31:32" x14ac:dyDescent="0.4">
      <c r="AE202" s="168"/>
      <c r="AF202" s="168"/>
    </row>
    <row r="203" spans="31:32" x14ac:dyDescent="0.4">
      <c r="AE203" s="168"/>
      <c r="AF203" s="168"/>
    </row>
    <row r="204" spans="31:32" x14ac:dyDescent="0.4">
      <c r="AE204" s="168"/>
      <c r="AF204" s="168"/>
    </row>
    <row r="205" spans="31:32" x14ac:dyDescent="0.4">
      <c r="AE205" s="168"/>
      <c r="AF205" s="168"/>
    </row>
    <row r="206" spans="31:32" x14ac:dyDescent="0.4">
      <c r="AE206" s="168"/>
      <c r="AF206" s="168"/>
    </row>
    <row r="207" spans="31:32" x14ac:dyDescent="0.4">
      <c r="AE207" s="168"/>
      <c r="AF207" s="168"/>
    </row>
    <row r="208" spans="31:32" x14ac:dyDescent="0.4">
      <c r="AE208" s="168"/>
      <c r="AF208" s="168"/>
    </row>
    <row r="209" spans="31:32" x14ac:dyDescent="0.4">
      <c r="AE209" s="168"/>
      <c r="AF209" s="168"/>
    </row>
    <row r="210" spans="31:32" x14ac:dyDescent="0.4">
      <c r="AE210" s="168"/>
      <c r="AF210" s="168"/>
    </row>
    <row r="211" spans="31:32" x14ac:dyDescent="0.4">
      <c r="AE211" s="168"/>
      <c r="AF211" s="168"/>
    </row>
    <row r="212" spans="31:32" x14ac:dyDescent="0.4">
      <c r="AE212" s="168"/>
      <c r="AF212" s="168"/>
    </row>
    <row r="213" spans="31:32" x14ac:dyDescent="0.4">
      <c r="AE213" s="168"/>
      <c r="AF213" s="168"/>
    </row>
    <row r="214" spans="31:32" x14ac:dyDescent="0.4">
      <c r="AE214" s="168"/>
      <c r="AF214" s="168"/>
    </row>
    <row r="215" spans="31:32" x14ac:dyDescent="0.4">
      <c r="AE215" s="168"/>
      <c r="AF215" s="168"/>
    </row>
    <row r="216" spans="31:32" x14ac:dyDescent="0.4">
      <c r="AE216" s="168"/>
      <c r="AF216" s="168"/>
    </row>
    <row r="217" spans="31:32" x14ac:dyDescent="0.4">
      <c r="AE217" s="168"/>
      <c r="AF217" s="168"/>
    </row>
    <row r="218" spans="31:32" x14ac:dyDescent="0.4">
      <c r="AE218" s="168"/>
      <c r="AF218" s="168"/>
    </row>
    <row r="219" spans="31:32" x14ac:dyDescent="0.4">
      <c r="AE219" s="168"/>
      <c r="AF219" s="168"/>
    </row>
    <row r="220" spans="31:32" x14ac:dyDescent="0.4">
      <c r="AE220" s="168"/>
      <c r="AF220" s="168"/>
    </row>
    <row r="221" spans="31:32" x14ac:dyDescent="0.4">
      <c r="AE221" s="168"/>
      <c r="AF221" s="168"/>
    </row>
    <row r="222" spans="31:32" x14ac:dyDescent="0.4">
      <c r="AE222" s="168"/>
      <c r="AF222" s="168"/>
    </row>
    <row r="223" spans="31:32" x14ac:dyDescent="0.4">
      <c r="AE223" s="168"/>
      <c r="AF223" s="168"/>
    </row>
    <row r="224" spans="31:32" x14ac:dyDescent="0.4">
      <c r="AE224" s="168"/>
      <c r="AF224" s="168"/>
    </row>
    <row r="225" spans="31:32" x14ac:dyDescent="0.4">
      <c r="AE225" s="168"/>
      <c r="AF225" s="168"/>
    </row>
    <row r="226" spans="31:32" x14ac:dyDescent="0.4">
      <c r="AE226" s="168"/>
      <c r="AF226" s="168"/>
    </row>
    <row r="227" spans="31:32" x14ac:dyDescent="0.4">
      <c r="AE227" s="168"/>
      <c r="AF227" s="168"/>
    </row>
    <row r="228" spans="31:32" x14ac:dyDescent="0.4">
      <c r="AE228" s="168"/>
      <c r="AF228" s="168"/>
    </row>
    <row r="229" spans="31:32" x14ac:dyDescent="0.4">
      <c r="AE229" s="168"/>
      <c r="AF229" s="168"/>
    </row>
    <row r="230" spans="31:32" x14ac:dyDescent="0.4">
      <c r="AE230" s="168"/>
      <c r="AF230" s="168"/>
    </row>
    <row r="231" spans="31:32" x14ac:dyDescent="0.4">
      <c r="AE231" s="168"/>
      <c r="AF231" s="168"/>
    </row>
    <row r="232" spans="31:32" x14ac:dyDescent="0.4">
      <c r="AE232" s="168"/>
      <c r="AF232" s="168"/>
    </row>
    <row r="233" spans="31:32" x14ac:dyDescent="0.4">
      <c r="AE233" s="168"/>
      <c r="AF233" s="168"/>
    </row>
    <row r="234" spans="31:32" x14ac:dyDescent="0.4">
      <c r="AE234" s="168"/>
      <c r="AF234" s="168"/>
    </row>
    <row r="235" spans="31:32" x14ac:dyDescent="0.4">
      <c r="AE235" s="168"/>
      <c r="AF235" s="168"/>
    </row>
    <row r="236" spans="31:32" x14ac:dyDescent="0.4">
      <c r="AE236" s="168"/>
      <c r="AF236" s="168"/>
    </row>
    <row r="237" spans="31:32" x14ac:dyDescent="0.4">
      <c r="AE237" s="168"/>
      <c r="AF237" s="168"/>
    </row>
    <row r="238" spans="31:32" x14ac:dyDescent="0.4">
      <c r="AE238" s="168"/>
      <c r="AF238" s="168"/>
    </row>
    <row r="239" spans="31:32" x14ac:dyDescent="0.4">
      <c r="AE239" s="168"/>
      <c r="AF239" s="168"/>
    </row>
    <row r="240" spans="31:32" x14ac:dyDescent="0.4">
      <c r="AE240" s="168"/>
      <c r="AF240" s="168"/>
    </row>
    <row r="241" spans="31:32" x14ac:dyDescent="0.4">
      <c r="AE241" s="168"/>
      <c r="AF241" s="168"/>
    </row>
    <row r="242" spans="31:32" x14ac:dyDescent="0.4">
      <c r="AE242" s="168"/>
      <c r="AF242" s="168"/>
    </row>
    <row r="243" spans="31:32" x14ac:dyDescent="0.4">
      <c r="AE243" s="168"/>
      <c r="AF243" s="168"/>
    </row>
    <row r="244" spans="31:32" x14ac:dyDescent="0.4">
      <c r="AE244" s="168"/>
      <c r="AF244" s="168"/>
    </row>
    <row r="245" spans="31:32" x14ac:dyDescent="0.4">
      <c r="AE245" s="168"/>
      <c r="AF245" s="168"/>
    </row>
    <row r="246" spans="31:32" x14ac:dyDescent="0.4">
      <c r="AE246" s="168"/>
      <c r="AF246" s="168"/>
    </row>
    <row r="247" spans="31:32" x14ac:dyDescent="0.4">
      <c r="AE247" s="168"/>
      <c r="AF247" s="168"/>
    </row>
    <row r="248" spans="31:32" x14ac:dyDescent="0.4">
      <c r="AE248" s="168"/>
      <c r="AF248" s="168"/>
    </row>
    <row r="249" spans="31:32" x14ac:dyDescent="0.4">
      <c r="AE249" s="168"/>
      <c r="AF249" s="168"/>
    </row>
    <row r="250" spans="31:32" x14ac:dyDescent="0.4">
      <c r="AE250" s="168"/>
      <c r="AF250" s="168"/>
    </row>
    <row r="251" spans="31:32" x14ac:dyDescent="0.4">
      <c r="AE251" s="168"/>
      <c r="AF251" s="168"/>
    </row>
    <row r="252" spans="31:32" x14ac:dyDescent="0.4">
      <c r="AE252" s="168"/>
      <c r="AF252" s="168"/>
    </row>
    <row r="253" spans="31:32" x14ac:dyDescent="0.4">
      <c r="AE253" s="168"/>
      <c r="AF253" s="168"/>
    </row>
    <row r="254" spans="31:32" x14ac:dyDescent="0.4">
      <c r="AE254" s="168"/>
      <c r="AF254" s="168"/>
    </row>
    <row r="255" spans="31:32" x14ac:dyDescent="0.4">
      <c r="AE255" s="168"/>
      <c r="AF255" s="168"/>
    </row>
    <row r="256" spans="31:32" x14ac:dyDescent="0.4">
      <c r="AE256" s="168"/>
      <c r="AF256" s="168"/>
    </row>
    <row r="257" spans="31:32" x14ac:dyDescent="0.4">
      <c r="AE257" s="168"/>
      <c r="AF257" s="168"/>
    </row>
    <row r="258" spans="31:32" x14ac:dyDescent="0.4">
      <c r="AE258" s="168"/>
      <c r="AF258" s="168"/>
    </row>
    <row r="259" spans="31:32" x14ac:dyDescent="0.4">
      <c r="AE259" s="168"/>
      <c r="AF259" s="168"/>
    </row>
    <row r="260" spans="31:32" x14ac:dyDescent="0.4">
      <c r="AE260" s="168"/>
      <c r="AF260" s="168"/>
    </row>
    <row r="261" spans="31:32" x14ac:dyDescent="0.4">
      <c r="AE261" s="168"/>
      <c r="AF261" s="168"/>
    </row>
    <row r="262" spans="31:32" x14ac:dyDescent="0.4">
      <c r="AE262" s="168"/>
      <c r="AF262" s="168"/>
    </row>
    <row r="263" spans="31:32" x14ac:dyDescent="0.4">
      <c r="AE263" s="168"/>
      <c r="AF263" s="168"/>
    </row>
    <row r="264" spans="31:32" x14ac:dyDescent="0.4">
      <c r="AE264" s="168"/>
      <c r="AF264" s="168"/>
    </row>
    <row r="265" spans="31:32" x14ac:dyDescent="0.4">
      <c r="AE265" s="168"/>
      <c r="AF265" s="168"/>
    </row>
    <row r="266" spans="31:32" x14ac:dyDescent="0.4">
      <c r="AE266" s="168"/>
      <c r="AF266" s="168"/>
    </row>
    <row r="267" spans="31:32" x14ac:dyDescent="0.4">
      <c r="AE267" s="168"/>
      <c r="AF267" s="168"/>
    </row>
    <row r="268" spans="31:32" x14ac:dyDescent="0.4">
      <c r="AE268" s="168"/>
      <c r="AF268" s="168"/>
    </row>
    <row r="269" spans="31:32" x14ac:dyDescent="0.4">
      <c r="AE269" s="168"/>
      <c r="AF269" s="168"/>
    </row>
    <row r="270" spans="31:32" x14ac:dyDescent="0.4">
      <c r="AE270" s="168"/>
      <c r="AF270" s="168"/>
    </row>
    <row r="271" spans="31:32" x14ac:dyDescent="0.4">
      <c r="AE271" s="168"/>
      <c r="AF271" s="168"/>
    </row>
    <row r="272" spans="31:32" x14ac:dyDescent="0.4">
      <c r="AE272" s="168"/>
      <c r="AF272" s="168"/>
    </row>
    <row r="273" spans="31:32" x14ac:dyDescent="0.4">
      <c r="AE273" s="168"/>
      <c r="AF273" s="168"/>
    </row>
    <row r="274" spans="31:32" x14ac:dyDescent="0.4">
      <c r="AE274" s="168"/>
      <c r="AF274" s="168"/>
    </row>
    <row r="275" spans="31:32" x14ac:dyDescent="0.4">
      <c r="AE275" s="168"/>
      <c r="AF275" s="168"/>
    </row>
    <row r="276" spans="31:32" x14ac:dyDescent="0.4">
      <c r="AE276" s="168"/>
      <c r="AF276" s="168"/>
    </row>
    <row r="277" spans="31:32" x14ac:dyDescent="0.4">
      <c r="AE277" s="168"/>
      <c r="AF277" s="168"/>
    </row>
    <row r="278" spans="31:32" x14ac:dyDescent="0.4">
      <c r="AE278" s="168"/>
      <c r="AF278" s="168"/>
    </row>
    <row r="279" spans="31:32" x14ac:dyDescent="0.4">
      <c r="AE279" s="168"/>
      <c r="AF279" s="168"/>
    </row>
    <row r="280" spans="31:32" x14ac:dyDescent="0.4">
      <c r="AE280" s="168"/>
      <c r="AF280" s="168"/>
    </row>
    <row r="281" spans="31:32" x14ac:dyDescent="0.4">
      <c r="AE281" s="168"/>
      <c r="AF281" s="168"/>
    </row>
    <row r="282" spans="31:32" x14ac:dyDescent="0.4">
      <c r="AE282" s="168"/>
      <c r="AF282" s="168"/>
    </row>
    <row r="283" spans="31:32" x14ac:dyDescent="0.4">
      <c r="AE283" s="168"/>
      <c r="AF283" s="168"/>
    </row>
    <row r="284" spans="31:32" x14ac:dyDescent="0.4">
      <c r="AE284" s="168"/>
      <c r="AF284" s="168"/>
    </row>
    <row r="285" spans="31:32" x14ac:dyDescent="0.4">
      <c r="AE285" s="168"/>
      <c r="AF285" s="168"/>
    </row>
    <row r="286" spans="31:32" x14ac:dyDescent="0.4">
      <c r="AE286" s="168"/>
      <c r="AF286" s="168"/>
    </row>
    <row r="287" spans="31:32" x14ac:dyDescent="0.4">
      <c r="AE287" s="168"/>
      <c r="AF287" s="168"/>
    </row>
    <row r="288" spans="31:32" x14ac:dyDescent="0.4">
      <c r="AE288" s="168"/>
      <c r="AF288" s="168"/>
    </row>
    <row r="289" spans="31:32" x14ac:dyDescent="0.4">
      <c r="AE289" s="168"/>
      <c r="AF289" s="168"/>
    </row>
    <row r="290" spans="31:32" x14ac:dyDescent="0.4">
      <c r="AE290" s="168"/>
      <c r="AF290" s="168"/>
    </row>
    <row r="291" spans="31:32" x14ac:dyDescent="0.4">
      <c r="AE291" s="168"/>
      <c r="AF291" s="168"/>
    </row>
    <row r="292" spans="31:32" x14ac:dyDescent="0.4">
      <c r="AE292" s="168"/>
      <c r="AF292" s="168"/>
    </row>
    <row r="293" spans="31:32" x14ac:dyDescent="0.4">
      <c r="AE293" s="168"/>
      <c r="AF293" s="168"/>
    </row>
    <row r="294" spans="31:32" x14ac:dyDescent="0.4">
      <c r="AE294" s="168"/>
      <c r="AF294" s="168"/>
    </row>
    <row r="295" spans="31:32" x14ac:dyDescent="0.4">
      <c r="AE295" s="168"/>
      <c r="AF295" s="168"/>
    </row>
    <row r="296" spans="31:32" x14ac:dyDescent="0.4">
      <c r="AE296" s="168"/>
      <c r="AF296" s="168"/>
    </row>
    <row r="297" spans="31:32" x14ac:dyDescent="0.4">
      <c r="AE297" s="168"/>
      <c r="AF297" s="168"/>
    </row>
    <row r="298" spans="31:32" x14ac:dyDescent="0.4">
      <c r="AE298" s="168"/>
      <c r="AF298" s="168"/>
    </row>
    <row r="299" spans="31:32" x14ac:dyDescent="0.4">
      <c r="AE299" s="168"/>
      <c r="AF299" s="168"/>
    </row>
    <row r="300" spans="31:32" x14ac:dyDescent="0.4">
      <c r="AE300" s="168"/>
      <c r="AF300" s="168"/>
    </row>
    <row r="301" spans="31:32" x14ac:dyDescent="0.4">
      <c r="AE301" s="168"/>
      <c r="AF301" s="168"/>
    </row>
    <row r="302" spans="31:32" x14ac:dyDescent="0.4">
      <c r="AE302" s="168"/>
      <c r="AF302" s="168"/>
    </row>
    <row r="303" spans="31:32" x14ac:dyDescent="0.4">
      <c r="AE303" s="168"/>
      <c r="AF303" s="168"/>
    </row>
    <row r="304" spans="31:32" x14ac:dyDescent="0.4">
      <c r="AE304" s="168"/>
      <c r="AF304" s="168"/>
    </row>
    <row r="305" spans="31:32" x14ac:dyDescent="0.4">
      <c r="AE305" s="168"/>
      <c r="AF305" s="168"/>
    </row>
    <row r="306" spans="31:32" x14ac:dyDescent="0.4">
      <c r="AE306" s="168"/>
      <c r="AF306" s="168"/>
    </row>
    <row r="307" spans="31:32" x14ac:dyDescent="0.4">
      <c r="AE307" s="168"/>
      <c r="AF307" s="168"/>
    </row>
    <row r="308" spans="31:32" x14ac:dyDescent="0.4">
      <c r="AE308" s="168"/>
      <c r="AF308" s="168"/>
    </row>
    <row r="309" spans="31:32" x14ac:dyDescent="0.4">
      <c r="AE309" s="168"/>
      <c r="AF309" s="168"/>
    </row>
    <row r="310" spans="31:32" x14ac:dyDescent="0.4">
      <c r="AE310" s="168"/>
      <c r="AF310" s="168"/>
    </row>
    <row r="311" spans="31:32" x14ac:dyDescent="0.4">
      <c r="AE311" s="168"/>
      <c r="AF311" s="168"/>
    </row>
    <row r="312" spans="31:32" x14ac:dyDescent="0.4">
      <c r="AE312" s="168"/>
      <c r="AF312" s="168"/>
    </row>
    <row r="313" spans="31:32" x14ac:dyDescent="0.4">
      <c r="AE313" s="168"/>
      <c r="AF313" s="168"/>
    </row>
    <row r="314" spans="31:32" x14ac:dyDescent="0.4">
      <c r="AE314" s="168"/>
      <c r="AF314" s="168"/>
    </row>
    <row r="315" spans="31:32" x14ac:dyDescent="0.4">
      <c r="AE315" s="168"/>
      <c r="AF315" s="168"/>
    </row>
    <row r="316" spans="31:32" x14ac:dyDescent="0.4">
      <c r="AE316" s="168"/>
      <c r="AF316" s="168"/>
    </row>
    <row r="317" spans="31:32" x14ac:dyDescent="0.4">
      <c r="AE317" s="168"/>
      <c r="AF317" s="168"/>
    </row>
    <row r="318" spans="31:32" x14ac:dyDescent="0.4">
      <c r="AE318" s="168"/>
      <c r="AF318" s="168"/>
    </row>
    <row r="319" spans="31:32" x14ac:dyDescent="0.4">
      <c r="AE319" s="168"/>
      <c r="AF319" s="168"/>
    </row>
  </sheetData>
  <autoFilter ref="A3:T42" xr:uid="{BE8BB781-C563-4C2C-A1B4-9F3C1BC1387C}">
    <sortState xmlns:xlrd2="http://schemas.microsoft.com/office/spreadsheetml/2017/richdata2" ref="A4:T32">
      <sortCondition ref="G3:G25"/>
    </sortState>
  </autoFilter>
  <mergeCells count="5">
    <mergeCell ref="AD1:AF1"/>
    <mergeCell ref="A2:G2"/>
    <mergeCell ref="H2:L2"/>
    <mergeCell ref="M2:T2"/>
    <mergeCell ref="V2:AC2"/>
  </mergeCells>
  <phoneticPr fontId="1" type="noConversion"/>
  <pageMargins left="0.7" right="0.7" top="0.75" bottom="0.75" header="0.3" footer="0.3"/>
  <pageSetup paperSize="9" orientation="portrait" r:id="rId1"/>
  <drawing r:id="rId2"/>
  <tableParts count="2">
    <tablePart r:id="rId3"/>
    <tablePart r:id="rId4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25C941-8A53-4931-9641-9DCCE7ED9331}">
  <sheetPr codeName="Sheet9"/>
  <dimension ref="A1:AU173"/>
  <sheetViews>
    <sheetView tabSelected="1" topLeftCell="AC6" zoomScaleNormal="100" workbookViewId="0">
      <selection activeCell="AG6" sqref="AG6"/>
    </sheetView>
  </sheetViews>
  <sheetFormatPr defaultColWidth="35.7109375" defaultRowHeight="12.75" x14ac:dyDescent="0.2"/>
  <cols>
    <col min="1" max="1" width="40.42578125" customWidth="1"/>
    <col min="2" max="2" width="35.7109375" customWidth="1"/>
    <col min="3" max="6" width="35.7109375" hidden="1" customWidth="1"/>
    <col min="7" max="7" width="35.7109375" customWidth="1"/>
    <col min="9" max="10" width="35.7109375" hidden="1" customWidth="1"/>
    <col min="12" max="12" width="35.7109375" customWidth="1"/>
    <col min="13" max="13" width="42.5703125" hidden="1" customWidth="1"/>
    <col min="14" max="15" width="35.7109375" hidden="1" customWidth="1"/>
    <col min="16" max="16" width="0" hidden="1" customWidth="1"/>
    <col min="17" max="17" width="35.7109375" hidden="1" customWidth="1"/>
    <col min="18" max="18" width="0" hidden="1" customWidth="1"/>
    <col min="19" max="19" width="36.42578125" hidden="1" customWidth="1"/>
    <col min="20" max="20" width="0" hidden="1" customWidth="1"/>
    <col min="21" max="21" width="35.7109375" hidden="1" customWidth="1"/>
    <col min="23" max="23" width="43.5703125" hidden="1" customWidth="1"/>
    <col min="24" max="24" width="35.7109375" customWidth="1"/>
    <col min="25" max="25" width="36.85546875" customWidth="1"/>
    <col min="26" max="28" width="35.7109375" hidden="1" customWidth="1"/>
    <col min="31" max="34" width="54.28515625" customWidth="1"/>
  </cols>
  <sheetData>
    <row r="1" spans="1:47" s="1" customFormat="1" ht="31.5" hidden="1" thickBot="1" x14ac:dyDescent="0.25">
      <c r="F1" s="2"/>
      <c r="K1" s="2"/>
      <c r="S1" s="2"/>
      <c r="V1" s="49"/>
      <c r="W1" s="50"/>
      <c r="X1" s="50"/>
      <c r="Y1" s="50"/>
      <c r="Z1" s="50"/>
      <c r="AA1" s="50"/>
      <c r="AB1" s="50"/>
      <c r="AC1" s="186"/>
      <c r="AD1" s="288"/>
      <c r="AE1" s="288"/>
      <c r="AF1" s="288"/>
      <c r="AG1" s="186"/>
    </row>
    <row r="2" spans="1:47" s="1" customFormat="1" ht="31.5" thickBot="1" x14ac:dyDescent="0.25">
      <c r="A2" s="285" t="s">
        <v>0</v>
      </c>
      <c r="B2" s="286"/>
      <c r="C2" s="286"/>
      <c r="D2" s="286"/>
      <c r="E2" s="286"/>
      <c r="F2" s="286"/>
      <c r="G2" s="287"/>
      <c r="H2" s="295" t="s">
        <v>4</v>
      </c>
      <c r="I2" s="296"/>
      <c r="J2" s="296"/>
      <c r="K2" s="296"/>
      <c r="L2" s="297"/>
      <c r="M2" s="298" t="s">
        <v>14</v>
      </c>
      <c r="N2" s="299"/>
      <c r="O2" s="299"/>
      <c r="P2" s="299"/>
      <c r="Q2" s="299"/>
      <c r="R2" s="299"/>
      <c r="S2" s="299"/>
      <c r="T2" s="300"/>
      <c r="V2" s="290" t="s">
        <v>73</v>
      </c>
      <c r="W2" s="291"/>
      <c r="X2" s="292"/>
      <c r="Y2" s="292"/>
      <c r="Z2" s="293"/>
      <c r="AA2" s="293"/>
      <c r="AB2" s="294"/>
      <c r="AC2" s="187"/>
      <c r="AD2" s="193"/>
      <c r="AE2" s="193"/>
      <c r="AF2" s="193"/>
      <c r="AG2" s="192"/>
      <c r="AH2" s="192"/>
      <c r="AI2" s="192"/>
      <c r="AJ2" s="192"/>
      <c r="AK2" s="192"/>
      <c r="AL2" s="192"/>
      <c r="AM2" s="192"/>
      <c r="AN2" s="192"/>
      <c r="AO2" s="192"/>
      <c r="AP2" s="192"/>
      <c r="AQ2" s="192"/>
      <c r="AR2" s="192"/>
      <c r="AS2" s="192"/>
      <c r="AT2" s="192"/>
      <c r="AU2" s="192"/>
    </row>
    <row r="3" spans="1:47" s="1" customFormat="1" ht="80.099999999999994" customHeight="1" thickTop="1" x14ac:dyDescent="0.2">
      <c r="A3" s="144" t="s">
        <v>86</v>
      </c>
      <c r="B3" s="145" t="s">
        <v>136</v>
      </c>
      <c r="C3" s="145" t="s">
        <v>87</v>
      </c>
      <c r="D3" s="145" t="s">
        <v>88</v>
      </c>
      <c r="E3" s="145" t="s">
        <v>89</v>
      </c>
      <c r="F3" s="145" t="s">
        <v>90</v>
      </c>
      <c r="G3" s="146" t="s">
        <v>3</v>
      </c>
      <c r="H3" s="147" t="s">
        <v>9</v>
      </c>
      <c r="I3" s="148" t="s">
        <v>10</v>
      </c>
      <c r="J3" s="148" t="s">
        <v>1</v>
      </c>
      <c r="K3" s="148" t="s">
        <v>2</v>
      </c>
      <c r="L3" s="149" t="s">
        <v>3</v>
      </c>
      <c r="M3" s="7" t="s">
        <v>9</v>
      </c>
      <c r="N3" s="8" t="s">
        <v>10</v>
      </c>
      <c r="O3" s="9" t="s">
        <v>11</v>
      </c>
      <c r="P3" s="9" t="s">
        <v>12</v>
      </c>
      <c r="Q3" s="8" t="s">
        <v>3</v>
      </c>
      <c r="R3" s="9" t="s">
        <v>100</v>
      </c>
      <c r="S3" s="9" t="s">
        <v>95</v>
      </c>
      <c r="T3" s="10" t="s">
        <v>13</v>
      </c>
      <c r="V3" s="40" t="s">
        <v>60</v>
      </c>
      <c r="W3" s="143" t="s">
        <v>91</v>
      </c>
      <c r="X3" s="52" t="s">
        <v>92</v>
      </c>
      <c r="Y3" s="53" t="s">
        <v>93</v>
      </c>
      <c r="Z3" s="150" t="s">
        <v>94</v>
      </c>
      <c r="AA3" s="151" t="s">
        <v>117</v>
      </c>
      <c r="AB3" s="152" t="s">
        <v>118</v>
      </c>
      <c r="AC3" s="187"/>
      <c r="AD3" s="192"/>
      <c r="AE3" s="226" t="s">
        <v>9</v>
      </c>
      <c r="AF3" s="227" t="s">
        <v>203</v>
      </c>
      <c r="AG3" s="228" t="s">
        <v>204</v>
      </c>
      <c r="AH3" s="229" t="s">
        <v>205</v>
      </c>
      <c r="AI3" s="192"/>
      <c r="AJ3" s="192"/>
      <c r="AK3" s="192"/>
      <c r="AL3" s="192"/>
      <c r="AM3" s="192"/>
      <c r="AN3" s="192"/>
      <c r="AO3" s="192"/>
      <c r="AP3" s="192"/>
      <c r="AQ3" s="192"/>
      <c r="AR3" s="192"/>
      <c r="AS3" s="192"/>
      <c r="AT3" s="192"/>
      <c r="AU3" s="192"/>
    </row>
    <row r="4" spans="1:47" s="1" customFormat="1" ht="30.75" x14ac:dyDescent="0.2">
      <c r="A4" s="11" t="s">
        <v>28</v>
      </c>
      <c r="B4" s="12" t="s">
        <v>24</v>
      </c>
      <c r="C4" s="12" t="s">
        <v>45</v>
      </c>
      <c r="D4" s="12" t="s">
        <v>46</v>
      </c>
      <c r="E4" s="12">
        <v>6276804</v>
      </c>
      <c r="F4" s="13">
        <v>8100</v>
      </c>
      <c r="G4" s="14">
        <v>45482</v>
      </c>
      <c r="H4" s="15" t="s">
        <v>31</v>
      </c>
      <c r="I4" s="16" t="s">
        <v>27</v>
      </c>
      <c r="J4" s="16">
        <v>6283782</v>
      </c>
      <c r="K4" s="17">
        <v>8125</v>
      </c>
      <c r="L4" s="18">
        <v>45486</v>
      </c>
      <c r="M4" s="19" t="s">
        <v>17</v>
      </c>
      <c r="N4" s="20" t="s">
        <v>36</v>
      </c>
      <c r="O4" s="20"/>
      <c r="P4" s="20">
        <v>26</v>
      </c>
      <c r="Q4" s="21">
        <v>45486</v>
      </c>
      <c r="R4" s="20">
        <v>310</v>
      </c>
      <c r="S4" s="22">
        <v>8130</v>
      </c>
      <c r="T4" s="23">
        <v>180</v>
      </c>
      <c r="V4" s="37">
        <f t="shared" ref="V4:V31" si="0">IF(RIGHT(C4, 1)="1",
    IF(O4&lt;&gt;"", 500*O4 + T4 + IF(R4&lt;=110, R4, 0), IF(P4&lt;&gt;"", 305*P4 + T4 + IF(R4&lt;=110, R4, 0), "")),
    IF(O4&lt;&gt;"", 500*O4 + T4, IF(P4&lt;&gt;"", 305*P4 + T4, ""))
)</f>
        <v>8110</v>
      </c>
      <c r="W4" s="24">
        <f t="shared" ref="W4:W31" si="1">IF(OR(ISBLANK(V4), ISBLANK(S4), NOT(ISNUMBER(V4)), NOT(ISNUMBER(S4))), "", V4-S4)</f>
        <v>-20</v>
      </c>
      <c r="X4" s="45">
        <f t="shared" ref="X4:X31" si="2">IF(OR(ISBLANK(V4), ISBLANK(K4), NOT(ISNUMBER(V4)), NOT(ISNUMBER(K4))), "", V4-K4)</f>
        <v>-15</v>
      </c>
      <c r="Y4" s="25">
        <f t="shared" ref="Y4:Y31" si="3">IF(OR(ISBLANK(V4), ISBLANK(F4), NOT(ISNUMBER(V4)), NOT(ISNUMBER(F4))), "", V4-F4)</f>
        <v>10</v>
      </c>
      <c r="Z4" s="38">
        <f t="shared" ref="Z4:Z31" si="4">IF(OR(ISBLANK(F4), ISBLANK(K4)), "",K4-F4)</f>
        <v>25</v>
      </c>
      <c r="AA4" s="39">
        <f t="shared" ref="AA4:AA31" si="5">IF(OR(ISBLANK(K4), ISBLANK(S4)), "",S4-K4)</f>
        <v>5</v>
      </c>
      <c r="AB4" s="58">
        <f t="shared" ref="AB4:AB31" si="6">IF(OR(ISBLANK(F4), ISBLANK(S4)), "",S4-F4)</f>
        <v>30</v>
      </c>
      <c r="AC4" s="209"/>
      <c r="AD4" s="209"/>
      <c r="AE4" s="230" t="s">
        <v>31</v>
      </c>
      <c r="AF4" s="232">
        <v>7859.1071428571431</v>
      </c>
      <c r="AG4" s="234">
        <v>-37.142857142857146</v>
      </c>
      <c r="AH4" s="236">
        <v>4.7260912044716098E-3</v>
      </c>
      <c r="AI4" s="50"/>
      <c r="AJ4" s="1" t="s">
        <v>9</v>
      </c>
      <c r="AK4" s="1" t="s">
        <v>208</v>
      </c>
      <c r="AL4" s="1" t="s">
        <v>209</v>
      </c>
    </row>
    <row r="5" spans="1:47" s="1" customFormat="1" ht="30.75" x14ac:dyDescent="0.2">
      <c r="A5" s="11" t="s">
        <v>28</v>
      </c>
      <c r="B5" s="12" t="s">
        <v>19</v>
      </c>
      <c r="C5" s="12" t="s">
        <v>29</v>
      </c>
      <c r="D5" s="12" t="s">
        <v>30</v>
      </c>
      <c r="E5" s="12">
        <v>6282752</v>
      </c>
      <c r="F5" s="13">
        <v>8135</v>
      </c>
      <c r="G5" s="14">
        <v>45485</v>
      </c>
      <c r="H5" s="15" t="s">
        <v>31</v>
      </c>
      <c r="I5" s="16" t="s">
        <v>32</v>
      </c>
      <c r="J5" s="16">
        <v>6233059</v>
      </c>
      <c r="K5" s="17">
        <v>8170</v>
      </c>
      <c r="L5" s="18">
        <v>45485</v>
      </c>
      <c r="M5" s="19" t="s">
        <v>17</v>
      </c>
      <c r="N5" s="20" t="s">
        <v>18</v>
      </c>
      <c r="O5" s="20"/>
      <c r="P5" s="20">
        <v>26</v>
      </c>
      <c r="Q5" s="21">
        <v>45485</v>
      </c>
      <c r="R5" s="20">
        <v>110</v>
      </c>
      <c r="S5" s="22">
        <v>8150</v>
      </c>
      <c r="T5" s="23">
        <v>120</v>
      </c>
      <c r="V5" s="37">
        <f t="shared" si="0"/>
        <v>8160</v>
      </c>
      <c r="W5" s="28">
        <f t="shared" si="1"/>
        <v>10</v>
      </c>
      <c r="X5" s="45">
        <f t="shared" si="2"/>
        <v>-10</v>
      </c>
      <c r="Y5" s="199">
        <f t="shared" si="3"/>
        <v>25</v>
      </c>
      <c r="Z5" s="38">
        <f t="shared" si="4"/>
        <v>35</v>
      </c>
      <c r="AA5" s="39">
        <f t="shared" si="5"/>
        <v>-20</v>
      </c>
      <c r="AB5" s="58">
        <f t="shared" si="6"/>
        <v>15</v>
      </c>
      <c r="AC5" s="50"/>
      <c r="AD5" s="50"/>
      <c r="AE5" s="230" t="s">
        <v>7</v>
      </c>
      <c r="AF5" s="232">
        <v>7774.2772277227723</v>
      </c>
      <c r="AG5" s="234">
        <v>-6.3861386138613865</v>
      </c>
      <c r="AH5" s="236">
        <v>8.2144467283577988E-4</v>
      </c>
      <c r="AI5" s="50"/>
      <c r="AJ5" s="1" t="s">
        <v>31</v>
      </c>
      <c r="AK5" s="1">
        <v>28</v>
      </c>
      <c r="AL5" s="191">
        <v>0.18421052631578946</v>
      </c>
    </row>
    <row r="6" spans="1:47" s="1" customFormat="1" ht="30.75" x14ac:dyDescent="0.2">
      <c r="A6" s="11" t="s">
        <v>28</v>
      </c>
      <c r="B6" s="12" t="s">
        <v>19</v>
      </c>
      <c r="C6" s="12" t="s">
        <v>42</v>
      </c>
      <c r="D6" s="12" t="s">
        <v>30</v>
      </c>
      <c r="E6" s="12">
        <v>6282683</v>
      </c>
      <c r="F6" s="13">
        <v>8120</v>
      </c>
      <c r="G6" s="14">
        <v>45485</v>
      </c>
      <c r="H6" s="15" t="s">
        <v>31</v>
      </c>
      <c r="I6" s="16" t="s">
        <v>43</v>
      </c>
      <c r="J6" s="16">
        <v>6283550</v>
      </c>
      <c r="K6" s="17">
        <v>8170</v>
      </c>
      <c r="L6" s="18">
        <v>45486</v>
      </c>
      <c r="M6" s="19" t="s">
        <v>44</v>
      </c>
      <c r="N6" s="20" t="s">
        <v>25</v>
      </c>
      <c r="O6" s="20"/>
      <c r="P6" s="20">
        <v>26</v>
      </c>
      <c r="Q6" s="21">
        <v>45486</v>
      </c>
      <c r="R6" s="20">
        <v>310</v>
      </c>
      <c r="S6" s="22">
        <v>8155</v>
      </c>
      <c r="T6" s="23">
        <v>220</v>
      </c>
      <c r="V6" s="37">
        <f t="shared" si="0"/>
        <v>8150</v>
      </c>
      <c r="W6" s="28">
        <f t="shared" si="1"/>
        <v>-5</v>
      </c>
      <c r="X6" s="45">
        <f t="shared" si="2"/>
        <v>-20</v>
      </c>
      <c r="Y6" s="199">
        <f t="shared" si="3"/>
        <v>30</v>
      </c>
      <c r="Z6" s="38">
        <f t="shared" si="4"/>
        <v>50</v>
      </c>
      <c r="AA6" s="39">
        <f t="shared" si="5"/>
        <v>-15</v>
      </c>
      <c r="AB6" s="58">
        <f t="shared" si="6"/>
        <v>35</v>
      </c>
      <c r="AC6" s="50"/>
      <c r="AD6" s="50"/>
      <c r="AE6" s="230" t="s">
        <v>163</v>
      </c>
      <c r="AF6" s="232">
        <v>7685.0714285714284</v>
      </c>
      <c r="AG6" s="234">
        <v>-2.7142857142857144</v>
      </c>
      <c r="AH6" s="236">
        <v>3.5318939316485582E-4</v>
      </c>
      <c r="AI6" s="50"/>
      <c r="AJ6" s="1" t="s">
        <v>7</v>
      </c>
      <c r="AK6" s="1">
        <v>101</v>
      </c>
      <c r="AL6" s="191">
        <v>0.66447368421052633</v>
      </c>
    </row>
    <row r="7" spans="1:47" s="1" customFormat="1" ht="31.5" thickBot="1" x14ac:dyDescent="0.25">
      <c r="A7" s="11" t="s">
        <v>28</v>
      </c>
      <c r="B7" s="12" t="s">
        <v>24</v>
      </c>
      <c r="C7" s="12" t="s">
        <v>56</v>
      </c>
      <c r="D7" s="12" t="s">
        <v>6</v>
      </c>
      <c r="E7" s="12">
        <v>6283162</v>
      </c>
      <c r="F7" s="13">
        <v>8135</v>
      </c>
      <c r="G7" s="14">
        <v>45485</v>
      </c>
      <c r="H7" s="15" t="s">
        <v>31</v>
      </c>
      <c r="I7" s="16" t="s">
        <v>43</v>
      </c>
      <c r="J7" s="16">
        <v>6283354</v>
      </c>
      <c r="K7" s="17">
        <v>8190</v>
      </c>
      <c r="L7" s="18">
        <v>45486</v>
      </c>
      <c r="M7" s="19" t="s">
        <v>44</v>
      </c>
      <c r="N7" s="20" t="s">
        <v>51</v>
      </c>
      <c r="O7" s="20"/>
      <c r="P7" s="20">
        <v>26</v>
      </c>
      <c r="Q7" s="21">
        <v>45486</v>
      </c>
      <c r="R7" s="20">
        <v>110</v>
      </c>
      <c r="S7" s="22">
        <v>8165</v>
      </c>
      <c r="T7" s="23">
        <v>125</v>
      </c>
      <c r="V7" s="37">
        <f t="shared" si="0"/>
        <v>8165</v>
      </c>
      <c r="W7" s="28">
        <f t="shared" si="1"/>
        <v>0</v>
      </c>
      <c r="X7" s="45">
        <f t="shared" si="2"/>
        <v>-25</v>
      </c>
      <c r="Y7" s="199">
        <f t="shared" si="3"/>
        <v>30</v>
      </c>
      <c r="Z7" s="38">
        <f t="shared" si="4"/>
        <v>55</v>
      </c>
      <c r="AA7" s="39">
        <f t="shared" si="5"/>
        <v>-25</v>
      </c>
      <c r="AB7" s="58">
        <f t="shared" si="6"/>
        <v>30</v>
      </c>
      <c r="AC7" s="50"/>
      <c r="AD7" s="50"/>
      <c r="AE7" s="231" t="s">
        <v>48</v>
      </c>
      <c r="AF7" s="233">
        <v>7671.8888888888887</v>
      </c>
      <c r="AG7" s="235">
        <v>-8.2222222222222214</v>
      </c>
      <c r="AH7" s="237">
        <v>1.0717337465784174E-3</v>
      </c>
      <c r="AI7" s="50"/>
      <c r="AJ7" s="1" t="s">
        <v>163</v>
      </c>
      <c r="AK7" s="1">
        <v>14</v>
      </c>
      <c r="AL7" s="191">
        <v>9.2105263157894732E-2</v>
      </c>
    </row>
    <row r="8" spans="1:47" s="1" customFormat="1" ht="31.5" thickTop="1" x14ac:dyDescent="0.2">
      <c r="A8" s="11" t="s">
        <v>28</v>
      </c>
      <c r="B8" s="12" t="s">
        <v>21</v>
      </c>
      <c r="C8" s="12" t="s">
        <v>52</v>
      </c>
      <c r="D8" s="12" t="s">
        <v>30</v>
      </c>
      <c r="E8" s="12">
        <v>6282895</v>
      </c>
      <c r="F8" s="13">
        <v>8100</v>
      </c>
      <c r="G8" s="14">
        <v>45485</v>
      </c>
      <c r="H8" s="15" t="s">
        <v>31</v>
      </c>
      <c r="I8" s="16" t="s">
        <v>27</v>
      </c>
      <c r="J8" s="16">
        <v>6283863</v>
      </c>
      <c r="K8" s="17">
        <v>8150</v>
      </c>
      <c r="L8" s="18">
        <v>45486</v>
      </c>
      <c r="M8" s="19" t="s">
        <v>44</v>
      </c>
      <c r="N8" s="20" t="s">
        <v>18</v>
      </c>
      <c r="O8" s="20"/>
      <c r="P8" s="20">
        <v>26</v>
      </c>
      <c r="Q8" s="21">
        <v>45486</v>
      </c>
      <c r="R8" s="20">
        <v>310</v>
      </c>
      <c r="S8" s="22">
        <v>8120</v>
      </c>
      <c r="T8" s="23">
        <v>120</v>
      </c>
      <c r="V8" s="37">
        <f t="shared" si="0"/>
        <v>8050</v>
      </c>
      <c r="W8" s="46">
        <f t="shared" si="1"/>
        <v>-70</v>
      </c>
      <c r="X8" s="26">
        <f t="shared" si="2"/>
        <v>-100</v>
      </c>
      <c r="Y8" s="25">
        <f t="shared" si="3"/>
        <v>-50</v>
      </c>
      <c r="Z8" s="38">
        <f t="shared" si="4"/>
        <v>50</v>
      </c>
      <c r="AA8" s="39">
        <f t="shared" si="5"/>
        <v>-30</v>
      </c>
      <c r="AB8" s="58">
        <f t="shared" si="6"/>
        <v>20</v>
      </c>
      <c r="AC8" s="50"/>
      <c r="AD8" s="50"/>
      <c r="AE8" s="310" t="s">
        <v>206</v>
      </c>
      <c r="AF8" s="310"/>
      <c r="AG8" s="310"/>
      <c r="AH8" s="310"/>
      <c r="AI8" s="310"/>
      <c r="AJ8" s="1" t="s">
        <v>48</v>
      </c>
      <c r="AK8" s="1">
        <v>9</v>
      </c>
      <c r="AL8" s="191">
        <v>5.921052631578947E-2</v>
      </c>
    </row>
    <row r="9" spans="1:47" s="1" customFormat="1" ht="30.75" x14ac:dyDescent="0.2">
      <c r="A9" s="11" t="s">
        <v>5</v>
      </c>
      <c r="B9" s="12" t="s">
        <v>21</v>
      </c>
      <c r="C9" s="12" t="s">
        <v>61</v>
      </c>
      <c r="D9" s="12" t="s">
        <v>62</v>
      </c>
      <c r="E9" s="12">
        <v>6285496</v>
      </c>
      <c r="F9" s="13">
        <v>7780</v>
      </c>
      <c r="G9" s="14">
        <v>45490</v>
      </c>
      <c r="H9" s="15" t="s">
        <v>31</v>
      </c>
      <c r="I9" s="16" t="s">
        <v>63</v>
      </c>
      <c r="J9" s="16">
        <v>6285597</v>
      </c>
      <c r="K9" s="17">
        <v>7747</v>
      </c>
      <c r="L9" s="18">
        <v>45490</v>
      </c>
      <c r="M9" s="19" t="s">
        <v>35</v>
      </c>
      <c r="N9" s="20"/>
      <c r="O9" s="20"/>
      <c r="P9" s="20">
        <v>25</v>
      </c>
      <c r="Q9" s="21">
        <v>45490</v>
      </c>
      <c r="R9" s="20">
        <v>55</v>
      </c>
      <c r="S9" s="22">
        <v>7780</v>
      </c>
      <c r="T9" s="23">
        <v>40</v>
      </c>
      <c r="V9" s="37">
        <f t="shared" si="0"/>
        <v>7720</v>
      </c>
      <c r="W9" s="24">
        <f t="shared" si="1"/>
        <v>-60</v>
      </c>
      <c r="X9" s="27">
        <f t="shared" si="2"/>
        <v>-27</v>
      </c>
      <c r="Y9" s="200">
        <f t="shared" si="3"/>
        <v>-60</v>
      </c>
      <c r="Z9" s="38">
        <f t="shared" si="4"/>
        <v>-33</v>
      </c>
      <c r="AA9" s="39">
        <f t="shared" si="5"/>
        <v>33</v>
      </c>
      <c r="AB9" s="58">
        <f t="shared" si="6"/>
        <v>0</v>
      </c>
      <c r="AC9" s="50"/>
      <c r="AD9" s="50"/>
      <c r="AE9" s="311" t="s">
        <v>207</v>
      </c>
      <c r="AF9" s="311"/>
      <c r="AG9" s="311"/>
      <c r="AH9" s="311"/>
      <c r="AI9" s="311"/>
    </row>
    <row r="10" spans="1:47" s="1" customFormat="1" ht="30.75" x14ac:dyDescent="0.2">
      <c r="A10" s="11" t="s">
        <v>5</v>
      </c>
      <c r="B10" s="12" t="s">
        <v>19</v>
      </c>
      <c r="C10" s="12" t="s">
        <v>69</v>
      </c>
      <c r="D10" s="12" t="s">
        <v>65</v>
      </c>
      <c r="E10" s="12">
        <v>6285497</v>
      </c>
      <c r="F10" s="13">
        <v>7780</v>
      </c>
      <c r="G10" s="14">
        <v>45490</v>
      </c>
      <c r="H10" s="15" t="s">
        <v>31</v>
      </c>
      <c r="I10" s="16" t="s">
        <v>63</v>
      </c>
      <c r="J10" s="16">
        <v>6285679</v>
      </c>
      <c r="K10" s="17">
        <v>7795</v>
      </c>
      <c r="L10" s="18">
        <v>45490</v>
      </c>
      <c r="M10" s="19" t="s">
        <v>17</v>
      </c>
      <c r="N10" s="20"/>
      <c r="O10" s="20"/>
      <c r="P10" s="20">
        <v>25</v>
      </c>
      <c r="Q10" s="21">
        <v>45490</v>
      </c>
      <c r="R10" s="20">
        <v>55</v>
      </c>
      <c r="S10" s="22">
        <v>7790</v>
      </c>
      <c r="T10" s="23">
        <v>35</v>
      </c>
      <c r="V10" s="37">
        <f t="shared" si="0"/>
        <v>7715</v>
      </c>
      <c r="W10" s="46">
        <f t="shared" si="1"/>
        <v>-75</v>
      </c>
      <c r="X10" s="26">
        <f t="shared" si="2"/>
        <v>-80</v>
      </c>
      <c r="Y10" s="25">
        <f t="shared" si="3"/>
        <v>-65</v>
      </c>
      <c r="Z10" s="38">
        <f t="shared" si="4"/>
        <v>15</v>
      </c>
      <c r="AA10" s="39">
        <f t="shared" si="5"/>
        <v>-5</v>
      </c>
      <c r="AB10" s="58">
        <f t="shared" si="6"/>
        <v>10</v>
      </c>
    </row>
    <row r="11" spans="1:47" s="1" customFormat="1" ht="30.75" x14ac:dyDescent="0.2">
      <c r="A11" s="11" t="s">
        <v>5</v>
      </c>
      <c r="B11" s="12" t="s">
        <v>19</v>
      </c>
      <c r="C11" s="12" t="s">
        <v>105</v>
      </c>
      <c r="D11" s="12" t="s">
        <v>62</v>
      </c>
      <c r="E11" s="12">
        <v>6288851</v>
      </c>
      <c r="F11" s="13">
        <v>7780</v>
      </c>
      <c r="G11" s="14">
        <v>45493</v>
      </c>
      <c r="H11" s="15" t="s">
        <v>31</v>
      </c>
      <c r="I11" s="16" t="s">
        <v>32</v>
      </c>
      <c r="J11" s="16">
        <v>6289087</v>
      </c>
      <c r="K11" s="17">
        <v>7790</v>
      </c>
      <c r="L11" s="18">
        <v>45493</v>
      </c>
      <c r="M11" s="19" t="s">
        <v>17</v>
      </c>
      <c r="N11" s="20" t="s">
        <v>18</v>
      </c>
      <c r="O11" s="20"/>
      <c r="P11" s="20">
        <v>25</v>
      </c>
      <c r="Q11" s="21">
        <v>45493</v>
      </c>
      <c r="R11" s="20">
        <v>55</v>
      </c>
      <c r="S11" s="22">
        <v>7805</v>
      </c>
      <c r="T11" s="23">
        <v>25</v>
      </c>
      <c r="V11" s="37">
        <f t="shared" si="0"/>
        <v>7705</v>
      </c>
      <c r="W11" s="24">
        <f t="shared" si="1"/>
        <v>-100</v>
      </c>
      <c r="X11" s="45">
        <f t="shared" si="2"/>
        <v>-85</v>
      </c>
      <c r="Y11" s="25">
        <f t="shared" si="3"/>
        <v>-75</v>
      </c>
      <c r="Z11" s="38">
        <f t="shared" si="4"/>
        <v>10</v>
      </c>
      <c r="AA11" s="39">
        <f t="shared" si="5"/>
        <v>15</v>
      </c>
      <c r="AB11" s="58">
        <f t="shared" si="6"/>
        <v>25</v>
      </c>
    </row>
    <row r="12" spans="1:47" s="1" customFormat="1" ht="30.75" x14ac:dyDescent="0.2">
      <c r="A12" s="11" t="s">
        <v>5</v>
      </c>
      <c r="B12" s="12" t="s">
        <v>19</v>
      </c>
      <c r="C12" s="12" t="s">
        <v>107</v>
      </c>
      <c r="D12" s="12" t="s">
        <v>6</v>
      </c>
      <c r="E12" s="12">
        <v>6288793</v>
      </c>
      <c r="F12" s="13">
        <v>7750</v>
      </c>
      <c r="G12" s="14">
        <v>45493</v>
      </c>
      <c r="H12" s="15" t="s">
        <v>31</v>
      </c>
      <c r="I12" s="16" t="s">
        <v>32</v>
      </c>
      <c r="J12" s="16">
        <v>6289631</v>
      </c>
      <c r="K12" s="17">
        <v>7790</v>
      </c>
      <c r="L12" s="18">
        <v>45495</v>
      </c>
      <c r="M12" s="19" t="s">
        <v>17</v>
      </c>
      <c r="N12" s="20" t="s">
        <v>18</v>
      </c>
      <c r="O12" s="20"/>
      <c r="P12" s="20">
        <v>25</v>
      </c>
      <c r="Q12" s="21">
        <v>45495</v>
      </c>
      <c r="R12" s="20">
        <v>310</v>
      </c>
      <c r="S12" s="22">
        <v>7785</v>
      </c>
      <c r="T12" s="23">
        <v>155</v>
      </c>
      <c r="V12" s="37">
        <f t="shared" si="0"/>
        <v>7780</v>
      </c>
      <c r="W12" s="28">
        <f t="shared" si="1"/>
        <v>-5</v>
      </c>
      <c r="X12" s="45">
        <f t="shared" si="2"/>
        <v>-10</v>
      </c>
      <c r="Y12" s="199">
        <f t="shared" si="3"/>
        <v>30</v>
      </c>
      <c r="Z12" s="38">
        <f t="shared" si="4"/>
        <v>40</v>
      </c>
      <c r="AA12" s="39">
        <f t="shared" si="5"/>
        <v>-5</v>
      </c>
      <c r="AB12" s="58">
        <f t="shared" si="6"/>
        <v>35</v>
      </c>
    </row>
    <row r="13" spans="1:47" s="1" customFormat="1" ht="30.75" x14ac:dyDescent="0.2">
      <c r="A13" s="11" t="s">
        <v>5</v>
      </c>
      <c r="B13" s="12" t="s">
        <v>24</v>
      </c>
      <c r="C13" s="12" t="s">
        <v>108</v>
      </c>
      <c r="D13" s="12" t="s">
        <v>62</v>
      </c>
      <c r="E13" s="12">
        <v>6287806</v>
      </c>
      <c r="F13" s="13">
        <v>7720</v>
      </c>
      <c r="G13" s="14">
        <v>45492</v>
      </c>
      <c r="H13" s="15" t="s">
        <v>31</v>
      </c>
      <c r="I13" s="16" t="s">
        <v>66</v>
      </c>
      <c r="J13" s="16">
        <v>6289318</v>
      </c>
      <c r="K13" s="17">
        <v>7680</v>
      </c>
      <c r="L13" s="18">
        <v>45493</v>
      </c>
      <c r="M13" s="19" t="s">
        <v>17</v>
      </c>
      <c r="N13" s="20" t="s">
        <v>51</v>
      </c>
      <c r="O13" s="20"/>
      <c r="P13" s="20">
        <v>25</v>
      </c>
      <c r="Q13" s="21">
        <v>45493</v>
      </c>
      <c r="R13" s="20">
        <v>310</v>
      </c>
      <c r="S13" s="22">
        <v>7768</v>
      </c>
      <c r="T13" s="23">
        <v>110</v>
      </c>
      <c r="V13" s="37">
        <f t="shared" si="0"/>
        <v>7735</v>
      </c>
      <c r="W13" s="46">
        <f t="shared" si="1"/>
        <v>-33</v>
      </c>
      <c r="X13" s="26">
        <f t="shared" si="2"/>
        <v>55</v>
      </c>
      <c r="Y13" s="25">
        <f t="shared" si="3"/>
        <v>15</v>
      </c>
      <c r="Z13" s="38">
        <f t="shared" si="4"/>
        <v>-40</v>
      </c>
      <c r="AA13" s="39">
        <f t="shared" si="5"/>
        <v>88</v>
      </c>
      <c r="AB13" s="58">
        <f t="shared" si="6"/>
        <v>48</v>
      </c>
    </row>
    <row r="14" spans="1:47" s="1" customFormat="1" ht="30.75" x14ac:dyDescent="0.2">
      <c r="A14" s="11" t="s">
        <v>5</v>
      </c>
      <c r="B14" s="12" t="s">
        <v>24</v>
      </c>
      <c r="C14" s="12" t="s">
        <v>109</v>
      </c>
      <c r="D14" s="12" t="s">
        <v>62</v>
      </c>
      <c r="E14" s="12">
        <v>6287703</v>
      </c>
      <c r="F14" s="13">
        <v>7560</v>
      </c>
      <c r="G14" s="14">
        <v>45492</v>
      </c>
      <c r="H14" s="15" t="s">
        <v>31</v>
      </c>
      <c r="I14" s="16" t="s">
        <v>32</v>
      </c>
      <c r="J14" s="16">
        <v>6289046</v>
      </c>
      <c r="K14" s="17">
        <v>7610</v>
      </c>
      <c r="L14" s="18">
        <v>45493</v>
      </c>
      <c r="M14" s="19" t="s">
        <v>35</v>
      </c>
      <c r="N14" s="20" t="s">
        <v>101</v>
      </c>
      <c r="O14" s="20"/>
      <c r="P14" s="20">
        <v>24</v>
      </c>
      <c r="Q14" s="21">
        <v>45493</v>
      </c>
      <c r="R14" s="20">
        <v>310</v>
      </c>
      <c r="S14" s="22">
        <v>7505</v>
      </c>
      <c r="T14" s="23">
        <v>175</v>
      </c>
      <c r="V14" s="37">
        <f t="shared" si="0"/>
        <v>7495</v>
      </c>
      <c r="W14" s="28">
        <f t="shared" si="1"/>
        <v>-10</v>
      </c>
      <c r="X14" s="26">
        <f t="shared" si="2"/>
        <v>-115</v>
      </c>
      <c r="Y14" s="200">
        <f t="shared" si="3"/>
        <v>-65</v>
      </c>
      <c r="Z14" s="38">
        <f t="shared" si="4"/>
        <v>50</v>
      </c>
      <c r="AA14" s="39">
        <f t="shared" si="5"/>
        <v>-105</v>
      </c>
      <c r="AB14" s="58">
        <f t="shared" si="6"/>
        <v>-55</v>
      </c>
    </row>
    <row r="15" spans="1:47" s="1" customFormat="1" ht="30.75" x14ac:dyDescent="0.2">
      <c r="A15" s="11" t="s">
        <v>5</v>
      </c>
      <c r="B15" s="12" t="s">
        <v>24</v>
      </c>
      <c r="C15" s="12" t="s">
        <v>119</v>
      </c>
      <c r="D15" s="12" t="s">
        <v>6</v>
      </c>
      <c r="E15" s="12">
        <v>6288853</v>
      </c>
      <c r="F15" s="13">
        <v>7780</v>
      </c>
      <c r="G15" s="14">
        <v>45493</v>
      </c>
      <c r="H15" s="15" t="s">
        <v>31</v>
      </c>
      <c r="I15" s="16" t="s">
        <v>32</v>
      </c>
      <c r="J15" s="16">
        <v>6289151</v>
      </c>
      <c r="K15" s="17">
        <v>7810</v>
      </c>
      <c r="L15" s="18">
        <v>45493</v>
      </c>
      <c r="M15" s="19" t="s">
        <v>44</v>
      </c>
      <c r="N15" s="20" t="s">
        <v>79</v>
      </c>
      <c r="O15" s="20"/>
      <c r="P15" s="20">
        <v>25</v>
      </c>
      <c r="Q15" s="21">
        <v>45493</v>
      </c>
      <c r="R15" s="20">
        <v>55</v>
      </c>
      <c r="S15" s="22">
        <v>7768</v>
      </c>
      <c r="T15" s="23">
        <v>100</v>
      </c>
      <c r="V15" s="37">
        <f t="shared" si="0"/>
        <v>7780</v>
      </c>
      <c r="W15" s="46">
        <f t="shared" si="1"/>
        <v>12</v>
      </c>
      <c r="X15" s="26">
        <f t="shared" si="2"/>
        <v>-30</v>
      </c>
      <c r="Y15" s="25">
        <f t="shared" si="3"/>
        <v>0</v>
      </c>
      <c r="Z15" s="38">
        <f t="shared" si="4"/>
        <v>30</v>
      </c>
      <c r="AA15" s="39">
        <f t="shared" si="5"/>
        <v>-42</v>
      </c>
      <c r="AB15" s="58">
        <f t="shared" si="6"/>
        <v>-12</v>
      </c>
    </row>
    <row r="16" spans="1:47" s="1" customFormat="1" ht="30.75" x14ac:dyDescent="0.2">
      <c r="A16" s="11" t="s">
        <v>5</v>
      </c>
      <c r="B16" s="12" t="s">
        <v>19</v>
      </c>
      <c r="C16" s="12" t="s">
        <v>123</v>
      </c>
      <c r="D16" s="12" t="s">
        <v>62</v>
      </c>
      <c r="E16" s="12">
        <v>6288799</v>
      </c>
      <c r="F16" s="13">
        <v>7720</v>
      </c>
      <c r="G16" s="14">
        <v>45493</v>
      </c>
      <c r="H16" s="15" t="s">
        <v>31</v>
      </c>
      <c r="I16" s="16" t="s">
        <v>32</v>
      </c>
      <c r="J16" s="16">
        <v>6289674</v>
      </c>
      <c r="K16" s="17">
        <v>7740</v>
      </c>
      <c r="L16" s="18">
        <v>45495</v>
      </c>
      <c r="M16" s="19" t="s">
        <v>17</v>
      </c>
      <c r="N16" s="20" t="s">
        <v>79</v>
      </c>
      <c r="O16" s="20"/>
      <c r="P16" s="20">
        <v>25</v>
      </c>
      <c r="Q16" s="21">
        <v>45495</v>
      </c>
      <c r="R16" s="20">
        <v>310</v>
      </c>
      <c r="S16" s="22">
        <v>7752</v>
      </c>
      <c r="T16" s="23">
        <v>122</v>
      </c>
      <c r="V16" s="37">
        <f t="shared" si="0"/>
        <v>7747</v>
      </c>
      <c r="W16" s="28">
        <f t="shared" si="1"/>
        <v>-5</v>
      </c>
      <c r="X16" s="45">
        <f t="shared" si="2"/>
        <v>7</v>
      </c>
      <c r="Y16" s="199">
        <f t="shared" si="3"/>
        <v>27</v>
      </c>
      <c r="Z16" s="38">
        <f t="shared" si="4"/>
        <v>20</v>
      </c>
      <c r="AA16" s="39">
        <f t="shared" si="5"/>
        <v>12</v>
      </c>
      <c r="AB16" s="58">
        <f t="shared" si="6"/>
        <v>32</v>
      </c>
    </row>
    <row r="17" spans="1:29" s="1" customFormat="1" ht="30.75" x14ac:dyDescent="0.2">
      <c r="A17" s="11" t="s">
        <v>5</v>
      </c>
      <c r="B17" s="12" t="s">
        <v>19</v>
      </c>
      <c r="C17" s="12" t="s">
        <v>195</v>
      </c>
      <c r="D17" s="12" t="s">
        <v>62</v>
      </c>
      <c r="E17" s="12">
        <v>6286449</v>
      </c>
      <c r="F17" s="13">
        <v>7780</v>
      </c>
      <c r="G17" s="14">
        <v>45491</v>
      </c>
      <c r="H17" s="15" t="s">
        <v>31</v>
      </c>
      <c r="I17" s="16" t="s">
        <v>16</v>
      </c>
      <c r="J17" s="16">
        <v>6292032</v>
      </c>
      <c r="K17" s="17">
        <v>7760</v>
      </c>
      <c r="L17" s="18">
        <v>45497</v>
      </c>
      <c r="M17" s="19" t="s">
        <v>35</v>
      </c>
      <c r="N17" s="20" t="s">
        <v>79</v>
      </c>
      <c r="O17" s="20">
        <v>15</v>
      </c>
      <c r="P17" s="20"/>
      <c r="Q17" s="21">
        <v>45497</v>
      </c>
      <c r="R17" s="20">
        <v>500</v>
      </c>
      <c r="S17" s="22">
        <v>7707</v>
      </c>
      <c r="T17" s="23">
        <v>237</v>
      </c>
      <c r="V17" s="37">
        <f t="shared" si="0"/>
        <v>7737</v>
      </c>
      <c r="W17" s="46">
        <f t="shared" si="1"/>
        <v>30</v>
      </c>
      <c r="X17" s="27">
        <f t="shared" si="2"/>
        <v>-23</v>
      </c>
      <c r="Y17" s="199">
        <f t="shared" si="3"/>
        <v>-43</v>
      </c>
      <c r="Z17" s="38">
        <f t="shared" si="4"/>
        <v>-20</v>
      </c>
      <c r="AA17" s="39">
        <f t="shared" si="5"/>
        <v>-53</v>
      </c>
      <c r="AB17" s="58">
        <f t="shared" si="6"/>
        <v>-73</v>
      </c>
    </row>
    <row r="18" spans="1:29" s="1" customFormat="1" ht="30.75" x14ac:dyDescent="0.2">
      <c r="A18" s="11" t="s">
        <v>5</v>
      </c>
      <c r="B18" s="12" t="s">
        <v>24</v>
      </c>
      <c r="C18" s="12" t="s">
        <v>161</v>
      </c>
      <c r="D18" s="12" t="s">
        <v>127</v>
      </c>
      <c r="E18" s="12">
        <v>6291927</v>
      </c>
      <c r="F18" s="13">
        <v>7780</v>
      </c>
      <c r="G18" s="14">
        <v>45497</v>
      </c>
      <c r="H18" s="15" t="s">
        <v>31</v>
      </c>
      <c r="I18" s="16" t="s">
        <v>121</v>
      </c>
      <c r="J18" s="16">
        <v>6292207</v>
      </c>
      <c r="K18" s="17">
        <v>7770</v>
      </c>
      <c r="L18" s="18">
        <v>45496</v>
      </c>
      <c r="M18" s="19" t="s">
        <v>17</v>
      </c>
      <c r="N18" s="20" t="s">
        <v>79</v>
      </c>
      <c r="O18" s="20"/>
      <c r="P18" s="20">
        <v>25</v>
      </c>
      <c r="Q18" s="21">
        <v>45497</v>
      </c>
      <c r="R18" s="20">
        <v>110</v>
      </c>
      <c r="S18" s="22">
        <v>7760</v>
      </c>
      <c r="T18" s="23">
        <v>25</v>
      </c>
      <c r="V18" s="37">
        <f t="shared" si="0"/>
        <v>7760</v>
      </c>
      <c r="W18" s="28">
        <f t="shared" si="1"/>
        <v>0</v>
      </c>
      <c r="X18" s="45">
        <f t="shared" si="2"/>
        <v>-10</v>
      </c>
      <c r="Y18" s="199">
        <f t="shared" si="3"/>
        <v>-20</v>
      </c>
      <c r="Z18" s="38">
        <f t="shared" si="4"/>
        <v>-10</v>
      </c>
      <c r="AA18" s="39">
        <f t="shared" si="5"/>
        <v>-10</v>
      </c>
      <c r="AB18" s="58">
        <f t="shared" si="6"/>
        <v>-20</v>
      </c>
    </row>
    <row r="19" spans="1:29" s="1" customFormat="1" ht="30.75" x14ac:dyDescent="0.2">
      <c r="A19" s="11" t="s">
        <v>5</v>
      </c>
      <c r="B19" s="12" t="s">
        <v>24</v>
      </c>
      <c r="C19" s="12" t="s">
        <v>170</v>
      </c>
      <c r="D19" s="12" t="s">
        <v>127</v>
      </c>
      <c r="E19" s="12">
        <v>6292019</v>
      </c>
      <c r="F19" s="13">
        <v>7780</v>
      </c>
      <c r="G19" s="14">
        <v>45497</v>
      </c>
      <c r="H19" s="15" t="s">
        <v>31</v>
      </c>
      <c r="I19" s="16" t="s">
        <v>27</v>
      </c>
      <c r="J19" s="16">
        <v>6292772</v>
      </c>
      <c r="K19" s="17">
        <v>7800</v>
      </c>
      <c r="L19" s="18">
        <v>45497</v>
      </c>
      <c r="M19" s="19" t="s">
        <v>44</v>
      </c>
      <c r="N19" s="20" t="s">
        <v>74</v>
      </c>
      <c r="O19" s="20"/>
      <c r="P19" s="20">
        <v>25</v>
      </c>
      <c r="Q19" s="21">
        <v>45497</v>
      </c>
      <c r="R19" s="20">
        <v>110</v>
      </c>
      <c r="S19" s="22">
        <v>7735</v>
      </c>
      <c r="T19" s="23">
        <v>30</v>
      </c>
      <c r="V19" s="37">
        <f t="shared" si="0"/>
        <v>7765</v>
      </c>
      <c r="W19" s="46">
        <f t="shared" si="1"/>
        <v>30</v>
      </c>
      <c r="X19" s="26">
        <f t="shared" si="2"/>
        <v>-35</v>
      </c>
      <c r="Y19" s="25">
        <f t="shared" si="3"/>
        <v>-15</v>
      </c>
      <c r="Z19" s="38">
        <f t="shared" si="4"/>
        <v>20</v>
      </c>
      <c r="AA19" s="39">
        <f t="shared" si="5"/>
        <v>-65</v>
      </c>
      <c r="AB19" s="58">
        <f t="shared" si="6"/>
        <v>-45</v>
      </c>
    </row>
    <row r="20" spans="1:29" s="1" customFormat="1" ht="30.75" x14ac:dyDescent="0.2">
      <c r="A20" s="11" t="s">
        <v>28</v>
      </c>
      <c r="B20" s="12" t="s">
        <v>19</v>
      </c>
      <c r="C20" s="12" t="s">
        <v>171</v>
      </c>
      <c r="D20" s="12" t="s">
        <v>46</v>
      </c>
      <c r="E20" s="12">
        <v>6292292</v>
      </c>
      <c r="F20" s="13">
        <v>8130</v>
      </c>
      <c r="G20" s="14">
        <v>45497</v>
      </c>
      <c r="H20" s="15" t="s">
        <v>31</v>
      </c>
      <c r="I20" s="16" t="s">
        <v>27</v>
      </c>
      <c r="J20" s="16">
        <v>6292653</v>
      </c>
      <c r="K20" s="17">
        <v>8130</v>
      </c>
      <c r="L20" s="18">
        <v>45497</v>
      </c>
      <c r="M20" s="19" t="s">
        <v>44</v>
      </c>
      <c r="N20" s="20" t="s">
        <v>25</v>
      </c>
      <c r="O20" s="20"/>
      <c r="P20" s="20">
        <v>26</v>
      </c>
      <c r="Q20" s="21">
        <v>45497</v>
      </c>
      <c r="R20" s="20">
        <v>110</v>
      </c>
      <c r="S20" s="22">
        <v>8070</v>
      </c>
      <c r="T20" s="23">
        <v>30</v>
      </c>
      <c r="V20" s="37">
        <f t="shared" si="0"/>
        <v>8070</v>
      </c>
      <c r="W20" s="28">
        <f t="shared" si="1"/>
        <v>0</v>
      </c>
      <c r="X20" s="26">
        <f t="shared" si="2"/>
        <v>-60</v>
      </c>
      <c r="Y20" s="200">
        <f t="shared" si="3"/>
        <v>-60</v>
      </c>
      <c r="Z20" s="38">
        <f t="shared" si="4"/>
        <v>0</v>
      </c>
      <c r="AA20" s="39">
        <f t="shared" si="5"/>
        <v>-60</v>
      </c>
      <c r="AB20" s="58">
        <f t="shared" si="6"/>
        <v>-60</v>
      </c>
    </row>
    <row r="21" spans="1:29" s="1" customFormat="1" ht="30.75" x14ac:dyDescent="0.2">
      <c r="A21" s="11" t="s">
        <v>28</v>
      </c>
      <c r="B21" s="12" t="s">
        <v>19</v>
      </c>
      <c r="C21" s="12" t="s">
        <v>172</v>
      </c>
      <c r="D21" s="12" t="s">
        <v>127</v>
      </c>
      <c r="E21" s="12">
        <v>6292017</v>
      </c>
      <c r="F21" s="13">
        <v>7780</v>
      </c>
      <c r="G21" s="14">
        <v>45497</v>
      </c>
      <c r="H21" s="15" t="s">
        <v>31</v>
      </c>
      <c r="I21" s="16" t="s">
        <v>27</v>
      </c>
      <c r="J21" s="16">
        <v>6292726</v>
      </c>
      <c r="K21" s="17">
        <v>7800</v>
      </c>
      <c r="L21" s="18">
        <v>45497</v>
      </c>
      <c r="M21" s="19" t="s">
        <v>44</v>
      </c>
      <c r="N21" s="20" t="s">
        <v>25</v>
      </c>
      <c r="O21" s="20"/>
      <c r="P21" s="20">
        <v>25</v>
      </c>
      <c r="Q21" s="21">
        <v>45497</v>
      </c>
      <c r="R21" s="20">
        <v>110</v>
      </c>
      <c r="S21" s="22">
        <v>7765</v>
      </c>
      <c r="T21" s="23">
        <v>30</v>
      </c>
      <c r="V21" s="37">
        <f t="shared" si="0"/>
        <v>7765</v>
      </c>
      <c r="W21" s="28">
        <f t="shared" si="1"/>
        <v>0</v>
      </c>
      <c r="X21" s="26">
        <f t="shared" si="2"/>
        <v>-35</v>
      </c>
      <c r="Y21" s="200">
        <f t="shared" si="3"/>
        <v>-15</v>
      </c>
      <c r="Z21" s="38">
        <f t="shared" si="4"/>
        <v>20</v>
      </c>
      <c r="AA21" s="39">
        <f t="shared" si="5"/>
        <v>-35</v>
      </c>
      <c r="AB21" s="58">
        <f t="shared" si="6"/>
        <v>-15</v>
      </c>
    </row>
    <row r="22" spans="1:29" s="1" customFormat="1" ht="30.75" x14ac:dyDescent="0.2">
      <c r="A22" s="11" t="s">
        <v>28</v>
      </c>
      <c r="B22" s="12" t="s">
        <v>19</v>
      </c>
      <c r="C22" s="12" t="s">
        <v>174</v>
      </c>
      <c r="D22" s="12" t="s">
        <v>127</v>
      </c>
      <c r="E22" s="12">
        <v>6292158</v>
      </c>
      <c r="F22" s="13">
        <v>8465</v>
      </c>
      <c r="G22" s="14">
        <v>45497</v>
      </c>
      <c r="H22" s="15" t="s">
        <v>31</v>
      </c>
      <c r="I22" s="16" t="s">
        <v>16</v>
      </c>
      <c r="J22" s="16">
        <v>6293062</v>
      </c>
      <c r="K22" s="17">
        <v>8500</v>
      </c>
      <c r="L22" s="18">
        <v>45498</v>
      </c>
      <c r="M22" s="19" t="s">
        <v>17</v>
      </c>
      <c r="N22" s="20" t="s">
        <v>79</v>
      </c>
      <c r="O22" s="20"/>
      <c r="P22" s="20">
        <v>27</v>
      </c>
      <c r="Q22" s="21">
        <v>45498</v>
      </c>
      <c r="R22" s="20">
        <v>310</v>
      </c>
      <c r="S22" s="22">
        <v>8508</v>
      </c>
      <c r="T22" s="23">
        <v>265</v>
      </c>
      <c r="V22" s="37">
        <f t="shared" si="0"/>
        <v>8500</v>
      </c>
      <c r="W22" s="46">
        <f t="shared" si="1"/>
        <v>-8</v>
      </c>
      <c r="X22" s="27">
        <f t="shared" si="2"/>
        <v>0</v>
      </c>
      <c r="Y22" s="199">
        <f t="shared" si="3"/>
        <v>35</v>
      </c>
      <c r="Z22" s="38">
        <f t="shared" si="4"/>
        <v>35</v>
      </c>
      <c r="AA22" s="39">
        <f t="shared" si="5"/>
        <v>8</v>
      </c>
      <c r="AB22" s="58">
        <f t="shared" si="6"/>
        <v>43</v>
      </c>
    </row>
    <row r="23" spans="1:29" s="1" customFormat="1" ht="30.75" x14ac:dyDescent="0.2">
      <c r="A23" s="11" t="s">
        <v>5</v>
      </c>
      <c r="B23" s="12" t="s">
        <v>19</v>
      </c>
      <c r="C23" s="12" t="s">
        <v>175</v>
      </c>
      <c r="D23" s="12" t="s">
        <v>127</v>
      </c>
      <c r="E23" s="12">
        <v>6291957</v>
      </c>
      <c r="F23" s="13">
        <v>7780</v>
      </c>
      <c r="G23" s="14">
        <v>45497</v>
      </c>
      <c r="H23" s="15" t="s">
        <v>31</v>
      </c>
      <c r="I23" s="16" t="s">
        <v>63</v>
      </c>
      <c r="J23" s="16">
        <v>6292746</v>
      </c>
      <c r="K23" s="17">
        <v>7788</v>
      </c>
      <c r="L23" s="18">
        <v>45497</v>
      </c>
      <c r="M23" s="19" t="s">
        <v>35</v>
      </c>
      <c r="N23" s="20" t="s">
        <v>36</v>
      </c>
      <c r="O23" s="20">
        <v>15</v>
      </c>
      <c r="P23" s="20"/>
      <c r="Q23" s="21">
        <v>45497</v>
      </c>
      <c r="R23" s="20">
        <v>500</v>
      </c>
      <c r="S23" s="22">
        <v>7780</v>
      </c>
      <c r="T23" s="23">
        <v>180</v>
      </c>
      <c r="V23" s="37">
        <f t="shared" si="0"/>
        <v>7680</v>
      </c>
      <c r="W23" s="28">
        <f t="shared" si="1"/>
        <v>-100</v>
      </c>
      <c r="X23" s="26">
        <f t="shared" si="2"/>
        <v>-108</v>
      </c>
      <c r="Y23" s="200">
        <f t="shared" si="3"/>
        <v>-100</v>
      </c>
      <c r="Z23" s="38">
        <f t="shared" si="4"/>
        <v>8</v>
      </c>
      <c r="AA23" s="39">
        <f t="shared" si="5"/>
        <v>-8</v>
      </c>
      <c r="AB23" s="58">
        <f t="shared" si="6"/>
        <v>0</v>
      </c>
    </row>
    <row r="24" spans="1:29" s="1" customFormat="1" ht="30.75" x14ac:dyDescent="0.2">
      <c r="A24" s="11" t="s">
        <v>28</v>
      </c>
      <c r="B24" s="12" t="s">
        <v>24</v>
      </c>
      <c r="C24" s="12" t="s">
        <v>178</v>
      </c>
      <c r="D24" s="12" t="s">
        <v>127</v>
      </c>
      <c r="E24" s="12">
        <v>6292116</v>
      </c>
      <c r="F24" s="13">
        <v>8500</v>
      </c>
      <c r="G24" s="14">
        <v>45497</v>
      </c>
      <c r="H24" s="15" t="s">
        <v>31</v>
      </c>
      <c r="I24" s="16" t="s">
        <v>121</v>
      </c>
      <c r="J24" s="16">
        <v>6293927</v>
      </c>
      <c r="K24" s="17">
        <v>8540</v>
      </c>
      <c r="L24" s="18">
        <v>45498</v>
      </c>
      <c r="M24" s="19" t="s">
        <v>17</v>
      </c>
      <c r="N24" s="20" t="s">
        <v>79</v>
      </c>
      <c r="O24" s="20"/>
      <c r="P24" s="20">
        <v>28</v>
      </c>
      <c r="Q24" s="21">
        <v>45498</v>
      </c>
      <c r="R24" s="20">
        <v>310</v>
      </c>
      <c r="S24" s="22">
        <v>8541</v>
      </c>
      <c r="T24" s="23">
        <v>1</v>
      </c>
      <c r="V24" s="37">
        <f t="shared" si="0"/>
        <v>8541</v>
      </c>
      <c r="W24" s="28">
        <f t="shared" si="1"/>
        <v>0</v>
      </c>
      <c r="X24" s="45">
        <f t="shared" si="2"/>
        <v>1</v>
      </c>
      <c r="Y24" s="199">
        <f t="shared" si="3"/>
        <v>41</v>
      </c>
      <c r="Z24" s="38">
        <f t="shared" si="4"/>
        <v>40</v>
      </c>
      <c r="AA24" s="39">
        <f t="shared" si="5"/>
        <v>1</v>
      </c>
      <c r="AB24" s="58">
        <f t="shared" si="6"/>
        <v>41</v>
      </c>
    </row>
    <row r="25" spans="1:29" s="1" customFormat="1" ht="30.75" x14ac:dyDescent="0.2">
      <c r="A25" s="11" t="s">
        <v>5</v>
      </c>
      <c r="B25" s="12" t="s">
        <v>24</v>
      </c>
      <c r="C25" s="12" t="s">
        <v>242</v>
      </c>
      <c r="D25" s="12" t="s">
        <v>62</v>
      </c>
      <c r="E25" s="12">
        <v>6310772</v>
      </c>
      <c r="F25" s="13">
        <v>7780</v>
      </c>
      <c r="G25" s="14">
        <v>45512</v>
      </c>
      <c r="H25" s="15" t="s">
        <v>31</v>
      </c>
      <c r="I25" s="16" t="s">
        <v>27</v>
      </c>
      <c r="J25" s="16">
        <v>6311047</v>
      </c>
      <c r="K25" s="17">
        <v>7800</v>
      </c>
      <c r="L25" s="18">
        <v>45512</v>
      </c>
      <c r="M25" s="19" t="s">
        <v>17</v>
      </c>
      <c r="N25" s="20" t="s">
        <v>115</v>
      </c>
      <c r="O25" s="20">
        <v>15</v>
      </c>
      <c r="P25" s="20"/>
      <c r="Q25" s="21">
        <v>45512</v>
      </c>
      <c r="R25" s="20">
        <v>500</v>
      </c>
      <c r="S25" s="22">
        <v>7610</v>
      </c>
      <c r="T25" s="23">
        <v>200</v>
      </c>
      <c r="V25" s="37">
        <f t="shared" si="0"/>
        <v>7700</v>
      </c>
      <c r="W25" s="46">
        <f t="shared" si="1"/>
        <v>90</v>
      </c>
      <c r="X25" s="26">
        <f t="shared" si="2"/>
        <v>-100</v>
      </c>
      <c r="Y25" s="203">
        <f t="shared" si="3"/>
        <v>-80</v>
      </c>
      <c r="Z25" s="38">
        <f t="shared" si="4"/>
        <v>20</v>
      </c>
      <c r="AA25" s="39">
        <f t="shared" si="5"/>
        <v>-190</v>
      </c>
      <c r="AB25" s="39">
        <f t="shared" si="6"/>
        <v>-170</v>
      </c>
    </row>
    <row r="26" spans="1:29" s="1" customFormat="1" ht="30.75" x14ac:dyDescent="0.2">
      <c r="A26" s="11"/>
      <c r="B26" s="12" t="s">
        <v>20</v>
      </c>
      <c r="C26" s="12" t="s">
        <v>243</v>
      </c>
      <c r="D26" s="12" t="s">
        <v>218</v>
      </c>
      <c r="E26" s="12">
        <v>6308601</v>
      </c>
      <c r="F26" s="13">
        <v>7780</v>
      </c>
      <c r="G26" s="14">
        <v>45510</v>
      </c>
      <c r="H26" s="15" t="s">
        <v>31</v>
      </c>
      <c r="I26" s="16" t="s">
        <v>43</v>
      </c>
      <c r="J26" s="16">
        <v>6310606</v>
      </c>
      <c r="K26" s="17">
        <v>7780</v>
      </c>
      <c r="L26" s="18">
        <v>45511</v>
      </c>
      <c r="M26" s="19" t="s">
        <v>39</v>
      </c>
      <c r="N26" s="20" t="s">
        <v>18</v>
      </c>
      <c r="O26" s="20">
        <v>15</v>
      </c>
      <c r="P26" s="20"/>
      <c r="Q26" s="21">
        <v>45512</v>
      </c>
      <c r="R26" s="20">
        <v>190</v>
      </c>
      <c r="S26" s="22">
        <v>7698</v>
      </c>
      <c r="T26" s="23">
        <v>190</v>
      </c>
      <c r="V26" s="37">
        <f t="shared" si="0"/>
        <v>7690</v>
      </c>
      <c r="W26" s="28">
        <f t="shared" si="1"/>
        <v>-8</v>
      </c>
      <c r="X26" s="26">
        <f t="shared" si="2"/>
        <v>-90</v>
      </c>
      <c r="Y26" s="47">
        <f t="shared" si="3"/>
        <v>-90</v>
      </c>
      <c r="Z26" s="38">
        <f t="shared" si="4"/>
        <v>0</v>
      </c>
      <c r="AA26" s="39">
        <f t="shared" si="5"/>
        <v>-82</v>
      </c>
      <c r="AB26" s="39">
        <f t="shared" si="6"/>
        <v>-82</v>
      </c>
    </row>
    <row r="27" spans="1:29" s="1" customFormat="1" ht="30.75" x14ac:dyDescent="0.2">
      <c r="A27" s="11" t="s">
        <v>5</v>
      </c>
      <c r="B27" s="12" t="s">
        <v>24</v>
      </c>
      <c r="C27" s="12" t="s">
        <v>245</v>
      </c>
      <c r="D27" s="12" t="s">
        <v>15</v>
      </c>
      <c r="E27" s="12">
        <v>6310436</v>
      </c>
      <c r="F27" s="13">
        <v>7790</v>
      </c>
      <c r="G27" s="14">
        <v>45511</v>
      </c>
      <c r="H27" s="15" t="s">
        <v>31</v>
      </c>
      <c r="I27" s="16" t="s">
        <v>27</v>
      </c>
      <c r="J27" s="16">
        <v>6310724</v>
      </c>
      <c r="K27" s="17">
        <v>7820</v>
      </c>
      <c r="L27" s="18">
        <v>45512</v>
      </c>
      <c r="M27" s="19" t="s">
        <v>17</v>
      </c>
      <c r="N27" s="20" t="s">
        <v>238</v>
      </c>
      <c r="O27" s="20">
        <v>15</v>
      </c>
      <c r="P27" s="20"/>
      <c r="Q27" s="21">
        <v>45512</v>
      </c>
      <c r="R27" s="20">
        <v>110</v>
      </c>
      <c r="S27" s="22">
        <v>7831</v>
      </c>
      <c r="T27" s="23">
        <v>220</v>
      </c>
      <c r="V27" s="37">
        <f t="shared" si="0"/>
        <v>7830</v>
      </c>
      <c r="W27" s="28">
        <f t="shared" si="1"/>
        <v>-1</v>
      </c>
      <c r="X27" s="45">
        <f t="shared" si="2"/>
        <v>10</v>
      </c>
      <c r="Y27" s="204">
        <f t="shared" si="3"/>
        <v>40</v>
      </c>
      <c r="Z27" s="38">
        <f t="shared" si="4"/>
        <v>30</v>
      </c>
      <c r="AA27" s="39">
        <f t="shared" si="5"/>
        <v>11</v>
      </c>
      <c r="AB27" s="39">
        <f t="shared" si="6"/>
        <v>41</v>
      </c>
    </row>
    <row r="28" spans="1:29" s="1" customFormat="1" ht="30.75" x14ac:dyDescent="0.2">
      <c r="A28" s="11" t="s">
        <v>5</v>
      </c>
      <c r="B28" s="12" t="s">
        <v>21</v>
      </c>
      <c r="C28" s="12" t="s">
        <v>246</v>
      </c>
      <c r="D28" s="12" t="s">
        <v>218</v>
      </c>
      <c r="E28" s="12">
        <v>6309688</v>
      </c>
      <c r="F28" s="13">
        <v>8030</v>
      </c>
      <c r="G28" s="14">
        <v>45511</v>
      </c>
      <c r="H28" s="15" t="s">
        <v>31</v>
      </c>
      <c r="I28" s="16" t="s">
        <v>101</v>
      </c>
      <c r="J28" s="16">
        <v>6310500</v>
      </c>
      <c r="K28" s="17">
        <v>7930</v>
      </c>
      <c r="L28" s="18">
        <v>45511</v>
      </c>
      <c r="M28" s="19" t="s">
        <v>39</v>
      </c>
      <c r="N28" s="20" t="s">
        <v>247</v>
      </c>
      <c r="O28" s="20">
        <v>15</v>
      </c>
      <c r="P28" s="20"/>
      <c r="Q28" s="21">
        <v>45512</v>
      </c>
      <c r="R28" s="20">
        <v>500</v>
      </c>
      <c r="S28" s="22">
        <v>7910</v>
      </c>
      <c r="T28" s="23">
        <v>390</v>
      </c>
      <c r="V28" s="37">
        <f t="shared" si="0"/>
        <v>7890</v>
      </c>
      <c r="W28" s="28">
        <f t="shared" si="1"/>
        <v>-20</v>
      </c>
      <c r="X28" s="45">
        <f t="shared" si="2"/>
        <v>-40</v>
      </c>
      <c r="Y28" s="204">
        <f t="shared" si="3"/>
        <v>-140</v>
      </c>
      <c r="Z28" s="38">
        <f t="shared" si="4"/>
        <v>-100</v>
      </c>
      <c r="AA28" s="39">
        <f t="shared" si="5"/>
        <v>-20</v>
      </c>
      <c r="AB28" s="39">
        <f t="shared" si="6"/>
        <v>-120</v>
      </c>
    </row>
    <row r="29" spans="1:29" s="1" customFormat="1" ht="30.75" x14ac:dyDescent="0.2">
      <c r="A29" s="11" t="s">
        <v>5</v>
      </c>
      <c r="B29" s="12" t="s">
        <v>21</v>
      </c>
      <c r="C29" s="12" t="s">
        <v>248</v>
      </c>
      <c r="D29" s="12" t="s">
        <v>62</v>
      </c>
      <c r="E29" s="12">
        <v>6310764</v>
      </c>
      <c r="F29" s="13">
        <v>7660</v>
      </c>
      <c r="G29" s="14">
        <v>45512</v>
      </c>
      <c r="H29" s="15" t="s">
        <v>31</v>
      </c>
      <c r="I29" s="16" t="s">
        <v>27</v>
      </c>
      <c r="J29" s="16">
        <v>6310934</v>
      </c>
      <c r="K29" s="17">
        <v>7560</v>
      </c>
      <c r="L29" s="18">
        <v>45512</v>
      </c>
      <c r="M29" s="19" t="s">
        <v>44</v>
      </c>
      <c r="N29" s="20" t="s">
        <v>115</v>
      </c>
      <c r="O29" s="20">
        <v>14</v>
      </c>
      <c r="P29" s="20"/>
      <c r="Q29" s="21">
        <v>45512</v>
      </c>
      <c r="R29" s="20">
        <v>110</v>
      </c>
      <c r="S29" s="22">
        <v>7560</v>
      </c>
      <c r="T29" s="23">
        <v>450</v>
      </c>
      <c r="V29" s="37">
        <f t="shared" si="0"/>
        <v>7560</v>
      </c>
      <c r="W29" s="28">
        <f t="shared" si="1"/>
        <v>0</v>
      </c>
      <c r="X29" s="45">
        <f t="shared" si="2"/>
        <v>0</v>
      </c>
      <c r="Y29" s="204">
        <f t="shared" si="3"/>
        <v>-100</v>
      </c>
      <c r="Z29" s="38">
        <f t="shared" si="4"/>
        <v>-100</v>
      </c>
      <c r="AA29" s="39">
        <f t="shared" si="5"/>
        <v>0</v>
      </c>
      <c r="AB29" s="39">
        <f t="shared" si="6"/>
        <v>-100</v>
      </c>
    </row>
    <row r="30" spans="1:29" s="1" customFormat="1" ht="30.75" x14ac:dyDescent="0.2">
      <c r="A30" s="11" t="s">
        <v>5</v>
      </c>
      <c r="B30" s="12" t="s">
        <v>19</v>
      </c>
      <c r="C30" s="12" t="s">
        <v>259</v>
      </c>
      <c r="D30" s="12" t="s">
        <v>62</v>
      </c>
      <c r="E30" s="12">
        <v>6310945</v>
      </c>
      <c r="F30" s="13">
        <v>7780</v>
      </c>
      <c r="G30" s="14">
        <v>45512</v>
      </c>
      <c r="H30" s="15" t="s">
        <v>31</v>
      </c>
      <c r="I30" s="16" t="s">
        <v>43</v>
      </c>
      <c r="J30" s="16">
        <v>6311314</v>
      </c>
      <c r="K30" s="17">
        <v>7790</v>
      </c>
      <c r="L30" s="18">
        <v>45512</v>
      </c>
      <c r="M30" s="19" t="s">
        <v>39</v>
      </c>
      <c r="N30" s="20" t="s">
        <v>51</v>
      </c>
      <c r="O30" s="20">
        <v>15</v>
      </c>
      <c r="P30" s="20"/>
      <c r="Q30" s="21">
        <v>45512</v>
      </c>
      <c r="R30" s="20">
        <v>110</v>
      </c>
      <c r="S30" s="22">
        <v>7760</v>
      </c>
      <c r="T30" s="23">
        <v>115</v>
      </c>
      <c r="V30" s="37">
        <f t="shared" si="0"/>
        <v>7725</v>
      </c>
      <c r="W30" s="28">
        <f t="shared" si="1"/>
        <v>-35</v>
      </c>
      <c r="X30" s="26">
        <f t="shared" si="2"/>
        <v>-65</v>
      </c>
      <c r="Y30" s="47">
        <f t="shared" si="3"/>
        <v>-55</v>
      </c>
      <c r="Z30" s="38">
        <f t="shared" si="4"/>
        <v>10</v>
      </c>
      <c r="AA30" s="39">
        <f t="shared" si="5"/>
        <v>-30</v>
      </c>
      <c r="AB30" s="39">
        <f t="shared" si="6"/>
        <v>-20</v>
      </c>
      <c r="AC30" s="209"/>
    </row>
    <row r="31" spans="1:29" s="1" customFormat="1" ht="30.75" x14ac:dyDescent="0.2">
      <c r="A31" s="11" t="s">
        <v>5</v>
      </c>
      <c r="B31" s="12" t="s">
        <v>21</v>
      </c>
      <c r="C31" s="12" t="s">
        <v>262</v>
      </c>
      <c r="D31" s="12" t="s">
        <v>62</v>
      </c>
      <c r="E31" s="12">
        <v>6310941</v>
      </c>
      <c r="F31" s="13">
        <v>7660</v>
      </c>
      <c r="G31" s="14">
        <v>45512</v>
      </c>
      <c r="H31" s="15" t="s">
        <v>31</v>
      </c>
      <c r="I31" s="16" t="s">
        <v>43</v>
      </c>
      <c r="J31" s="16">
        <v>6311470</v>
      </c>
      <c r="K31" s="17">
        <v>7560</v>
      </c>
      <c r="L31" s="18">
        <v>45512</v>
      </c>
      <c r="M31" s="19" t="s">
        <v>17</v>
      </c>
      <c r="N31" s="20" t="s">
        <v>51</v>
      </c>
      <c r="O31" s="20">
        <v>15</v>
      </c>
      <c r="P31" s="20"/>
      <c r="Q31" s="21">
        <v>45512</v>
      </c>
      <c r="R31" s="20">
        <v>500</v>
      </c>
      <c r="S31" s="22">
        <v>7555</v>
      </c>
      <c r="T31" s="23">
        <v>30</v>
      </c>
      <c r="V31" s="37">
        <f t="shared" si="0"/>
        <v>7530</v>
      </c>
      <c r="W31" s="28">
        <f t="shared" si="1"/>
        <v>-25</v>
      </c>
      <c r="X31" s="45">
        <f t="shared" si="2"/>
        <v>-30</v>
      </c>
      <c r="Y31" s="204">
        <f t="shared" si="3"/>
        <v>-130</v>
      </c>
      <c r="Z31" s="38">
        <f t="shared" si="4"/>
        <v>-100</v>
      </c>
      <c r="AA31" s="39">
        <f t="shared" si="5"/>
        <v>-5</v>
      </c>
      <c r="AB31" s="39">
        <f t="shared" si="6"/>
        <v>-105</v>
      </c>
      <c r="AC31" s="209"/>
    </row>
    <row r="37" spans="1:47" s="1" customFormat="1" ht="80.099999999999994" customHeight="1" x14ac:dyDescent="0.2">
      <c r="A37" s="144" t="s">
        <v>86</v>
      </c>
      <c r="B37" s="145" t="s">
        <v>136</v>
      </c>
      <c r="C37" s="145" t="s">
        <v>87</v>
      </c>
      <c r="D37" s="145" t="s">
        <v>88</v>
      </c>
      <c r="E37" s="145" t="s">
        <v>89</v>
      </c>
      <c r="F37" s="145" t="s">
        <v>90</v>
      </c>
      <c r="G37" s="146" t="s">
        <v>3</v>
      </c>
      <c r="H37" s="147" t="s">
        <v>9</v>
      </c>
      <c r="I37" s="148" t="s">
        <v>10</v>
      </c>
      <c r="J37" s="148" t="s">
        <v>1</v>
      </c>
      <c r="K37" s="148" t="s">
        <v>2</v>
      </c>
      <c r="L37" s="149" t="s">
        <v>3</v>
      </c>
      <c r="M37" s="7" t="s">
        <v>9</v>
      </c>
      <c r="N37" s="8" t="s">
        <v>10</v>
      </c>
      <c r="O37" s="9" t="s">
        <v>11</v>
      </c>
      <c r="P37" s="9" t="s">
        <v>12</v>
      </c>
      <c r="Q37" s="8" t="s">
        <v>3</v>
      </c>
      <c r="R37" s="9" t="s">
        <v>100</v>
      </c>
      <c r="S37" s="9" t="s">
        <v>95</v>
      </c>
      <c r="T37" s="10" t="s">
        <v>13</v>
      </c>
      <c r="V37" s="40" t="s">
        <v>60</v>
      </c>
      <c r="W37" s="143" t="s">
        <v>91</v>
      </c>
      <c r="X37" s="52" t="s">
        <v>92</v>
      </c>
      <c r="Y37" s="53" t="s">
        <v>93</v>
      </c>
      <c r="Z37" s="150" t="s">
        <v>94</v>
      </c>
      <c r="AA37" s="151" t="s">
        <v>117</v>
      </c>
      <c r="AB37" s="152" t="s">
        <v>118</v>
      </c>
      <c r="AC37" s="209"/>
      <c r="AD37" s="208"/>
      <c r="AE37" s="284"/>
      <c r="AF37" s="284"/>
      <c r="AG37" s="284"/>
      <c r="AH37" s="284"/>
      <c r="AI37" s="208"/>
      <c r="AJ37" s="209"/>
      <c r="AK37" s="209"/>
      <c r="AL37" s="209"/>
      <c r="AM37" s="209"/>
      <c r="AN37" s="209"/>
      <c r="AO37" s="209"/>
      <c r="AP37" s="209"/>
      <c r="AQ37" s="209"/>
      <c r="AR37" s="209"/>
      <c r="AS37" s="209"/>
      <c r="AT37" s="209"/>
      <c r="AU37" s="209"/>
    </row>
    <row r="38" spans="1:47" s="1" customFormat="1" ht="30.75" x14ac:dyDescent="0.2">
      <c r="A38" s="11" t="s">
        <v>5</v>
      </c>
      <c r="B38" s="12" t="s">
        <v>19</v>
      </c>
      <c r="C38" s="12" t="s">
        <v>50</v>
      </c>
      <c r="D38" s="12" t="s">
        <v>15</v>
      </c>
      <c r="E38" s="12">
        <v>6279823</v>
      </c>
      <c r="F38" s="13">
        <v>7780</v>
      </c>
      <c r="G38" s="14">
        <v>45483</v>
      </c>
      <c r="H38" s="15" t="s">
        <v>7</v>
      </c>
      <c r="I38" s="16" t="s">
        <v>27</v>
      </c>
      <c r="J38" s="16">
        <v>6284498</v>
      </c>
      <c r="K38" s="17">
        <v>7760</v>
      </c>
      <c r="L38" s="18">
        <v>45489</v>
      </c>
      <c r="M38" s="19" t="s">
        <v>17</v>
      </c>
      <c r="N38" s="20" t="s">
        <v>25</v>
      </c>
      <c r="O38" s="20"/>
      <c r="P38" s="20">
        <v>25</v>
      </c>
      <c r="Q38" s="21">
        <v>45489</v>
      </c>
      <c r="R38" s="20">
        <v>310</v>
      </c>
      <c r="S38" s="22">
        <v>7765</v>
      </c>
      <c r="T38" s="23">
        <v>150</v>
      </c>
      <c r="V38" s="37">
        <f t="shared" ref="V38:V101" si="7">IF(RIGHT(C38, 1)="1",
    IF(O38&lt;&gt;"", 500*O38 + T38 + IF(R38&lt;=110, R38, 0), IF(P38&lt;&gt;"", 305*P38 + T38 + IF(R38&lt;=110, R38, 0), "")),
    IF(O38&lt;&gt;"", 500*O38 + T38, IF(P38&lt;&gt;"", 305*P38 + T38, ""))
)</f>
        <v>7775</v>
      </c>
      <c r="W38" s="46">
        <f t="shared" ref="W38:W101" si="8">IF(OR(ISBLANK(V38), ISBLANK(S38), NOT(ISNUMBER(V38)), NOT(ISNUMBER(S38))), "", V38-S38)</f>
        <v>10</v>
      </c>
      <c r="X38" s="26">
        <f t="shared" ref="X38:X101" si="9">IF(OR(ISBLANK(V38), ISBLANK(K38), NOT(ISNUMBER(V38)), NOT(ISNUMBER(K38))), "", V38-K38)</f>
        <v>15</v>
      </c>
      <c r="Y38" s="25">
        <f t="shared" ref="Y38:Y101" si="10">IF(OR(ISBLANK(V38), ISBLANK(F38), NOT(ISNUMBER(V38)), NOT(ISNUMBER(F38))), "", V38-F38)</f>
        <v>-5</v>
      </c>
      <c r="Z38" s="38">
        <f t="shared" ref="Z38:Z101" si="11">IF(OR(ISBLANK(F38), ISBLANK(K38)), "",K38-F38)</f>
        <v>-20</v>
      </c>
      <c r="AA38" s="39">
        <f t="shared" ref="AA38:AA101" si="12">IF(OR(ISBLANK(K38), ISBLANK(S38)), "",S38-K38)</f>
        <v>5</v>
      </c>
      <c r="AB38" s="58">
        <f t="shared" ref="AB38:AB101" si="13">IF(OR(ISBLANK(F38), ISBLANK(S38)), "",S38-F38)</f>
        <v>-15</v>
      </c>
      <c r="AC38" s="209"/>
      <c r="AD38" s="209"/>
      <c r="AE38" s="209"/>
      <c r="AF38" s="209"/>
      <c r="AG38" s="209"/>
      <c r="AH38" s="50"/>
      <c r="AI38" s="50"/>
    </row>
    <row r="39" spans="1:47" s="1" customFormat="1" ht="30.75" x14ac:dyDescent="0.2">
      <c r="A39" s="11" t="s">
        <v>5</v>
      </c>
      <c r="B39" s="12" t="s">
        <v>20</v>
      </c>
      <c r="C39" s="12" t="s">
        <v>49</v>
      </c>
      <c r="D39" s="12" t="s">
        <v>15</v>
      </c>
      <c r="E39" s="12">
        <v>6279840</v>
      </c>
      <c r="F39" s="13">
        <v>7780</v>
      </c>
      <c r="G39" s="14">
        <v>45483</v>
      </c>
      <c r="H39" s="15" t="s">
        <v>7</v>
      </c>
      <c r="I39" s="16" t="s">
        <v>27</v>
      </c>
      <c r="J39" s="16">
        <v>6284524</v>
      </c>
      <c r="K39" s="17">
        <v>7740</v>
      </c>
      <c r="L39" s="18">
        <v>45489</v>
      </c>
      <c r="M39" s="19" t="s">
        <v>39</v>
      </c>
      <c r="N39" s="20" t="s">
        <v>36</v>
      </c>
      <c r="O39" s="20">
        <v>15</v>
      </c>
      <c r="P39" s="20"/>
      <c r="Q39" s="21">
        <v>45489</v>
      </c>
      <c r="R39" s="20">
        <v>500</v>
      </c>
      <c r="S39" s="22">
        <v>7750</v>
      </c>
      <c r="T39" s="23">
        <v>226</v>
      </c>
      <c r="V39" s="37">
        <f t="shared" si="7"/>
        <v>7726</v>
      </c>
      <c r="W39" s="46">
        <f t="shared" si="8"/>
        <v>-24</v>
      </c>
      <c r="X39" s="27">
        <f t="shared" si="9"/>
        <v>-14</v>
      </c>
      <c r="Y39" s="199">
        <f t="shared" si="10"/>
        <v>-54</v>
      </c>
      <c r="Z39" s="38">
        <f t="shared" si="11"/>
        <v>-40</v>
      </c>
      <c r="AA39" s="39">
        <f t="shared" si="12"/>
        <v>10</v>
      </c>
      <c r="AB39" s="58">
        <f t="shared" si="13"/>
        <v>-30</v>
      </c>
      <c r="AC39" s="209"/>
      <c r="AD39" s="209"/>
      <c r="AE39" s="209"/>
      <c r="AF39" s="209"/>
      <c r="AG39" s="209"/>
      <c r="AH39" s="50"/>
      <c r="AI39" s="50"/>
    </row>
    <row r="40" spans="1:47" s="1" customFormat="1" ht="30.75" x14ac:dyDescent="0.2">
      <c r="A40" s="11" t="s">
        <v>5</v>
      </c>
      <c r="B40" s="12" t="s">
        <v>19</v>
      </c>
      <c r="C40" s="12" t="s">
        <v>26</v>
      </c>
      <c r="D40" s="12" t="s">
        <v>15</v>
      </c>
      <c r="E40" s="12">
        <v>6283025</v>
      </c>
      <c r="F40" s="13">
        <v>7780</v>
      </c>
      <c r="G40" s="14">
        <v>45485</v>
      </c>
      <c r="H40" s="15" t="s">
        <v>7</v>
      </c>
      <c r="I40" s="16" t="s">
        <v>16</v>
      </c>
      <c r="J40" s="16">
        <v>6284038</v>
      </c>
      <c r="K40" s="17">
        <v>7750</v>
      </c>
      <c r="L40" s="18">
        <v>45486</v>
      </c>
      <c r="M40" s="19"/>
      <c r="N40" s="20"/>
      <c r="O40" s="20"/>
      <c r="P40" s="20">
        <v>25</v>
      </c>
      <c r="Q40" s="21">
        <v>45486</v>
      </c>
      <c r="R40" s="20">
        <v>55</v>
      </c>
      <c r="S40" s="22">
        <v>7765</v>
      </c>
      <c r="T40" s="23">
        <v>85</v>
      </c>
      <c r="V40" s="37">
        <f t="shared" si="7"/>
        <v>7765</v>
      </c>
      <c r="W40" s="28">
        <f t="shared" si="8"/>
        <v>0</v>
      </c>
      <c r="X40" s="26">
        <f t="shared" si="9"/>
        <v>15</v>
      </c>
      <c r="Y40" s="200">
        <f t="shared" si="10"/>
        <v>-15</v>
      </c>
      <c r="Z40" s="38">
        <f t="shared" si="11"/>
        <v>-30</v>
      </c>
      <c r="AA40" s="39">
        <f t="shared" si="12"/>
        <v>15</v>
      </c>
      <c r="AB40" s="58">
        <f t="shared" si="13"/>
        <v>-15</v>
      </c>
      <c r="AC40" s="209"/>
      <c r="AD40" s="209"/>
      <c r="AE40" s="209">
        <v>37.142857142857146</v>
      </c>
      <c r="AF40" s="209"/>
      <c r="AG40" s="209"/>
      <c r="AH40" s="50"/>
      <c r="AI40" s="50"/>
    </row>
    <row r="41" spans="1:47" s="1" customFormat="1" ht="30.75" x14ac:dyDescent="0.2">
      <c r="A41" s="11" t="s">
        <v>5</v>
      </c>
      <c r="B41" s="12" t="s">
        <v>24</v>
      </c>
      <c r="C41" s="12" t="s">
        <v>59</v>
      </c>
      <c r="D41" s="12" t="s">
        <v>6</v>
      </c>
      <c r="E41" s="12">
        <v>6282999</v>
      </c>
      <c r="F41" s="13">
        <v>7780</v>
      </c>
      <c r="G41" s="14">
        <v>45485</v>
      </c>
      <c r="H41" s="15" t="s">
        <v>7</v>
      </c>
      <c r="I41" s="16" t="s">
        <v>16</v>
      </c>
      <c r="J41" s="16">
        <v>6284077</v>
      </c>
      <c r="K41" s="17">
        <v>7770</v>
      </c>
      <c r="L41" s="18">
        <v>45486</v>
      </c>
      <c r="M41" s="19" t="s">
        <v>17</v>
      </c>
      <c r="N41" s="20" t="s">
        <v>25</v>
      </c>
      <c r="O41" s="20"/>
      <c r="P41" s="20">
        <v>25</v>
      </c>
      <c r="Q41" s="21">
        <v>45489</v>
      </c>
      <c r="R41" s="20">
        <v>55</v>
      </c>
      <c r="S41" s="22">
        <v>7815</v>
      </c>
      <c r="T41" s="23">
        <v>140</v>
      </c>
      <c r="V41" s="37">
        <f t="shared" si="7"/>
        <v>7820</v>
      </c>
      <c r="W41" s="28">
        <f t="shared" si="8"/>
        <v>5</v>
      </c>
      <c r="X41" s="26">
        <f t="shared" si="9"/>
        <v>50</v>
      </c>
      <c r="Y41" s="200">
        <f t="shared" si="10"/>
        <v>40</v>
      </c>
      <c r="Z41" s="38">
        <f t="shared" si="11"/>
        <v>-10</v>
      </c>
      <c r="AA41" s="39">
        <f t="shared" si="12"/>
        <v>45</v>
      </c>
      <c r="AB41" s="58">
        <f t="shared" si="13"/>
        <v>35</v>
      </c>
      <c r="AC41" s="50"/>
      <c r="AD41" s="50"/>
      <c r="AE41" s="50">
        <v>6.3861386138613865</v>
      </c>
      <c r="AF41" s="50"/>
      <c r="AG41" s="50"/>
      <c r="AH41" s="50"/>
      <c r="AI41" s="50"/>
    </row>
    <row r="42" spans="1:47" s="1" customFormat="1" ht="30.75" x14ac:dyDescent="0.2">
      <c r="A42" s="11" t="s">
        <v>5</v>
      </c>
      <c r="B42" s="12" t="s">
        <v>20</v>
      </c>
      <c r="C42" s="12" t="s">
        <v>33</v>
      </c>
      <c r="D42" s="12" t="s">
        <v>62</v>
      </c>
      <c r="E42" s="12">
        <v>6282738</v>
      </c>
      <c r="F42" s="13">
        <v>7867</v>
      </c>
      <c r="G42" s="14">
        <v>45485</v>
      </c>
      <c r="H42" s="15" t="s">
        <v>7</v>
      </c>
      <c r="I42" s="16" t="s">
        <v>16</v>
      </c>
      <c r="J42" s="16">
        <v>6233061</v>
      </c>
      <c r="K42" s="17">
        <v>7750</v>
      </c>
      <c r="L42" s="18">
        <v>45485</v>
      </c>
      <c r="M42" s="19"/>
      <c r="N42" s="20"/>
      <c r="O42" s="20">
        <v>15</v>
      </c>
      <c r="P42" s="20"/>
      <c r="Q42" s="21">
        <v>45485</v>
      </c>
      <c r="R42" s="20">
        <v>110</v>
      </c>
      <c r="S42" s="22">
        <v>7718</v>
      </c>
      <c r="T42" s="23">
        <v>108</v>
      </c>
      <c r="V42" s="37">
        <f t="shared" si="7"/>
        <v>7718</v>
      </c>
      <c r="W42" s="28">
        <f t="shared" si="8"/>
        <v>0</v>
      </c>
      <c r="X42" s="45">
        <f t="shared" si="9"/>
        <v>-32</v>
      </c>
      <c r="Y42" s="199">
        <f t="shared" si="10"/>
        <v>-149</v>
      </c>
      <c r="Z42" s="38">
        <f t="shared" si="11"/>
        <v>-117</v>
      </c>
      <c r="AA42" s="39">
        <f t="shared" si="12"/>
        <v>-32</v>
      </c>
      <c r="AB42" s="58">
        <f t="shared" si="13"/>
        <v>-149</v>
      </c>
      <c r="AC42" s="50"/>
      <c r="AD42" s="50"/>
      <c r="AE42" s="50">
        <v>2.7142857142857144</v>
      </c>
      <c r="AF42" s="50"/>
      <c r="AG42" s="50"/>
      <c r="AH42" s="50"/>
      <c r="AI42" s="50"/>
    </row>
    <row r="43" spans="1:47" s="1" customFormat="1" ht="30.75" x14ac:dyDescent="0.2">
      <c r="A43" s="11" t="s">
        <v>5</v>
      </c>
      <c r="B43" s="12" t="s">
        <v>24</v>
      </c>
      <c r="C43" s="12" t="s">
        <v>34</v>
      </c>
      <c r="D43" s="12" t="s">
        <v>62</v>
      </c>
      <c r="E43" s="12">
        <v>6282743</v>
      </c>
      <c r="F43" s="13">
        <v>7780</v>
      </c>
      <c r="G43" s="14">
        <v>45485</v>
      </c>
      <c r="H43" s="15" t="s">
        <v>7</v>
      </c>
      <c r="I43" s="16" t="s">
        <v>8</v>
      </c>
      <c r="J43" s="16">
        <v>6283463</v>
      </c>
      <c r="K43" s="17">
        <v>7780</v>
      </c>
      <c r="L43" s="18">
        <v>45486</v>
      </c>
      <c r="M43" s="19" t="s">
        <v>35</v>
      </c>
      <c r="N43" s="20" t="s">
        <v>36</v>
      </c>
      <c r="O43" s="20"/>
      <c r="P43" s="20">
        <v>25</v>
      </c>
      <c r="Q43" s="21">
        <v>45486</v>
      </c>
      <c r="R43" s="20">
        <v>55</v>
      </c>
      <c r="S43" s="22">
        <v>7825</v>
      </c>
      <c r="T43" s="23">
        <v>75</v>
      </c>
      <c r="V43" s="37">
        <f t="shared" si="7"/>
        <v>7755</v>
      </c>
      <c r="W43" s="24">
        <f t="shared" si="8"/>
        <v>-70</v>
      </c>
      <c r="X43" s="27">
        <f t="shared" si="9"/>
        <v>-25</v>
      </c>
      <c r="Y43" s="200">
        <f t="shared" si="10"/>
        <v>-25</v>
      </c>
      <c r="Z43" s="38">
        <f t="shared" si="11"/>
        <v>0</v>
      </c>
      <c r="AA43" s="39">
        <f t="shared" si="12"/>
        <v>45</v>
      </c>
      <c r="AB43" s="58">
        <f t="shared" si="13"/>
        <v>45</v>
      </c>
      <c r="AC43" s="50"/>
      <c r="AD43" s="50"/>
      <c r="AE43" s="50">
        <v>8.2222222222222214</v>
      </c>
      <c r="AF43" s="50"/>
      <c r="AG43" s="50"/>
      <c r="AH43" s="50"/>
      <c r="AI43" s="50"/>
    </row>
    <row r="44" spans="1:47" s="1" customFormat="1" ht="30.75" x14ac:dyDescent="0.2">
      <c r="A44" s="11" t="s">
        <v>5</v>
      </c>
      <c r="B44" s="12" t="s">
        <v>21</v>
      </c>
      <c r="C44" s="12" t="s">
        <v>37</v>
      </c>
      <c r="D44" s="12" t="s">
        <v>30</v>
      </c>
      <c r="E44" s="12">
        <v>6282759</v>
      </c>
      <c r="F44" s="13">
        <v>7780</v>
      </c>
      <c r="G44" s="14">
        <v>45485</v>
      </c>
      <c r="H44" s="15" t="s">
        <v>7</v>
      </c>
      <c r="I44" s="16" t="s">
        <v>16</v>
      </c>
      <c r="J44" s="16">
        <v>6283982</v>
      </c>
      <c r="K44" s="17">
        <v>7650</v>
      </c>
      <c r="L44" s="18">
        <v>45486</v>
      </c>
      <c r="M44" s="19"/>
      <c r="N44" s="20"/>
      <c r="O44" s="20"/>
      <c r="P44" s="20">
        <v>24</v>
      </c>
      <c r="Q44" s="21">
        <v>45486</v>
      </c>
      <c r="R44" s="20">
        <v>55</v>
      </c>
      <c r="S44" s="22">
        <v>7650</v>
      </c>
      <c r="T44" s="23">
        <v>275</v>
      </c>
      <c r="V44" s="37">
        <f t="shared" si="7"/>
        <v>7650</v>
      </c>
      <c r="W44" s="28">
        <f t="shared" si="8"/>
        <v>0</v>
      </c>
      <c r="X44" s="45">
        <f t="shared" si="9"/>
        <v>0</v>
      </c>
      <c r="Y44" s="199">
        <f t="shared" si="10"/>
        <v>-130</v>
      </c>
      <c r="Z44" s="38">
        <f t="shared" si="11"/>
        <v>-130</v>
      </c>
      <c r="AA44" s="39">
        <f t="shared" si="12"/>
        <v>0</v>
      </c>
      <c r="AB44" s="58">
        <f t="shared" si="13"/>
        <v>-130</v>
      </c>
      <c r="AC44" s="50"/>
      <c r="AD44" s="50"/>
      <c r="AE44" s="50"/>
      <c r="AF44" s="50"/>
      <c r="AG44" s="50"/>
      <c r="AH44" s="50"/>
      <c r="AI44" s="50"/>
    </row>
    <row r="45" spans="1:47" s="1" customFormat="1" ht="30.75" x14ac:dyDescent="0.2">
      <c r="A45" s="11" t="s">
        <v>5</v>
      </c>
      <c r="B45" s="12" t="s">
        <v>21</v>
      </c>
      <c r="C45" s="12" t="s">
        <v>53</v>
      </c>
      <c r="D45" s="12" t="s">
        <v>15</v>
      </c>
      <c r="E45" s="12">
        <v>6283163</v>
      </c>
      <c r="F45" s="13">
        <v>7780</v>
      </c>
      <c r="G45" s="14">
        <v>45485</v>
      </c>
      <c r="H45" s="15" t="s">
        <v>7</v>
      </c>
      <c r="I45" s="16" t="s">
        <v>16</v>
      </c>
      <c r="J45" s="16">
        <v>6284658</v>
      </c>
      <c r="K45" s="17">
        <v>7710</v>
      </c>
      <c r="L45" s="18">
        <v>45489</v>
      </c>
      <c r="M45" s="19" t="s">
        <v>17</v>
      </c>
      <c r="N45" s="20" t="s">
        <v>18</v>
      </c>
      <c r="O45" s="20"/>
      <c r="P45" s="20">
        <v>25</v>
      </c>
      <c r="Q45" s="21">
        <v>45489</v>
      </c>
      <c r="R45" s="20">
        <v>55</v>
      </c>
      <c r="S45" s="22">
        <v>7689</v>
      </c>
      <c r="T45" s="23">
        <v>9</v>
      </c>
      <c r="V45" s="37">
        <f t="shared" si="7"/>
        <v>7689</v>
      </c>
      <c r="W45" s="28">
        <f t="shared" si="8"/>
        <v>0</v>
      </c>
      <c r="X45" s="45">
        <f t="shared" si="9"/>
        <v>-21</v>
      </c>
      <c r="Y45" s="199">
        <f t="shared" si="10"/>
        <v>-91</v>
      </c>
      <c r="Z45" s="38">
        <f t="shared" si="11"/>
        <v>-70</v>
      </c>
      <c r="AA45" s="39">
        <f t="shared" si="12"/>
        <v>-21</v>
      </c>
      <c r="AB45" s="58">
        <f t="shared" si="13"/>
        <v>-91</v>
      </c>
      <c r="AC45" s="50"/>
      <c r="AD45" s="50"/>
      <c r="AE45" s="50"/>
      <c r="AF45" s="50"/>
      <c r="AG45" s="50"/>
      <c r="AH45" s="50"/>
      <c r="AI45" s="50"/>
    </row>
    <row r="46" spans="1:47" s="1" customFormat="1" ht="30.75" x14ac:dyDescent="0.2">
      <c r="A46" s="11" t="s">
        <v>5</v>
      </c>
      <c r="B46" s="12" t="s">
        <v>19</v>
      </c>
      <c r="C46" s="12" t="s">
        <v>64</v>
      </c>
      <c r="D46" s="12" t="s">
        <v>65</v>
      </c>
      <c r="E46" s="12">
        <v>6285557</v>
      </c>
      <c r="F46" s="13">
        <v>7650</v>
      </c>
      <c r="G46" s="14">
        <v>45490</v>
      </c>
      <c r="H46" s="15" t="s">
        <v>7</v>
      </c>
      <c r="I46" s="16" t="s">
        <v>66</v>
      </c>
      <c r="J46" s="16">
        <v>6286292</v>
      </c>
      <c r="K46" s="17">
        <v>7630</v>
      </c>
      <c r="L46" s="18">
        <v>45490</v>
      </c>
      <c r="M46" s="19" t="s">
        <v>44</v>
      </c>
      <c r="N46" s="20"/>
      <c r="O46" s="20"/>
      <c r="P46" s="20">
        <v>25</v>
      </c>
      <c r="Q46" s="21">
        <v>45490</v>
      </c>
      <c r="R46" s="20">
        <v>310</v>
      </c>
      <c r="S46" s="22">
        <v>7630</v>
      </c>
      <c r="T46" s="23">
        <v>15</v>
      </c>
      <c r="V46" s="37">
        <f t="shared" si="7"/>
        <v>7640</v>
      </c>
      <c r="W46" s="24">
        <f t="shared" si="8"/>
        <v>10</v>
      </c>
      <c r="X46" s="45">
        <f t="shared" si="9"/>
        <v>10</v>
      </c>
      <c r="Y46" s="200">
        <f t="shared" si="10"/>
        <v>-10</v>
      </c>
      <c r="Z46" s="38">
        <f t="shared" si="11"/>
        <v>-20</v>
      </c>
      <c r="AA46" s="39">
        <f t="shared" si="12"/>
        <v>0</v>
      </c>
      <c r="AB46" s="58">
        <f t="shared" si="13"/>
        <v>-20</v>
      </c>
      <c r="AC46" s="50"/>
      <c r="AD46" s="50"/>
      <c r="AE46" s="50"/>
      <c r="AF46" s="50"/>
      <c r="AG46" s="50"/>
      <c r="AH46" s="50"/>
      <c r="AI46" s="50"/>
    </row>
    <row r="47" spans="1:47" s="1" customFormat="1" ht="30.75" x14ac:dyDescent="0.2">
      <c r="A47" s="11" t="s">
        <v>5</v>
      </c>
      <c r="B47" s="12" t="s">
        <v>21</v>
      </c>
      <c r="C47" s="12" t="s">
        <v>72</v>
      </c>
      <c r="D47" s="12" t="s">
        <v>67</v>
      </c>
      <c r="E47" s="12">
        <v>6286568</v>
      </c>
      <c r="F47" s="13">
        <v>7780</v>
      </c>
      <c r="G47" s="14">
        <v>45490</v>
      </c>
      <c r="H47" s="15" t="s">
        <v>7</v>
      </c>
      <c r="I47" s="16" t="s">
        <v>27</v>
      </c>
      <c r="J47" s="16">
        <v>6286728</v>
      </c>
      <c r="K47" s="17">
        <v>7730</v>
      </c>
      <c r="L47" s="18">
        <v>45491</v>
      </c>
      <c r="M47" s="19" t="s">
        <v>17</v>
      </c>
      <c r="N47" s="20"/>
      <c r="O47" s="20"/>
      <c r="P47" s="20">
        <v>25</v>
      </c>
      <c r="Q47" s="21">
        <v>45491</v>
      </c>
      <c r="R47" s="20">
        <v>55</v>
      </c>
      <c r="S47" s="22">
        <v>7820</v>
      </c>
      <c r="T47" s="23">
        <v>24</v>
      </c>
      <c r="V47" s="37">
        <f t="shared" si="7"/>
        <v>7704</v>
      </c>
      <c r="W47" s="24">
        <f t="shared" si="8"/>
        <v>-116</v>
      </c>
      <c r="X47" s="27">
        <f t="shared" si="9"/>
        <v>-26</v>
      </c>
      <c r="Y47" s="200">
        <f t="shared" si="10"/>
        <v>-76</v>
      </c>
      <c r="Z47" s="38">
        <f t="shared" si="11"/>
        <v>-50</v>
      </c>
      <c r="AA47" s="39">
        <f t="shared" si="12"/>
        <v>90</v>
      </c>
      <c r="AB47" s="58">
        <f t="shared" si="13"/>
        <v>40</v>
      </c>
      <c r="AC47" s="50"/>
      <c r="AD47" s="50"/>
      <c r="AE47" s="50"/>
      <c r="AF47" s="50"/>
      <c r="AG47" s="50"/>
      <c r="AH47" s="50"/>
      <c r="AI47" s="50"/>
    </row>
    <row r="48" spans="1:47" s="1" customFormat="1" ht="30.75" x14ac:dyDescent="0.2">
      <c r="A48" s="11" t="s">
        <v>5</v>
      </c>
      <c r="B48" s="12" t="s">
        <v>19</v>
      </c>
      <c r="C48" s="12" t="s">
        <v>71</v>
      </c>
      <c r="D48" s="12" t="s">
        <v>67</v>
      </c>
      <c r="E48" s="12">
        <v>6286356</v>
      </c>
      <c r="F48" s="13">
        <v>7780</v>
      </c>
      <c r="G48" s="14">
        <v>45490</v>
      </c>
      <c r="H48" s="15" t="s">
        <v>7</v>
      </c>
      <c r="I48" s="16" t="s">
        <v>27</v>
      </c>
      <c r="J48" s="16">
        <v>6286813</v>
      </c>
      <c r="K48" s="17">
        <v>7770</v>
      </c>
      <c r="L48" s="18">
        <v>45491</v>
      </c>
      <c r="M48" s="19" t="s">
        <v>35</v>
      </c>
      <c r="N48" s="20"/>
      <c r="O48" s="20"/>
      <c r="P48" s="20">
        <v>25</v>
      </c>
      <c r="Q48" s="21">
        <v>45491</v>
      </c>
      <c r="R48" s="20">
        <v>55</v>
      </c>
      <c r="S48" s="22">
        <v>7762</v>
      </c>
      <c r="T48" s="23">
        <v>82</v>
      </c>
      <c r="V48" s="37">
        <f t="shared" si="7"/>
        <v>7762</v>
      </c>
      <c r="W48" s="28">
        <f t="shared" si="8"/>
        <v>0</v>
      </c>
      <c r="X48" s="45">
        <f t="shared" si="9"/>
        <v>-8</v>
      </c>
      <c r="Y48" s="199">
        <f t="shared" si="10"/>
        <v>-18</v>
      </c>
      <c r="Z48" s="38">
        <f t="shared" si="11"/>
        <v>-10</v>
      </c>
      <c r="AA48" s="39">
        <f t="shared" si="12"/>
        <v>-8</v>
      </c>
      <c r="AB48" s="58">
        <f t="shared" si="13"/>
        <v>-18</v>
      </c>
    </row>
    <row r="49" spans="1:28" s="1" customFormat="1" ht="30.75" x14ac:dyDescent="0.2">
      <c r="A49" s="11" t="s">
        <v>5</v>
      </c>
      <c r="B49" s="12" t="s">
        <v>21</v>
      </c>
      <c r="C49" s="12" t="s">
        <v>68</v>
      </c>
      <c r="D49" s="12" t="s">
        <v>62</v>
      </c>
      <c r="E49" s="12">
        <v>6286740</v>
      </c>
      <c r="F49" s="13">
        <v>7780</v>
      </c>
      <c r="G49" s="14">
        <v>45491</v>
      </c>
      <c r="H49" s="15" t="s">
        <v>7</v>
      </c>
      <c r="I49" s="16" t="s">
        <v>27</v>
      </c>
      <c r="J49" s="16">
        <v>6286860</v>
      </c>
      <c r="K49" s="17">
        <v>7730</v>
      </c>
      <c r="L49" s="18">
        <v>45491</v>
      </c>
      <c r="M49" s="19" t="s">
        <v>17</v>
      </c>
      <c r="N49" s="20"/>
      <c r="O49" s="20"/>
      <c r="P49" s="20">
        <v>25</v>
      </c>
      <c r="Q49" s="21">
        <v>45491</v>
      </c>
      <c r="R49" s="20">
        <v>55</v>
      </c>
      <c r="S49" s="22">
        <v>7747</v>
      </c>
      <c r="T49" s="23">
        <v>67</v>
      </c>
      <c r="V49" s="37">
        <f t="shared" si="7"/>
        <v>7692</v>
      </c>
      <c r="W49" s="46">
        <f t="shared" si="8"/>
        <v>-55</v>
      </c>
      <c r="X49" s="27">
        <f t="shared" si="9"/>
        <v>-38</v>
      </c>
      <c r="Y49" s="199">
        <f t="shared" si="10"/>
        <v>-88</v>
      </c>
      <c r="Z49" s="38">
        <f t="shared" si="11"/>
        <v>-50</v>
      </c>
      <c r="AA49" s="39">
        <f t="shared" si="12"/>
        <v>17</v>
      </c>
      <c r="AB49" s="58">
        <f t="shared" si="13"/>
        <v>-33</v>
      </c>
    </row>
    <row r="50" spans="1:28" s="1" customFormat="1" ht="30.75" x14ac:dyDescent="0.2">
      <c r="A50" s="11" t="s">
        <v>5</v>
      </c>
      <c r="B50" s="12" t="s">
        <v>19</v>
      </c>
      <c r="C50" s="12" t="s">
        <v>70</v>
      </c>
      <c r="D50" s="12" t="s">
        <v>62</v>
      </c>
      <c r="E50" s="12">
        <v>6286687</v>
      </c>
      <c r="F50" s="13">
        <v>7780</v>
      </c>
      <c r="G50" s="14">
        <v>45491</v>
      </c>
      <c r="H50" s="15" t="s">
        <v>7</v>
      </c>
      <c r="I50" s="16" t="s">
        <v>16</v>
      </c>
      <c r="J50" s="16">
        <v>6286938</v>
      </c>
      <c r="K50" s="17">
        <v>7770</v>
      </c>
      <c r="L50" s="18">
        <v>45491</v>
      </c>
      <c r="M50" s="19"/>
      <c r="N50" s="20"/>
      <c r="O50" s="20"/>
      <c r="P50" s="20">
        <v>25</v>
      </c>
      <c r="Q50" s="21">
        <v>45491</v>
      </c>
      <c r="R50" s="20">
        <v>55</v>
      </c>
      <c r="S50" s="22">
        <v>7770</v>
      </c>
      <c r="T50" s="23">
        <v>30</v>
      </c>
      <c r="V50" s="37">
        <f t="shared" si="7"/>
        <v>7710</v>
      </c>
      <c r="W50" s="28">
        <f t="shared" si="8"/>
        <v>-60</v>
      </c>
      <c r="X50" s="45">
        <f t="shared" si="9"/>
        <v>-60</v>
      </c>
      <c r="Y50" s="199">
        <f t="shared" si="10"/>
        <v>-70</v>
      </c>
      <c r="Z50" s="38">
        <f t="shared" si="11"/>
        <v>-10</v>
      </c>
      <c r="AA50" s="39">
        <f t="shared" si="12"/>
        <v>0</v>
      </c>
      <c r="AB50" s="58">
        <f t="shared" si="13"/>
        <v>-10</v>
      </c>
    </row>
    <row r="51" spans="1:28" s="1" customFormat="1" ht="30.75" x14ac:dyDescent="0.2">
      <c r="A51" s="11" t="s">
        <v>5</v>
      </c>
      <c r="B51" s="12" t="s">
        <v>20</v>
      </c>
      <c r="C51" s="12" t="s">
        <v>80</v>
      </c>
      <c r="D51" s="12" t="s">
        <v>6</v>
      </c>
      <c r="E51" s="12">
        <v>6287026</v>
      </c>
      <c r="F51" s="13">
        <v>7630</v>
      </c>
      <c r="G51" s="14">
        <v>45491</v>
      </c>
      <c r="H51" s="15" t="s">
        <v>7</v>
      </c>
      <c r="I51" s="16" t="s">
        <v>27</v>
      </c>
      <c r="J51" s="16">
        <v>6287669</v>
      </c>
      <c r="K51" s="17">
        <v>7536</v>
      </c>
      <c r="L51" s="18">
        <v>45492</v>
      </c>
      <c r="M51" s="19"/>
      <c r="N51" s="20" t="s">
        <v>41</v>
      </c>
      <c r="O51" s="20">
        <v>15</v>
      </c>
      <c r="P51" s="20"/>
      <c r="Q51" s="21">
        <v>45492</v>
      </c>
      <c r="R51" s="20">
        <v>501</v>
      </c>
      <c r="S51" s="22">
        <v>7538</v>
      </c>
      <c r="T51" s="23">
        <v>36</v>
      </c>
      <c r="V51" s="37">
        <f t="shared" si="7"/>
        <v>7536</v>
      </c>
      <c r="W51" s="46">
        <f t="shared" si="8"/>
        <v>-2</v>
      </c>
      <c r="X51" s="27">
        <f t="shared" si="9"/>
        <v>0</v>
      </c>
      <c r="Y51" s="199">
        <f t="shared" si="10"/>
        <v>-94</v>
      </c>
      <c r="Z51" s="38">
        <f t="shared" si="11"/>
        <v>-94</v>
      </c>
      <c r="AA51" s="39">
        <f t="shared" si="12"/>
        <v>2</v>
      </c>
      <c r="AB51" s="58">
        <f t="shared" si="13"/>
        <v>-92</v>
      </c>
    </row>
    <row r="52" spans="1:28" s="1" customFormat="1" ht="30.75" x14ac:dyDescent="0.2">
      <c r="A52" s="11" t="s">
        <v>5</v>
      </c>
      <c r="B52" s="12" t="s">
        <v>24</v>
      </c>
      <c r="C52" s="12" t="s">
        <v>81</v>
      </c>
      <c r="D52" s="12" t="s">
        <v>67</v>
      </c>
      <c r="E52" s="12">
        <v>6286357</v>
      </c>
      <c r="F52" s="13">
        <v>7780</v>
      </c>
      <c r="G52" s="14">
        <v>45490</v>
      </c>
      <c r="H52" s="15" t="s">
        <v>7</v>
      </c>
      <c r="I52" s="16" t="s">
        <v>16</v>
      </c>
      <c r="J52" s="16">
        <v>6287023</v>
      </c>
      <c r="K52" s="17">
        <v>7810</v>
      </c>
      <c r="L52" s="18">
        <v>45491</v>
      </c>
      <c r="M52" s="19" t="s">
        <v>35</v>
      </c>
      <c r="N52" s="20" t="s">
        <v>101</v>
      </c>
      <c r="O52" s="20"/>
      <c r="P52" s="20">
        <v>25</v>
      </c>
      <c r="Q52" s="21">
        <v>45491</v>
      </c>
      <c r="R52" s="20">
        <v>55</v>
      </c>
      <c r="S52" s="22">
        <v>7814</v>
      </c>
      <c r="T52" s="23">
        <v>134</v>
      </c>
      <c r="V52" s="37">
        <f t="shared" si="7"/>
        <v>7814</v>
      </c>
      <c r="W52" s="28">
        <f t="shared" si="8"/>
        <v>0</v>
      </c>
      <c r="X52" s="45">
        <f t="shared" si="9"/>
        <v>4</v>
      </c>
      <c r="Y52" s="199">
        <f t="shared" si="10"/>
        <v>34</v>
      </c>
      <c r="Z52" s="38">
        <f t="shared" si="11"/>
        <v>30</v>
      </c>
      <c r="AA52" s="39">
        <f t="shared" si="12"/>
        <v>4</v>
      </c>
      <c r="AB52" s="58">
        <f t="shared" si="13"/>
        <v>34</v>
      </c>
    </row>
    <row r="53" spans="1:28" s="1" customFormat="1" ht="30.75" x14ac:dyDescent="0.2">
      <c r="A53" s="11" t="s">
        <v>5</v>
      </c>
      <c r="B53" s="12" t="s">
        <v>19</v>
      </c>
      <c r="C53" s="12" t="s">
        <v>75</v>
      </c>
      <c r="D53" s="12" t="s">
        <v>62</v>
      </c>
      <c r="E53" s="12">
        <v>6286885</v>
      </c>
      <c r="F53" s="13">
        <v>7550</v>
      </c>
      <c r="G53" s="14">
        <v>45491</v>
      </c>
      <c r="H53" s="15" t="s">
        <v>7</v>
      </c>
      <c r="I53" s="16" t="s">
        <v>66</v>
      </c>
      <c r="J53" s="16">
        <v>6287397</v>
      </c>
      <c r="K53" s="17">
        <v>7530</v>
      </c>
      <c r="L53" s="18">
        <v>45491</v>
      </c>
      <c r="M53" s="19"/>
      <c r="N53" s="20" t="s">
        <v>51</v>
      </c>
      <c r="O53" s="20"/>
      <c r="P53" s="20">
        <v>24</v>
      </c>
      <c r="Q53" s="21">
        <v>45491</v>
      </c>
      <c r="R53" s="20">
        <v>310</v>
      </c>
      <c r="S53" s="22">
        <v>7615</v>
      </c>
      <c r="T53" s="23">
        <v>265</v>
      </c>
      <c r="V53" s="37">
        <f t="shared" si="7"/>
        <v>7585</v>
      </c>
      <c r="W53" s="28">
        <f t="shared" si="8"/>
        <v>-30</v>
      </c>
      <c r="X53" s="26">
        <f t="shared" si="9"/>
        <v>55</v>
      </c>
      <c r="Y53" s="200">
        <f t="shared" si="10"/>
        <v>35</v>
      </c>
      <c r="Z53" s="38">
        <f t="shared" si="11"/>
        <v>-20</v>
      </c>
      <c r="AA53" s="39">
        <f t="shared" si="12"/>
        <v>85</v>
      </c>
      <c r="AB53" s="58">
        <f t="shared" si="13"/>
        <v>65</v>
      </c>
    </row>
    <row r="54" spans="1:28" s="1" customFormat="1" ht="30.75" x14ac:dyDescent="0.2">
      <c r="A54" s="11" t="s">
        <v>5</v>
      </c>
      <c r="B54" s="12" t="s">
        <v>19</v>
      </c>
      <c r="C54" s="12" t="s">
        <v>83</v>
      </c>
      <c r="D54" s="12" t="s">
        <v>6</v>
      </c>
      <c r="E54" s="12">
        <v>6287117</v>
      </c>
      <c r="F54" s="13">
        <v>7580</v>
      </c>
      <c r="G54" s="14">
        <v>45491</v>
      </c>
      <c r="H54" s="15" t="s">
        <v>7</v>
      </c>
      <c r="I54" s="16" t="s">
        <v>66</v>
      </c>
      <c r="J54" s="16">
        <v>6287430</v>
      </c>
      <c r="K54" s="17">
        <v>7625</v>
      </c>
      <c r="L54" s="18">
        <v>45491</v>
      </c>
      <c r="M54" s="19" t="s">
        <v>44</v>
      </c>
      <c r="N54" s="20" t="s">
        <v>74</v>
      </c>
      <c r="O54" s="20"/>
      <c r="P54" s="20">
        <v>25</v>
      </c>
      <c r="Q54" s="21">
        <v>45491</v>
      </c>
      <c r="R54" s="20">
        <v>310</v>
      </c>
      <c r="S54" s="22">
        <v>7630</v>
      </c>
      <c r="T54" s="23">
        <v>4</v>
      </c>
      <c r="V54" s="37">
        <f t="shared" si="7"/>
        <v>7629</v>
      </c>
      <c r="W54" s="28">
        <f t="shared" si="8"/>
        <v>-1</v>
      </c>
      <c r="X54" s="45">
        <f t="shared" si="9"/>
        <v>4</v>
      </c>
      <c r="Y54" s="199">
        <f t="shared" si="10"/>
        <v>49</v>
      </c>
      <c r="Z54" s="38">
        <f t="shared" si="11"/>
        <v>45</v>
      </c>
      <c r="AA54" s="39">
        <f t="shared" si="12"/>
        <v>5</v>
      </c>
      <c r="AB54" s="58">
        <f t="shared" si="13"/>
        <v>50</v>
      </c>
    </row>
    <row r="55" spans="1:28" s="1" customFormat="1" ht="30.75" x14ac:dyDescent="0.2">
      <c r="A55" s="11" t="s">
        <v>5</v>
      </c>
      <c r="B55" s="12" t="s">
        <v>21</v>
      </c>
      <c r="C55" s="12" t="s">
        <v>84</v>
      </c>
      <c r="D55" s="12" t="s">
        <v>6</v>
      </c>
      <c r="E55" s="12">
        <v>6287259</v>
      </c>
      <c r="F55" s="13">
        <v>7780</v>
      </c>
      <c r="G55" s="14">
        <v>45491</v>
      </c>
      <c r="H55" s="15" t="s">
        <v>7</v>
      </c>
      <c r="I55" s="16" t="s">
        <v>40</v>
      </c>
      <c r="J55" s="16">
        <v>6287756</v>
      </c>
      <c r="K55" s="17">
        <v>7732</v>
      </c>
      <c r="L55" s="18">
        <v>45492</v>
      </c>
      <c r="M55" s="19" t="s">
        <v>35</v>
      </c>
      <c r="N55" s="20" t="s">
        <v>36</v>
      </c>
      <c r="O55" s="20"/>
      <c r="P55" s="20">
        <v>25</v>
      </c>
      <c r="Q55" s="21">
        <v>45492</v>
      </c>
      <c r="R55" s="20">
        <v>60</v>
      </c>
      <c r="S55" s="22">
        <v>7707</v>
      </c>
      <c r="T55" s="23">
        <v>24</v>
      </c>
      <c r="V55" s="37">
        <f t="shared" si="7"/>
        <v>7709</v>
      </c>
      <c r="W55" s="28">
        <f t="shared" si="8"/>
        <v>2</v>
      </c>
      <c r="X55" s="45">
        <f t="shared" si="9"/>
        <v>-23</v>
      </c>
      <c r="Y55" s="199">
        <f t="shared" si="10"/>
        <v>-71</v>
      </c>
      <c r="Z55" s="38">
        <f t="shared" si="11"/>
        <v>-48</v>
      </c>
      <c r="AA55" s="39">
        <f t="shared" si="12"/>
        <v>-25</v>
      </c>
      <c r="AB55" s="58">
        <f t="shared" si="13"/>
        <v>-73</v>
      </c>
    </row>
    <row r="56" spans="1:28" s="1" customFormat="1" ht="30.75" x14ac:dyDescent="0.2">
      <c r="A56" s="11" t="s">
        <v>5</v>
      </c>
      <c r="B56" s="12" t="s">
        <v>21</v>
      </c>
      <c r="C56" s="12" t="s">
        <v>77</v>
      </c>
      <c r="D56" s="12" t="s">
        <v>62</v>
      </c>
      <c r="E56" s="12">
        <v>6286795</v>
      </c>
      <c r="F56" s="13">
        <v>7780</v>
      </c>
      <c r="G56" s="14">
        <v>45491</v>
      </c>
      <c r="H56" s="15" t="s">
        <v>7</v>
      </c>
      <c r="I56" s="16" t="s">
        <v>16</v>
      </c>
      <c r="J56" s="16">
        <v>6287160</v>
      </c>
      <c r="K56" s="17">
        <v>7730</v>
      </c>
      <c r="L56" s="18">
        <v>45491</v>
      </c>
      <c r="M56" s="19" t="s">
        <v>17</v>
      </c>
      <c r="N56" s="20" t="s">
        <v>51</v>
      </c>
      <c r="O56" s="20"/>
      <c r="P56" s="20">
        <v>25</v>
      </c>
      <c r="Q56" s="21">
        <v>45491</v>
      </c>
      <c r="R56" s="20">
        <v>110</v>
      </c>
      <c r="S56" s="22">
        <v>7750</v>
      </c>
      <c r="T56" s="23">
        <v>50</v>
      </c>
      <c r="V56" s="37">
        <f t="shared" si="7"/>
        <v>7785</v>
      </c>
      <c r="W56" s="46">
        <f t="shared" si="8"/>
        <v>35</v>
      </c>
      <c r="X56" s="26">
        <f t="shared" si="9"/>
        <v>55</v>
      </c>
      <c r="Y56" s="25">
        <f t="shared" si="10"/>
        <v>5</v>
      </c>
      <c r="Z56" s="38">
        <f t="shared" si="11"/>
        <v>-50</v>
      </c>
      <c r="AA56" s="39">
        <f t="shared" si="12"/>
        <v>20</v>
      </c>
      <c r="AB56" s="58">
        <f t="shared" si="13"/>
        <v>-30</v>
      </c>
    </row>
    <row r="57" spans="1:28" s="1" customFormat="1" ht="30.75" x14ac:dyDescent="0.2">
      <c r="A57" s="11" t="s">
        <v>5</v>
      </c>
      <c r="B57" s="12" t="s">
        <v>19</v>
      </c>
      <c r="C57" s="12" t="s">
        <v>78</v>
      </c>
      <c r="D57" s="12" t="s">
        <v>62</v>
      </c>
      <c r="E57" s="12">
        <v>6286796</v>
      </c>
      <c r="F57" s="13">
        <v>7780</v>
      </c>
      <c r="G57" s="14">
        <v>45491</v>
      </c>
      <c r="H57" s="15" t="s">
        <v>7</v>
      </c>
      <c r="I57" s="16" t="s">
        <v>16</v>
      </c>
      <c r="J57" s="16">
        <v>6287266</v>
      </c>
      <c r="K57" s="17">
        <v>7770</v>
      </c>
      <c r="L57" s="18">
        <v>45491</v>
      </c>
      <c r="M57" s="19" t="s">
        <v>35</v>
      </c>
      <c r="N57" s="20" t="s">
        <v>79</v>
      </c>
      <c r="O57" s="20"/>
      <c r="P57" s="20">
        <v>25</v>
      </c>
      <c r="Q57" s="21">
        <v>45491</v>
      </c>
      <c r="R57" s="20">
        <v>55</v>
      </c>
      <c r="S57" s="22">
        <v>7770</v>
      </c>
      <c r="T57" s="23">
        <v>89</v>
      </c>
      <c r="V57" s="37">
        <f t="shared" si="7"/>
        <v>7769</v>
      </c>
      <c r="W57" s="28">
        <f t="shared" si="8"/>
        <v>-1</v>
      </c>
      <c r="X57" s="45">
        <f t="shared" si="9"/>
        <v>-1</v>
      </c>
      <c r="Y57" s="199">
        <f t="shared" si="10"/>
        <v>-11</v>
      </c>
      <c r="Z57" s="38">
        <f t="shared" si="11"/>
        <v>-10</v>
      </c>
      <c r="AA57" s="39">
        <f t="shared" si="12"/>
        <v>0</v>
      </c>
      <c r="AB57" s="58">
        <f t="shared" si="13"/>
        <v>-10</v>
      </c>
    </row>
    <row r="58" spans="1:28" s="1" customFormat="1" ht="30.75" x14ac:dyDescent="0.2">
      <c r="A58" s="11" t="s">
        <v>5</v>
      </c>
      <c r="B58" s="12" t="s">
        <v>19</v>
      </c>
      <c r="C58" s="12" t="s">
        <v>85</v>
      </c>
      <c r="D58" s="12" t="s">
        <v>6</v>
      </c>
      <c r="E58" s="12">
        <v>6287021</v>
      </c>
      <c r="F58" s="13">
        <v>7780</v>
      </c>
      <c r="G58" s="14">
        <v>45491</v>
      </c>
      <c r="H58" s="15" t="s">
        <v>7</v>
      </c>
      <c r="I58" s="16" t="s">
        <v>66</v>
      </c>
      <c r="J58" s="16">
        <v>6287457</v>
      </c>
      <c r="K58" s="17">
        <v>7750</v>
      </c>
      <c r="L58" s="18">
        <v>45491</v>
      </c>
      <c r="M58" s="19" t="s">
        <v>35</v>
      </c>
      <c r="N58" s="20" t="s">
        <v>79</v>
      </c>
      <c r="O58" s="20"/>
      <c r="P58" s="20">
        <v>25</v>
      </c>
      <c r="Q58" s="21">
        <v>45491</v>
      </c>
      <c r="R58" s="20">
        <v>55</v>
      </c>
      <c r="S58" s="22">
        <v>7768</v>
      </c>
      <c r="T58" s="23">
        <v>88</v>
      </c>
      <c r="V58" s="37">
        <f t="shared" si="7"/>
        <v>7768</v>
      </c>
      <c r="W58" s="28">
        <f t="shared" si="8"/>
        <v>0</v>
      </c>
      <c r="X58" s="26">
        <f t="shared" si="9"/>
        <v>18</v>
      </c>
      <c r="Y58" s="200">
        <f t="shared" si="10"/>
        <v>-12</v>
      </c>
      <c r="Z58" s="38">
        <f t="shared" si="11"/>
        <v>-30</v>
      </c>
      <c r="AA58" s="39">
        <f t="shared" si="12"/>
        <v>18</v>
      </c>
      <c r="AB58" s="58">
        <f t="shared" si="13"/>
        <v>-12</v>
      </c>
    </row>
    <row r="59" spans="1:28" s="1" customFormat="1" ht="30.75" x14ac:dyDescent="0.2">
      <c r="A59" s="11" t="s">
        <v>5</v>
      </c>
      <c r="B59" s="12" t="s">
        <v>21</v>
      </c>
      <c r="C59" s="12" t="s">
        <v>103</v>
      </c>
      <c r="D59" s="12" t="s">
        <v>62</v>
      </c>
      <c r="E59" s="12">
        <v>6288754</v>
      </c>
      <c r="F59" s="13">
        <v>7780</v>
      </c>
      <c r="G59" s="14">
        <v>45493</v>
      </c>
      <c r="H59" s="15" t="s">
        <v>7</v>
      </c>
      <c r="I59" s="16" t="s">
        <v>16</v>
      </c>
      <c r="J59" s="16">
        <v>6288972</v>
      </c>
      <c r="K59" s="17">
        <v>7720</v>
      </c>
      <c r="L59" s="18">
        <v>45493</v>
      </c>
      <c r="M59" s="19" t="s">
        <v>17</v>
      </c>
      <c r="N59" s="20" t="s">
        <v>18</v>
      </c>
      <c r="O59" s="20"/>
      <c r="P59" s="20">
        <v>25</v>
      </c>
      <c r="Q59" s="21">
        <v>45493</v>
      </c>
      <c r="R59" s="20">
        <v>55</v>
      </c>
      <c r="S59" s="22">
        <v>7746</v>
      </c>
      <c r="T59" s="23">
        <v>26</v>
      </c>
      <c r="V59" s="37">
        <f t="shared" si="7"/>
        <v>7706</v>
      </c>
      <c r="W59" s="46">
        <f t="shared" si="8"/>
        <v>-40</v>
      </c>
      <c r="X59" s="27">
        <f t="shared" si="9"/>
        <v>-14</v>
      </c>
      <c r="Y59" s="199">
        <f t="shared" si="10"/>
        <v>-74</v>
      </c>
      <c r="Z59" s="38">
        <f t="shared" si="11"/>
        <v>-60</v>
      </c>
      <c r="AA59" s="39">
        <f t="shared" si="12"/>
        <v>26</v>
      </c>
      <c r="AB59" s="58">
        <f t="shared" si="13"/>
        <v>-34</v>
      </c>
    </row>
    <row r="60" spans="1:28" s="1" customFormat="1" ht="30.75" x14ac:dyDescent="0.2">
      <c r="A60" s="11" t="s">
        <v>5</v>
      </c>
      <c r="B60" s="12" t="s">
        <v>21</v>
      </c>
      <c r="C60" s="12" t="s">
        <v>104</v>
      </c>
      <c r="D60" s="12" t="s">
        <v>6</v>
      </c>
      <c r="E60" s="12">
        <v>6288378</v>
      </c>
      <c r="F60" s="13">
        <v>7700</v>
      </c>
      <c r="G60" s="14">
        <v>45492</v>
      </c>
      <c r="H60" s="15" t="s">
        <v>7</v>
      </c>
      <c r="I60" s="16" t="s">
        <v>66</v>
      </c>
      <c r="J60" s="16">
        <v>6289369</v>
      </c>
      <c r="K60" s="17">
        <v>7690</v>
      </c>
      <c r="L60" s="18">
        <v>45493</v>
      </c>
      <c r="M60" s="19" t="s">
        <v>17</v>
      </c>
      <c r="N60" s="20" t="s">
        <v>51</v>
      </c>
      <c r="O60" s="20"/>
      <c r="P60" s="20">
        <v>25</v>
      </c>
      <c r="Q60" s="21">
        <v>45494</v>
      </c>
      <c r="R60" s="20">
        <v>310</v>
      </c>
      <c r="S60" s="22">
        <v>7687</v>
      </c>
      <c r="T60" s="23">
        <v>57</v>
      </c>
      <c r="V60" s="37">
        <f t="shared" si="7"/>
        <v>7682</v>
      </c>
      <c r="W60" s="28">
        <f t="shared" si="8"/>
        <v>-5</v>
      </c>
      <c r="X60" s="45">
        <f t="shared" si="9"/>
        <v>-8</v>
      </c>
      <c r="Y60" s="199">
        <f t="shared" si="10"/>
        <v>-18</v>
      </c>
      <c r="Z60" s="38">
        <f t="shared" si="11"/>
        <v>-10</v>
      </c>
      <c r="AA60" s="39">
        <f t="shared" si="12"/>
        <v>-3</v>
      </c>
      <c r="AB60" s="58">
        <f t="shared" si="13"/>
        <v>-13</v>
      </c>
    </row>
    <row r="61" spans="1:28" s="1" customFormat="1" ht="30.75" x14ac:dyDescent="0.2">
      <c r="A61" s="11" t="s">
        <v>5</v>
      </c>
      <c r="B61" s="12" t="s">
        <v>19</v>
      </c>
      <c r="C61" s="12" t="s">
        <v>110</v>
      </c>
      <c r="D61" s="12" t="s">
        <v>62</v>
      </c>
      <c r="E61" s="12">
        <v>6288755</v>
      </c>
      <c r="F61" s="13">
        <v>7780</v>
      </c>
      <c r="G61" s="14">
        <v>45493</v>
      </c>
      <c r="H61" s="15" t="s">
        <v>7</v>
      </c>
      <c r="I61" s="16" t="s">
        <v>27</v>
      </c>
      <c r="J61" s="16">
        <v>6288911</v>
      </c>
      <c r="K61" s="17">
        <v>7775</v>
      </c>
      <c r="L61" s="18">
        <v>45493</v>
      </c>
      <c r="M61" s="19" t="s">
        <v>35</v>
      </c>
      <c r="N61" s="20" t="s">
        <v>101</v>
      </c>
      <c r="O61" s="20"/>
      <c r="P61" s="20">
        <v>25</v>
      </c>
      <c r="Q61" s="21">
        <v>45493</v>
      </c>
      <c r="R61" s="20">
        <v>55</v>
      </c>
      <c r="S61" s="22">
        <v>7749</v>
      </c>
      <c r="T61" s="23">
        <v>72</v>
      </c>
      <c r="V61" s="37">
        <f t="shared" si="7"/>
        <v>7752</v>
      </c>
      <c r="W61" s="28">
        <f t="shared" si="8"/>
        <v>3</v>
      </c>
      <c r="X61" s="45">
        <f t="shared" si="9"/>
        <v>-23</v>
      </c>
      <c r="Y61" s="199">
        <f t="shared" si="10"/>
        <v>-28</v>
      </c>
      <c r="Z61" s="38">
        <f t="shared" si="11"/>
        <v>-5</v>
      </c>
      <c r="AA61" s="39">
        <f t="shared" si="12"/>
        <v>-26</v>
      </c>
      <c r="AB61" s="58">
        <f t="shared" si="13"/>
        <v>-31</v>
      </c>
    </row>
    <row r="62" spans="1:28" s="1" customFormat="1" ht="30.75" x14ac:dyDescent="0.2">
      <c r="A62" s="11" t="s">
        <v>5</v>
      </c>
      <c r="B62" s="12" t="s">
        <v>24</v>
      </c>
      <c r="C62" s="12" t="s">
        <v>112</v>
      </c>
      <c r="D62" s="12" t="s">
        <v>62</v>
      </c>
      <c r="E62" s="12">
        <v>6287757</v>
      </c>
      <c r="F62" s="13">
        <v>7780</v>
      </c>
      <c r="G62" s="14">
        <v>45492</v>
      </c>
      <c r="H62" s="15" t="s">
        <v>7</v>
      </c>
      <c r="I62" s="16" t="s">
        <v>16</v>
      </c>
      <c r="J62" s="16">
        <v>6288024</v>
      </c>
      <c r="K62" s="17">
        <v>7790</v>
      </c>
      <c r="L62" s="18">
        <v>45492</v>
      </c>
      <c r="M62" s="19"/>
      <c r="N62" s="20" t="s">
        <v>101</v>
      </c>
      <c r="O62" s="20"/>
      <c r="P62" s="20">
        <v>25</v>
      </c>
      <c r="Q62" s="21">
        <v>45492</v>
      </c>
      <c r="R62" s="20">
        <v>55</v>
      </c>
      <c r="S62" s="22">
        <v>7734</v>
      </c>
      <c r="T62" s="23">
        <v>50</v>
      </c>
      <c r="V62" s="37">
        <f t="shared" si="7"/>
        <v>7730</v>
      </c>
      <c r="W62" s="28">
        <f t="shared" si="8"/>
        <v>-4</v>
      </c>
      <c r="X62" s="26">
        <f t="shared" si="9"/>
        <v>-60</v>
      </c>
      <c r="Y62" s="200">
        <f t="shared" si="10"/>
        <v>-50</v>
      </c>
      <c r="Z62" s="38">
        <f t="shared" si="11"/>
        <v>10</v>
      </c>
      <c r="AA62" s="39">
        <f t="shared" si="12"/>
        <v>-56</v>
      </c>
      <c r="AB62" s="58">
        <f t="shared" si="13"/>
        <v>-46</v>
      </c>
    </row>
    <row r="63" spans="1:28" s="1" customFormat="1" ht="30.75" x14ac:dyDescent="0.2">
      <c r="A63" s="11" t="s">
        <v>5</v>
      </c>
      <c r="B63" s="12" t="s">
        <v>19</v>
      </c>
      <c r="C63" s="12" t="s">
        <v>113</v>
      </c>
      <c r="D63" s="12" t="s">
        <v>62</v>
      </c>
      <c r="E63" s="12">
        <v>6286741</v>
      </c>
      <c r="F63" s="13">
        <v>7590</v>
      </c>
      <c r="G63" s="14">
        <v>45492</v>
      </c>
      <c r="H63" s="15" t="s">
        <v>7</v>
      </c>
      <c r="I63" s="16" t="s">
        <v>66</v>
      </c>
      <c r="J63" s="16">
        <v>6288478</v>
      </c>
      <c r="K63" s="17">
        <v>7590</v>
      </c>
      <c r="L63" s="18">
        <v>45492</v>
      </c>
      <c r="M63" s="19" t="s">
        <v>35</v>
      </c>
      <c r="N63" s="20" t="s">
        <v>79</v>
      </c>
      <c r="O63" s="20"/>
      <c r="P63" s="20">
        <v>24</v>
      </c>
      <c r="Q63" s="21">
        <v>45492</v>
      </c>
      <c r="R63" s="20">
        <v>310</v>
      </c>
      <c r="S63" s="22">
        <v>7585</v>
      </c>
      <c r="T63" s="23">
        <v>259</v>
      </c>
      <c r="V63" s="37">
        <f t="shared" si="7"/>
        <v>7579</v>
      </c>
      <c r="W63" s="28">
        <f t="shared" si="8"/>
        <v>-6</v>
      </c>
      <c r="X63" s="26">
        <f t="shared" si="9"/>
        <v>-11</v>
      </c>
      <c r="Y63" s="200">
        <f t="shared" si="10"/>
        <v>-11</v>
      </c>
      <c r="Z63" s="38">
        <f t="shared" si="11"/>
        <v>0</v>
      </c>
      <c r="AA63" s="39">
        <f t="shared" si="12"/>
        <v>-5</v>
      </c>
      <c r="AB63" s="58">
        <f t="shared" si="13"/>
        <v>-5</v>
      </c>
    </row>
    <row r="64" spans="1:28" s="1" customFormat="1" ht="30.75" x14ac:dyDescent="0.2">
      <c r="A64" s="11" t="s">
        <v>5</v>
      </c>
      <c r="B64" s="12" t="s">
        <v>21</v>
      </c>
      <c r="C64" s="12" t="s">
        <v>114</v>
      </c>
      <c r="D64" s="12" t="s">
        <v>62</v>
      </c>
      <c r="E64" s="12">
        <v>6288932</v>
      </c>
      <c r="F64" s="13">
        <v>7780</v>
      </c>
      <c r="G64" s="14">
        <v>45493</v>
      </c>
      <c r="H64" s="15" t="s">
        <v>7</v>
      </c>
      <c r="I64" s="16" t="s">
        <v>8</v>
      </c>
      <c r="J64" s="16">
        <v>6289766</v>
      </c>
      <c r="K64" s="17">
        <v>7770</v>
      </c>
      <c r="L64" s="18">
        <v>45495</v>
      </c>
      <c r="M64" s="19" t="s">
        <v>44</v>
      </c>
      <c r="N64" s="20" t="s">
        <v>115</v>
      </c>
      <c r="O64" s="20"/>
      <c r="P64" s="20">
        <v>25</v>
      </c>
      <c r="Q64" s="21">
        <v>45495</v>
      </c>
      <c r="R64" s="20">
        <v>310</v>
      </c>
      <c r="S64" s="22">
        <v>7780</v>
      </c>
      <c r="T64" s="23">
        <v>140</v>
      </c>
      <c r="V64" s="37">
        <f t="shared" si="7"/>
        <v>7765</v>
      </c>
      <c r="W64" s="24">
        <f t="shared" si="8"/>
        <v>-15</v>
      </c>
      <c r="X64" s="27">
        <f t="shared" si="9"/>
        <v>-5</v>
      </c>
      <c r="Y64" s="200">
        <f t="shared" si="10"/>
        <v>-15</v>
      </c>
      <c r="Z64" s="38">
        <f t="shared" si="11"/>
        <v>-10</v>
      </c>
      <c r="AA64" s="39">
        <f t="shared" si="12"/>
        <v>10</v>
      </c>
      <c r="AB64" s="58">
        <f t="shared" si="13"/>
        <v>0</v>
      </c>
    </row>
    <row r="65" spans="1:28" s="1" customFormat="1" ht="30.75" x14ac:dyDescent="0.2">
      <c r="A65" s="11" t="s">
        <v>5</v>
      </c>
      <c r="B65" s="12" t="s">
        <v>20</v>
      </c>
      <c r="C65" s="12" t="s">
        <v>116</v>
      </c>
      <c r="D65" s="12" t="s">
        <v>6</v>
      </c>
      <c r="E65" s="12">
        <v>6283063</v>
      </c>
      <c r="F65" s="13">
        <v>7770</v>
      </c>
      <c r="G65" s="14">
        <v>45485</v>
      </c>
      <c r="H65" s="15" t="s">
        <v>7</v>
      </c>
      <c r="I65" s="16" t="s">
        <v>16</v>
      </c>
      <c r="J65" s="16">
        <v>6289671</v>
      </c>
      <c r="K65" s="17">
        <v>7670</v>
      </c>
      <c r="L65" s="18">
        <v>45495</v>
      </c>
      <c r="M65" s="19" t="s">
        <v>44</v>
      </c>
      <c r="N65" s="20" t="s">
        <v>115</v>
      </c>
      <c r="O65" s="20"/>
      <c r="P65" s="20">
        <v>25</v>
      </c>
      <c r="Q65" s="21">
        <v>45495</v>
      </c>
      <c r="R65" s="20">
        <v>310</v>
      </c>
      <c r="S65" s="22">
        <v>7637</v>
      </c>
      <c r="T65" s="23">
        <v>5</v>
      </c>
      <c r="V65" s="37">
        <f t="shared" si="7"/>
        <v>7630</v>
      </c>
      <c r="W65" s="28">
        <f t="shared" si="8"/>
        <v>-7</v>
      </c>
      <c r="X65" s="45">
        <f t="shared" si="9"/>
        <v>-40</v>
      </c>
      <c r="Y65" s="199">
        <f t="shared" si="10"/>
        <v>-140</v>
      </c>
      <c r="Z65" s="38">
        <f t="shared" si="11"/>
        <v>-100</v>
      </c>
      <c r="AA65" s="39">
        <f t="shared" si="12"/>
        <v>-33</v>
      </c>
      <c r="AB65" s="58">
        <f t="shared" si="13"/>
        <v>-133</v>
      </c>
    </row>
    <row r="66" spans="1:28" s="1" customFormat="1" ht="30.75" x14ac:dyDescent="0.2">
      <c r="A66" s="11" t="s">
        <v>5</v>
      </c>
      <c r="B66" s="12" t="s">
        <v>24</v>
      </c>
      <c r="C66" s="12" t="s">
        <v>120</v>
      </c>
      <c r="D66" s="12" t="s">
        <v>6</v>
      </c>
      <c r="E66" s="12">
        <v>6288952</v>
      </c>
      <c r="F66" s="13">
        <v>7610</v>
      </c>
      <c r="G66" s="14">
        <v>45493</v>
      </c>
      <c r="H66" s="15" t="s">
        <v>7</v>
      </c>
      <c r="I66" s="16" t="s">
        <v>121</v>
      </c>
      <c r="J66" s="16">
        <v>6289886</v>
      </c>
      <c r="K66" s="17">
        <v>7625</v>
      </c>
      <c r="L66" s="18">
        <v>45495</v>
      </c>
      <c r="M66" s="19" t="s">
        <v>122</v>
      </c>
      <c r="N66" s="20" t="s">
        <v>115</v>
      </c>
      <c r="O66" s="20"/>
      <c r="P66" s="20">
        <v>24</v>
      </c>
      <c r="Q66" s="21">
        <v>45495</v>
      </c>
      <c r="R66" s="20">
        <v>310</v>
      </c>
      <c r="S66" s="22">
        <v>7620</v>
      </c>
      <c r="T66" s="23">
        <v>278</v>
      </c>
      <c r="V66" s="37">
        <f t="shared" si="7"/>
        <v>7598</v>
      </c>
      <c r="W66" s="46">
        <f t="shared" si="8"/>
        <v>-22</v>
      </c>
      <c r="X66" s="26">
        <f t="shared" si="9"/>
        <v>-27</v>
      </c>
      <c r="Y66" s="25">
        <f t="shared" si="10"/>
        <v>-12</v>
      </c>
      <c r="Z66" s="38">
        <f t="shared" si="11"/>
        <v>15</v>
      </c>
      <c r="AA66" s="39">
        <f t="shared" si="12"/>
        <v>-5</v>
      </c>
      <c r="AB66" s="58">
        <f t="shared" si="13"/>
        <v>10</v>
      </c>
    </row>
    <row r="67" spans="1:28" s="1" customFormat="1" ht="30.75" x14ac:dyDescent="0.2">
      <c r="A67" s="11" t="s">
        <v>5</v>
      </c>
      <c r="B67" s="12" t="s">
        <v>21</v>
      </c>
      <c r="C67" s="12" t="s">
        <v>196</v>
      </c>
      <c r="D67" s="12" t="s">
        <v>6</v>
      </c>
      <c r="E67" s="12">
        <v>6289583</v>
      </c>
      <c r="F67" s="13">
        <v>7780</v>
      </c>
      <c r="G67" s="14">
        <v>45492</v>
      </c>
      <c r="H67" s="15" t="s">
        <v>7</v>
      </c>
      <c r="I67" s="16" t="s">
        <v>66</v>
      </c>
      <c r="J67" s="16">
        <v>6288652</v>
      </c>
      <c r="K67" s="17">
        <v>7750</v>
      </c>
      <c r="L67" s="18">
        <v>45492</v>
      </c>
      <c r="M67" s="19"/>
      <c r="N67" s="20" t="s">
        <v>25</v>
      </c>
      <c r="O67" s="20"/>
      <c r="P67" s="20">
        <v>25</v>
      </c>
      <c r="Q67" s="21">
        <v>45493</v>
      </c>
      <c r="R67" s="20">
        <v>55</v>
      </c>
      <c r="S67" s="22">
        <v>7708</v>
      </c>
      <c r="T67" s="23">
        <v>27</v>
      </c>
      <c r="V67" s="37">
        <f t="shared" si="7"/>
        <v>7707</v>
      </c>
      <c r="W67" s="28">
        <f t="shared" si="8"/>
        <v>-1</v>
      </c>
      <c r="X67" s="45">
        <f t="shared" si="9"/>
        <v>-43</v>
      </c>
      <c r="Y67" s="199">
        <f t="shared" si="10"/>
        <v>-73</v>
      </c>
      <c r="Z67" s="38">
        <f t="shared" si="11"/>
        <v>-30</v>
      </c>
      <c r="AA67" s="39">
        <f t="shared" si="12"/>
        <v>-42</v>
      </c>
      <c r="AB67" s="58">
        <f t="shared" si="13"/>
        <v>-72</v>
      </c>
    </row>
    <row r="68" spans="1:28" s="1" customFormat="1" ht="30.75" x14ac:dyDescent="0.2">
      <c r="A68" s="11" t="s">
        <v>5</v>
      </c>
      <c r="B68" s="12" t="s">
        <v>19</v>
      </c>
      <c r="C68" s="12" t="s">
        <v>124</v>
      </c>
      <c r="D68" s="12" t="s">
        <v>62</v>
      </c>
      <c r="E68" s="12">
        <v>6288936</v>
      </c>
      <c r="F68" s="13">
        <v>7630</v>
      </c>
      <c r="G68" s="14">
        <v>45493</v>
      </c>
      <c r="H68" s="15" t="s">
        <v>7</v>
      </c>
      <c r="I68" s="16" t="s">
        <v>121</v>
      </c>
      <c r="J68" s="16">
        <v>6289724</v>
      </c>
      <c r="K68" s="17">
        <v>7630</v>
      </c>
      <c r="L68" s="18">
        <v>45495</v>
      </c>
      <c r="M68" s="19" t="s">
        <v>17</v>
      </c>
      <c r="N68" s="20" t="s">
        <v>79</v>
      </c>
      <c r="O68" s="20"/>
      <c r="P68" s="20">
        <v>25</v>
      </c>
      <c r="Q68" s="21">
        <v>45495</v>
      </c>
      <c r="R68" s="20">
        <v>310</v>
      </c>
      <c r="S68" s="22">
        <v>7653</v>
      </c>
      <c r="T68" s="23">
        <v>23</v>
      </c>
      <c r="V68" s="37">
        <f t="shared" si="7"/>
        <v>7648</v>
      </c>
      <c r="W68" s="28">
        <f t="shared" si="8"/>
        <v>-5</v>
      </c>
      <c r="X68" s="26">
        <f t="shared" si="9"/>
        <v>18</v>
      </c>
      <c r="Y68" s="200">
        <f t="shared" si="10"/>
        <v>18</v>
      </c>
      <c r="Z68" s="38">
        <f t="shared" si="11"/>
        <v>0</v>
      </c>
      <c r="AA68" s="39">
        <f t="shared" si="12"/>
        <v>23</v>
      </c>
      <c r="AB68" s="58">
        <f t="shared" si="13"/>
        <v>23</v>
      </c>
    </row>
    <row r="69" spans="1:28" s="1" customFormat="1" ht="30.75" x14ac:dyDescent="0.2">
      <c r="A69" s="11" t="s">
        <v>5</v>
      </c>
      <c r="B69" s="12" t="s">
        <v>20</v>
      </c>
      <c r="C69" s="12" t="s">
        <v>125</v>
      </c>
      <c r="D69" s="12" t="s">
        <v>6</v>
      </c>
      <c r="E69" s="12">
        <v>6287342</v>
      </c>
      <c r="F69" s="13">
        <v>7900</v>
      </c>
      <c r="G69" s="14">
        <v>45491</v>
      </c>
      <c r="H69" s="15" t="s">
        <v>7</v>
      </c>
      <c r="I69" s="16" t="s">
        <v>27</v>
      </c>
      <c r="J69" s="16">
        <v>6288809</v>
      </c>
      <c r="K69" s="17">
        <v>7799</v>
      </c>
      <c r="L69" s="18">
        <v>45493</v>
      </c>
      <c r="M69" s="19" t="s">
        <v>35</v>
      </c>
      <c r="N69" s="20" t="s">
        <v>36</v>
      </c>
      <c r="O69" s="20"/>
      <c r="P69" s="20">
        <v>25</v>
      </c>
      <c r="Q69" s="21">
        <v>45493</v>
      </c>
      <c r="R69" s="20">
        <v>55</v>
      </c>
      <c r="S69" s="22">
        <v>7778</v>
      </c>
      <c r="T69" s="23">
        <v>90</v>
      </c>
      <c r="V69" s="37">
        <f t="shared" si="7"/>
        <v>7770</v>
      </c>
      <c r="W69" s="28">
        <f t="shared" si="8"/>
        <v>-8</v>
      </c>
      <c r="X69" s="45">
        <f t="shared" si="9"/>
        <v>-29</v>
      </c>
      <c r="Y69" s="199">
        <f t="shared" si="10"/>
        <v>-130</v>
      </c>
      <c r="Z69" s="38">
        <f t="shared" si="11"/>
        <v>-101</v>
      </c>
      <c r="AA69" s="39">
        <f t="shared" si="12"/>
        <v>-21</v>
      </c>
      <c r="AB69" s="58">
        <f t="shared" si="13"/>
        <v>-122</v>
      </c>
    </row>
    <row r="70" spans="1:28" s="1" customFormat="1" ht="30.75" x14ac:dyDescent="0.2">
      <c r="A70" s="11" t="s">
        <v>5</v>
      </c>
      <c r="B70" s="12" t="s">
        <v>24</v>
      </c>
      <c r="C70" s="12" t="s">
        <v>134</v>
      </c>
      <c r="D70" s="12" t="s">
        <v>67</v>
      </c>
      <c r="E70" s="12">
        <v>6289694</v>
      </c>
      <c r="F70" s="13">
        <v>7690</v>
      </c>
      <c r="G70" s="14">
        <v>45495</v>
      </c>
      <c r="H70" s="15" t="s">
        <v>7</v>
      </c>
      <c r="I70" s="16" t="s">
        <v>16</v>
      </c>
      <c r="J70" s="16">
        <v>6290832</v>
      </c>
      <c r="K70" s="17">
        <v>7710</v>
      </c>
      <c r="L70" s="18">
        <v>45496</v>
      </c>
      <c r="M70" s="19" t="s">
        <v>44</v>
      </c>
      <c r="N70" s="20" t="s">
        <v>74</v>
      </c>
      <c r="O70" s="20"/>
      <c r="P70" s="20">
        <v>25</v>
      </c>
      <c r="Q70" s="21">
        <v>45496</v>
      </c>
      <c r="R70" s="20">
        <v>310</v>
      </c>
      <c r="S70" s="22">
        <v>7630</v>
      </c>
      <c r="T70" s="23">
        <v>100</v>
      </c>
      <c r="V70" s="37">
        <f t="shared" si="7"/>
        <v>7725</v>
      </c>
      <c r="W70" s="24">
        <f t="shared" si="8"/>
        <v>95</v>
      </c>
      <c r="X70" s="27">
        <f t="shared" si="9"/>
        <v>15</v>
      </c>
      <c r="Y70" s="200">
        <f t="shared" si="10"/>
        <v>35</v>
      </c>
      <c r="Z70" s="38">
        <f t="shared" si="11"/>
        <v>20</v>
      </c>
      <c r="AA70" s="39">
        <f t="shared" si="12"/>
        <v>-80</v>
      </c>
      <c r="AB70" s="58">
        <f t="shared" si="13"/>
        <v>-60</v>
      </c>
    </row>
    <row r="71" spans="1:28" s="1" customFormat="1" ht="30.75" x14ac:dyDescent="0.2">
      <c r="A71" s="11" t="s">
        <v>5</v>
      </c>
      <c r="B71" s="12" t="s">
        <v>21</v>
      </c>
      <c r="C71" s="12" t="s">
        <v>126</v>
      </c>
      <c r="D71" s="12" t="s">
        <v>127</v>
      </c>
      <c r="E71" s="12">
        <v>6289013</v>
      </c>
      <c r="F71" s="13">
        <v>7780</v>
      </c>
      <c r="G71" s="14">
        <v>45493</v>
      </c>
      <c r="H71" s="15" t="s">
        <v>7</v>
      </c>
      <c r="I71" s="16" t="s">
        <v>121</v>
      </c>
      <c r="J71" s="16">
        <v>6290124</v>
      </c>
      <c r="K71" s="17">
        <v>7720</v>
      </c>
      <c r="L71" s="18">
        <v>45495</v>
      </c>
      <c r="M71" s="19" t="s">
        <v>44</v>
      </c>
      <c r="N71" s="20" t="s">
        <v>25</v>
      </c>
      <c r="O71" s="20"/>
      <c r="P71" s="20">
        <v>25</v>
      </c>
      <c r="Q71" s="21">
        <v>45495</v>
      </c>
      <c r="R71" s="20">
        <v>55</v>
      </c>
      <c r="S71" s="22">
        <v>7722</v>
      </c>
      <c r="T71" s="23">
        <v>42</v>
      </c>
      <c r="V71" s="37">
        <f t="shared" si="7"/>
        <v>7722</v>
      </c>
      <c r="W71" s="28">
        <f t="shared" si="8"/>
        <v>0</v>
      </c>
      <c r="X71" s="45">
        <f t="shared" si="9"/>
        <v>2</v>
      </c>
      <c r="Y71" s="199">
        <f t="shared" si="10"/>
        <v>-58</v>
      </c>
      <c r="Z71" s="38">
        <f t="shared" si="11"/>
        <v>-60</v>
      </c>
      <c r="AA71" s="39">
        <f t="shared" si="12"/>
        <v>2</v>
      </c>
      <c r="AB71" s="58">
        <f t="shared" si="13"/>
        <v>-58</v>
      </c>
    </row>
    <row r="72" spans="1:28" s="1" customFormat="1" ht="30.75" x14ac:dyDescent="0.2">
      <c r="A72" s="11" t="s">
        <v>5</v>
      </c>
      <c r="B72" s="12" t="s">
        <v>19</v>
      </c>
      <c r="C72" s="12" t="s">
        <v>128</v>
      </c>
      <c r="D72" s="12" t="s">
        <v>62</v>
      </c>
      <c r="E72" s="12">
        <v>6290367</v>
      </c>
      <c r="F72" s="13">
        <v>7780</v>
      </c>
      <c r="G72" s="14">
        <v>45495</v>
      </c>
      <c r="H72" s="15" t="s">
        <v>7</v>
      </c>
      <c r="I72" s="16" t="s">
        <v>16</v>
      </c>
      <c r="J72" s="16">
        <v>6290752</v>
      </c>
      <c r="K72" s="17">
        <v>7770</v>
      </c>
      <c r="L72" s="18">
        <v>45496</v>
      </c>
      <c r="M72" s="19" t="s">
        <v>44</v>
      </c>
      <c r="N72" s="20" t="s">
        <v>74</v>
      </c>
      <c r="O72" s="20"/>
      <c r="P72" s="20">
        <v>25</v>
      </c>
      <c r="Q72" s="21">
        <v>45496</v>
      </c>
      <c r="R72" s="20">
        <v>55</v>
      </c>
      <c r="S72" s="22">
        <v>7690</v>
      </c>
      <c r="T72" s="23">
        <v>130</v>
      </c>
      <c r="V72" s="37">
        <f t="shared" si="7"/>
        <v>7810</v>
      </c>
      <c r="W72" s="24">
        <f t="shared" si="8"/>
        <v>120</v>
      </c>
      <c r="X72" s="45">
        <f t="shared" si="9"/>
        <v>40</v>
      </c>
      <c r="Y72" s="25">
        <f t="shared" si="10"/>
        <v>30</v>
      </c>
      <c r="Z72" s="38">
        <f t="shared" si="11"/>
        <v>-10</v>
      </c>
      <c r="AA72" s="39">
        <f t="shared" si="12"/>
        <v>-80</v>
      </c>
      <c r="AB72" s="58">
        <f t="shared" si="13"/>
        <v>-90</v>
      </c>
    </row>
    <row r="73" spans="1:28" s="1" customFormat="1" ht="30.75" x14ac:dyDescent="0.2">
      <c r="A73" s="11" t="s">
        <v>5</v>
      </c>
      <c r="B73" s="12" t="s">
        <v>24</v>
      </c>
      <c r="C73" s="12" t="s">
        <v>129</v>
      </c>
      <c r="D73" s="12" t="s">
        <v>46</v>
      </c>
      <c r="E73" s="12">
        <v>6289871</v>
      </c>
      <c r="F73" s="13">
        <v>7780</v>
      </c>
      <c r="G73" s="14">
        <v>45495</v>
      </c>
      <c r="H73" s="15" t="s">
        <v>7</v>
      </c>
      <c r="I73" s="16" t="s">
        <v>27</v>
      </c>
      <c r="J73" s="16">
        <v>6290541</v>
      </c>
      <c r="K73" s="17">
        <v>7790</v>
      </c>
      <c r="L73" s="18">
        <v>45495</v>
      </c>
      <c r="M73" s="19" t="s">
        <v>44</v>
      </c>
      <c r="N73" s="20" t="s">
        <v>25</v>
      </c>
      <c r="O73" s="20"/>
      <c r="P73" s="20">
        <v>25</v>
      </c>
      <c r="Q73" s="21">
        <v>45495</v>
      </c>
      <c r="R73" s="20">
        <v>55</v>
      </c>
      <c r="S73" s="22">
        <v>7795</v>
      </c>
      <c r="T73" s="23">
        <v>115</v>
      </c>
      <c r="V73" s="37">
        <f t="shared" si="7"/>
        <v>7795</v>
      </c>
      <c r="W73" s="28">
        <f t="shared" si="8"/>
        <v>0</v>
      </c>
      <c r="X73" s="45">
        <f t="shared" si="9"/>
        <v>5</v>
      </c>
      <c r="Y73" s="199">
        <f t="shared" si="10"/>
        <v>15</v>
      </c>
      <c r="Z73" s="38">
        <f t="shared" si="11"/>
        <v>10</v>
      </c>
      <c r="AA73" s="39">
        <f t="shared" si="12"/>
        <v>5</v>
      </c>
      <c r="AB73" s="58">
        <f t="shared" si="13"/>
        <v>15</v>
      </c>
    </row>
    <row r="74" spans="1:28" s="1" customFormat="1" ht="30.75" x14ac:dyDescent="0.2">
      <c r="A74" s="11" t="s">
        <v>5</v>
      </c>
      <c r="B74" s="12" t="s">
        <v>19</v>
      </c>
      <c r="C74" s="12" t="s">
        <v>130</v>
      </c>
      <c r="D74" s="12" t="s">
        <v>46</v>
      </c>
      <c r="E74" s="12">
        <v>6289881</v>
      </c>
      <c r="F74" s="13">
        <v>7780</v>
      </c>
      <c r="G74" s="14">
        <v>45495</v>
      </c>
      <c r="H74" s="15" t="s">
        <v>7</v>
      </c>
      <c r="I74" s="16" t="s">
        <v>27</v>
      </c>
      <c r="J74" s="16">
        <v>6290692</v>
      </c>
      <c r="K74" s="17">
        <v>7772</v>
      </c>
      <c r="L74" s="18">
        <v>45495</v>
      </c>
      <c r="M74" s="19" t="s">
        <v>17</v>
      </c>
      <c r="N74" s="20" t="s">
        <v>18</v>
      </c>
      <c r="O74" s="20"/>
      <c r="P74" s="20">
        <v>25</v>
      </c>
      <c r="Q74" s="21">
        <v>45496</v>
      </c>
      <c r="R74" s="20">
        <v>55</v>
      </c>
      <c r="S74" s="22">
        <v>7795</v>
      </c>
      <c r="T74" s="23">
        <v>115</v>
      </c>
      <c r="V74" s="37">
        <f t="shared" si="7"/>
        <v>7795</v>
      </c>
      <c r="W74" s="28">
        <f t="shared" si="8"/>
        <v>0</v>
      </c>
      <c r="X74" s="26">
        <f t="shared" si="9"/>
        <v>23</v>
      </c>
      <c r="Y74" s="200">
        <f t="shared" si="10"/>
        <v>15</v>
      </c>
      <c r="Z74" s="38">
        <f t="shared" si="11"/>
        <v>-8</v>
      </c>
      <c r="AA74" s="39">
        <f t="shared" si="12"/>
        <v>23</v>
      </c>
      <c r="AB74" s="58">
        <f t="shared" si="13"/>
        <v>15</v>
      </c>
    </row>
    <row r="75" spans="1:28" s="1" customFormat="1" ht="30.75" x14ac:dyDescent="0.2">
      <c r="A75" s="11" t="s">
        <v>5</v>
      </c>
      <c r="B75" s="12" t="s">
        <v>24</v>
      </c>
      <c r="C75" s="12" t="s">
        <v>131</v>
      </c>
      <c r="D75" s="12" t="s">
        <v>67</v>
      </c>
      <c r="E75" s="12">
        <v>6290783</v>
      </c>
      <c r="F75" s="13">
        <v>7780</v>
      </c>
      <c r="G75" s="14">
        <v>45496</v>
      </c>
      <c r="H75" s="15" t="s">
        <v>7</v>
      </c>
      <c r="I75" s="16" t="s">
        <v>16</v>
      </c>
      <c r="J75" s="16">
        <v>6290876</v>
      </c>
      <c r="K75" s="17">
        <v>7740</v>
      </c>
      <c r="L75" s="18">
        <v>45496</v>
      </c>
      <c r="M75" s="19" t="s">
        <v>17</v>
      </c>
      <c r="N75" s="20" t="s">
        <v>18</v>
      </c>
      <c r="O75" s="20"/>
      <c r="P75" s="20">
        <v>25</v>
      </c>
      <c r="Q75" s="21">
        <v>45496</v>
      </c>
      <c r="R75" s="20">
        <v>55</v>
      </c>
      <c r="S75" s="22">
        <v>7777</v>
      </c>
      <c r="T75" s="23">
        <v>70</v>
      </c>
      <c r="V75" s="37">
        <f t="shared" si="7"/>
        <v>7750</v>
      </c>
      <c r="W75" s="46">
        <f t="shared" si="8"/>
        <v>-27</v>
      </c>
      <c r="X75" s="27">
        <f t="shared" si="9"/>
        <v>10</v>
      </c>
      <c r="Y75" s="199">
        <f t="shared" si="10"/>
        <v>-30</v>
      </c>
      <c r="Z75" s="38">
        <f t="shared" si="11"/>
        <v>-40</v>
      </c>
      <c r="AA75" s="39">
        <f t="shared" si="12"/>
        <v>37</v>
      </c>
      <c r="AB75" s="58">
        <f t="shared" si="13"/>
        <v>-3</v>
      </c>
    </row>
    <row r="76" spans="1:28" s="1" customFormat="1" ht="30.75" x14ac:dyDescent="0.2">
      <c r="A76" s="11" t="s">
        <v>5</v>
      </c>
      <c r="B76" s="12" t="s">
        <v>19</v>
      </c>
      <c r="C76" s="12" t="s">
        <v>132</v>
      </c>
      <c r="D76" s="12" t="s">
        <v>46</v>
      </c>
      <c r="E76" s="12">
        <v>6290051</v>
      </c>
      <c r="F76" s="13">
        <v>7780</v>
      </c>
      <c r="G76" s="14">
        <v>45495</v>
      </c>
      <c r="H76" s="15" t="s">
        <v>7</v>
      </c>
      <c r="I76" s="16" t="s">
        <v>27</v>
      </c>
      <c r="J76" s="16">
        <v>6290587</v>
      </c>
      <c r="K76" s="17">
        <v>7770</v>
      </c>
      <c r="L76" s="18">
        <v>45495</v>
      </c>
      <c r="M76" s="19" t="s">
        <v>17</v>
      </c>
      <c r="N76" s="20" t="s">
        <v>36</v>
      </c>
      <c r="O76" s="20"/>
      <c r="P76" s="20">
        <v>25</v>
      </c>
      <c r="Q76" s="21">
        <v>45495</v>
      </c>
      <c r="R76" s="20">
        <v>55</v>
      </c>
      <c r="S76" s="22">
        <v>7790</v>
      </c>
      <c r="T76" s="23">
        <v>95</v>
      </c>
      <c r="V76" s="37">
        <f t="shared" si="7"/>
        <v>7775</v>
      </c>
      <c r="W76" s="24">
        <f t="shared" si="8"/>
        <v>-15</v>
      </c>
      <c r="X76" s="27">
        <f t="shared" si="9"/>
        <v>5</v>
      </c>
      <c r="Y76" s="200">
        <f t="shared" si="10"/>
        <v>-5</v>
      </c>
      <c r="Z76" s="38">
        <f t="shared" si="11"/>
        <v>-10</v>
      </c>
      <c r="AA76" s="39">
        <f t="shared" si="12"/>
        <v>20</v>
      </c>
      <c r="AB76" s="58">
        <f t="shared" si="13"/>
        <v>10</v>
      </c>
    </row>
    <row r="77" spans="1:28" s="1" customFormat="1" ht="30.75" x14ac:dyDescent="0.2">
      <c r="A77" s="11" t="s">
        <v>5</v>
      </c>
      <c r="B77" s="12" t="s">
        <v>19</v>
      </c>
      <c r="C77" s="12" t="s">
        <v>133</v>
      </c>
      <c r="D77" s="12" t="s">
        <v>67</v>
      </c>
      <c r="E77" s="12">
        <v>6290785</v>
      </c>
      <c r="F77" s="13">
        <v>7780</v>
      </c>
      <c r="G77" s="14">
        <v>45496</v>
      </c>
      <c r="H77" s="15" t="s">
        <v>7</v>
      </c>
      <c r="I77" s="16" t="s">
        <v>16</v>
      </c>
      <c r="J77" s="16">
        <v>6290973</v>
      </c>
      <c r="K77" s="17">
        <v>7800</v>
      </c>
      <c r="L77" s="18">
        <v>45496</v>
      </c>
      <c r="M77" s="19" t="s">
        <v>17</v>
      </c>
      <c r="N77" s="20" t="s">
        <v>79</v>
      </c>
      <c r="O77" s="20"/>
      <c r="P77" s="20">
        <v>25</v>
      </c>
      <c r="Q77" s="21">
        <v>45496</v>
      </c>
      <c r="R77" s="20">
        <v>55</v>
      </c>
      <c r="S77" s="22">
        <v>7826</v>
      </c>
      <c r="T77" s="23">
        <v>70</v>
      </c>
      <c r="V77" s="37">
        <f t="shared" si="7"/>
        <v>7750</v>
      </c>
      <c r="W77" s="24">
        <f t="shared" si="8"/>
        <v>-76</v>
      </c>
      <c r="X77" s="45">
        <f t="shared" si="9"/>
        <v>-50</v>
      </c>
      <c r="Y77" s="25">
        <f t="shared" si="10"/>
        <v>-30</v>
      </c>
      <c r="Z77" s="38">
        <f t="shared" si="11"/>
        <v>20</v>
      </c>
      <c r="AA77" s="39">
        <f t="shared" si="12"/>
        <v>26</v>
      </c>
      <c r="AB77" s="58">
        <f t="shared" si="13"/>
        <v>46</v>
      </c>
    </row>
    <row r="78" spans="1:28" s="1" customFormat="1" ht="30.75" x14ac:dyDescent="0.2">
      <c r="A78" s="11" t="s">
        <v>5</v>
      </c>
      <c r="B78" s="12" t="s">
        <v>24</v>
      </c>
      <c r="C78" s="12" t="s">
        <v>156</v>
      </c>
      <c r="D78" s="12" t="s">
        <v>46</v>
      </c>
      <c r="E78" s="12">
        <v>6291469</v>
      </c>
      <c r="F78" s="13">
        <v>7600</v>
      </c>
      <c r="G78" s="14">
        <v>45495</v>
      </c>
      <c r="H78" s="15" t="s">
        <v>7</v>
      </c>
      <c r="I78" s="16" t="s">
        <v>16</v>
      </c>
      <c r="J78" s="16">
        <v>6291898</v>
      </c>
      <c r="K78" s="17">
        <v>7610</v>
      </c>
      <c r="L78" s="18">
        <v>45497</v>
      </c>
      <c r="M78" s="19" t="s">
        <v>35</v>
      </c>
      <c r="N78" s="20" t="s">
        <v>74</v>
      </c>
      <c r="O78" s="20">
        <v>15</v>
      </c>
      <c r="P78" s="20"/>
      <c r="Q78" s="21">
        <v>45497</v>
      </c>
      <c r="R78" s="20">
        <v>500</v>
      </c>
      <c r="S78" s="22">
        <v>7500</v>
      </c>
      <c r="T78" s="23">
        <v>100</v>
      </c>
      <c r="V78" s="37">
        <f t="shared" si="7"/>
        <v>7600</v>
      </c>
      <c r="W78" s="24">
        <f t="shared" si="8"/>
        <v>100</v>
      </c>
      <c r="X78" s="45">
        <f t="shared" si="9"/>
        <v>-10</v>
      </c>
      <c r="Y78" s="25">
        <f t="shared" si="10"/>
        <v>0</v>
      </c>
      <c r="Z78" s="38">
        <f t="shared" si="11"/>
        <v>10</v>
      </c>
      <c r="AA78" s="39">
        <f t="shared" si="12"/>
        <v>-110</v>
      </c>
      <c r="AB78" s="58">
        <f t="shared" si="13"/>
        <v>-100</v>
      </c>
    </row>
    <row r="79" spans="1:28" s="1" customFormat="1" ht="30.75" x14ac:dyDescent="0.2">
      <c r="A79" s="11" t="s">
        <v>5</v>
      </c>
      <c r="B79" s="12" t="s">
        <v>24</v>
      </c>
      <c r="C79" s="12" t="s">
        <v>158</v>
      </c>
      <c r="D79" s="12" t="s">
        <v>46</v>
      </c>
      <c r="E79" s="12">
        <v>6291129</v>
      </c>
      <c r="F79" s="13">
        <v>7780</v>
      </c>
      <c r="G79" s="14">
        <v>45496</v>
      </c>
      <c r="H79" s="15" t="s">
        <v>7</v>
      </c>
      <c r="I79" s="16" t="s">
        <v>27</v>
      </c>
      <c r="J79" s="16">
        <v>6291705</v>
      </c>
      <c r="K79" s="17">
        <v>7765</v>
      </c>
      <c r="L79" s="18">
        <v>45496</v>
      </c>
      <c r="M79" s="19" t="s">
        <v>35</v>
      </c>
      <c r="N79" s="20" t="s">
        <v>36</v>
      </c>
      <c r="O79" s="20">
        <v>15</v>
      </c>
      <c r="P79" s="20"/>
      <c r="Q79" s="21">
        <v>45496</v>
      </c>
      <c r="R79" s="20">
        <v>55</v>
      </c>
      <c r="S79" s="22">
        <v>7747</v>
      </c>
      <c r="T79" s="23">
        <v>185</v>
      </c>
      <c r="V79" s="37">
        <f t="shared" si="7"/>
        <v>7740</v>
      </c>
      <c r="W79" s="28">
        <f t="shared" si="8"/>
        <v>-7</v>
      </c>
      <c r="X79" s="45">
        <f t="shared" si="9"/>
        <v>-25</v>
      </c>
      <c r="Y79" s="199">
        <f t="shared" si="10"/>
        <v>-40</v>
      </c>
      <c r="Z79" s="38">
        <f t="shared" si="11"/>
        <v>-15</v>
      </c>
      <c r="AA79" s="39">
        <f t="shared" si="12"/>
        <v>-18</v>
      </c>
      <c r="AB79" s="58">
        <f t="shared" si="13"/>
        <v>-33</v>
      </c>
    </row>
    <row r="80" spans="1:28" s="1" customFormat="1" ht="30.75" x14ac:dyDescent="0.4">
      <c r="A80" s="11" t="s">
        <v>5</v>
      </c>
      <c r="B80" s="12" t="s">
        <v>24</v>
      </c>
      <c r="C80" s="12" t="s">
        <v>159</v>
      </c>
      <c r="D80" s="12" t="s">
        <v>46</v>
      </c>
      <c r="E80" s="12">
        <v>6291380</v>
      </c>
      <c r="F80" s="13">
        <v>7780</v>
      </c>
      <c r="G80" s="14">
        <v>45496</v>
      </c>
      <c r="H80" s="15" t="s">
        <v>7</v>
      </c>
      <c r="I80" s="16" t="s">
        <v>27</v>
      </c>
      <c r="J80" s="142">
        <v>6291658</v>
      </c>
      <c r="K80" s="17">
        <v>7785</v>
      </c>
      <c r="L80" s="18">
        <v>45496</v>
      </c>
      <c r="M80" s="19" t="s">
        <v>44</v>
      </c>
      <c r="N80" s="20" t="s">
        <v>25</v>
      </c>
      <c r="O80" s="20">
        <v>15</v>
      </c>
      <c r="P80" s="20"/>
      <c r="Q80" s="21">
        <v>45496</v>
      </c>
      <c r="R80" s="20">
        <v>55</v>
      </c>
      <c r="S80" s="22">
        <v>7795</v>
      </c>
      <c r="T80" s="23">
        <v>240</v>
      </c>
      <c r="V80" s="37">
        <f t="shared" si="7"/>
        <v>7795</v>
      </c>
      <c r="W80" s="28">
        <f t="shared" si="8"/>
        <v>0</v>
      </c>
      <c r="X80" s="45">
        <f t="shared" si="9"/>
        <v>10</v>
      </c>
      <c r="Y80" s="199">
        <f t="shared" si="10"/>
        <v>15</v>
      </c>
      <c r="Z80" s="38">
        <f t="shared" si="11"/>
        <v>5</v>
      </c>
      <c r="AA80" s="39">
        <f t="shared" si="12"/>
        <v>10</v>
      </c>
      <c r="AB80" s="58">
        <f t="shared" si="13"/>
        <v>15</v>
      </c>
    </row>
    <row r="81" spans="1:28" s="1" customFormat="1" ht="30.75" x14ac:dyDescent="0.2">
      <c r="A81" s="11" t="s">
        <v>5</v>
      </c>
      <c r="B81" s="12" t="s">
        <v>24</v>
      </c>
      <c r="C81" s="12" t="s">
        <v>134</v>
      </c>
      <c r="D81" s="12" t="s">
        <v>67</v>
      </c>
      <c r="E81" s="12">
        <v>6290838</v>
      </c>
      <c r="F81" s="13">
        <v>7680</v>
      </c>
      <c r="G81" s="14">
        <v>45496</v>
      </c>
      <c r="H81" s="15" t="s">
        <v>7</v>
      </c>
      <c r="I81" s="16" t="s">
        <v>63</v>
      </c>
      <c r="J81" s="16">
        <v>6292805</v>
      </c>
      <c r="K81" s="17">
        <v>7700</v>
      </c>
      <c r="L81" s="18">
        <v>45497</v>
      </c>
      <c r="M81" s="19" t="s">
        <v>35</v>
      </c>
      <c r="N81" s="20" t="s">
        <v>36</v>
      </c>
      <c r="O81" s="20">
        <v>15</v>
      </c>
      <c r="P81" s="20"/>
      <c r="Q81" s="21">
        <v>45497</v>
      </c>
      <c r="R81" s="20">
        <v>500</v>
      </c>
      <c r="S81" s="22">
        <v>7687</v>
      </c>
      <c r="T81" s="23">
        <v>187</v>
      </c>
      <c r="V81" s="37">
        <f t="shared" si="7"/>
        <v>7687</v>
      </c>
      <c r="W81" s="28">
        <f t="shared" si="8"/>
        <v>0</v>
      </c>
      <c r="X81" s="26">
        <f t="shared" si="9"/>
        <v>-13</v>
      </c>
      <c r="Y81" s="200">
        <f t="shared" si="10"/>
        <v>7</v>
      </c>
      <c r="Z81" s="38">
        <f t="shared" si="11"/>
        <v>20</v>
      </c>
      <c r="AA81" s="39">
        <f t="shared" si="12"/>
        <v>-13</v>
      </c>
      <c r="AB81" s="58">
        <f t="shared" si="13"/>
        <v>7</v>
      </c>
    </row>
    <row r="82" spans="1:28" s="1" customFormat="1" ht="30.75" x14ac:dyDescent="0.2">
      <c r="A82" s="11" t="s">
        <v>5</v>
      </c>
      <c r="B82" s="12" t="s">
        <v>20</v>
      </c>
      <c r="C82" s="12" t="s">
        <v>173</v>
      </c>
      <c r="D82" s="12" t="s">
        <v>6</v>
      </c>
      <c r="E82" s="12">
        <v>6288855</v>
      </c>
      <c r="F82" s="13">
        <v>7880</v>
      </c>
      <c r="G82" s="14">
        <v>45493</v>
      </c>
      <c r="H82" s="15" t="s">
        <v>7</v>
      </c>
      <c r="I82" s="16" t="s">
        <v>32</v>
      </c>
      <c r="J82" s="16">
        <v>6289029</v>
      </c>
      <c r="K82" s="17">
        <v>7800</v>
      </c>
      <c r="L82" s="18">
        <v>45493</v>
      </c>
      <c r="M82" s="19" t="s">
        <v>44</v>
      </c>
      <c r="N82" s="20" t="s">
        <v>115</v>
      </c>
      <c r="O82" s="20"/>
      <c r="P82" s="20">
        <v>25</v>
      </c>
      <c r="Q82" s="21">
        <v>45497</v>
      </c>
      <c r="R82" s="20">
        <v>55</v>
      </c>
      <c r="S82" s="22">
        <v>7630</v>
      </c>
      <c r="T82" s="23">
        <v>90</v>
      </c>
      <c r="V82" s="37">
        <f t="shared" si="7"/>
        <v>7770</v>
      </c>
      <c r="W82" s="24">
        <f t="shared" si="8"/>
        <v>140</v>
      </c>
      <c r="X82" s="27">
        <f t="shared" si="9"/>
        <v>-30</v>
      </c>
      <c r="Y82" s="200">
        <f t="shared" si="10"/>
        <v>-110</v>
      </c>
      <c r="Z82" s="38">
        <f t="shared" si="11"/>
        <v>-80</v>
      </c>
      <c r="AA82" s="39">
        <f t="shared" si="12"/>
        <v>-170</v>
      </c>
      <c r="AB82" s="58">
        <f t="shared" si="13"/>
        <v>-250</v>
      </c>
    </row>
    <row r="83" spans="1:28" s="1" customFormat="1" ht="30.75" x14ac:dyDescent="0.2">
      <c r="A83" s="11" t="s">
        <v>5</v>
      </c>
      <c r="B83" s="12" t="s">
        <v>24</v>
      </c>
      <c r="C83" s="12" t="s">
        <v>176</v>
      </c>
      <c r="D83" s="12" t="s">
        <v>127</v>
      </c>
      <c r="E83" s="12">
        <v>6291966</v>
      </c>
      <c r="F83" s="13">
        <v>7730</v>
      </c>
      <c r="G83" s="14">
        <v>45497</v>
      </c>
      <c r="H83" s="15" t="s">
        <v>7</v>
      </c>
      <c r="I83" s="16" t="s">
        <v>63</v>
      </c>
      <c r="J83" s="16">
        <v>6292655</v>
      </c>
      <c r="K83" s="17">
        <v>7736</v>
      </c>
      <c r="L83" s="18">
        <v>45497</v>
      </c>
      <c r="M83" s="19" t="s">
        <v>35</v>
      </c>
      <c r="N83" s="20" t="s">
        <v>36</v>
      </c>
      <c r="O83" s="20">
        <v>15</v>
      </c>
      <c r="P83" s="20"/>
      <c r="Q83" s="21">
        <v>45497</v>
      </c>
      <c r="R83" s="20">
        <v>500</v>
      </c>
      <c r="S83" s="22">
        <v>7727</v>
      </c>
      <c r="T83" s="23">
        <v>117</v>
      </c>
      <c r="V83" s="37">
        <f t="shared" si="7"/>
        <v>7617</v>
      </c>
      <c r="W83" s="28">
        <f t="shared" si="8"/>
        <v>-110</v>
      </c>
      <c r="X83" s="26">
        <f t="shared" si="9"/>
        <v>-119</v>
      </c>
      <c r="Y83" s="200">
        <f t="shared" si="10"/>
        <v>-113</v>
      </c>
      <c r="Z83" s="38">
        <f t="shared" si="11"/>
        <v>6</v>
      </c>
      <c r="AA83" s="39">
        <f t="shared" si="12"/>
        <v>-9</v>
      </c>
      <c r="AB83" s="58">
        <f t="shared" si="13"/>
        <v>-3</v>
      </c>
    </row>
    <row r="84" spans="1:28" s="1" customFormat="1" ht="30.75" x14ac:dyDescent="0.2">
      <c r="A84" s="11" t="s">
        <v>5</v>
      </c>
      <c r="B84" s="12" t="s">
        <v>19</v>
      </c>
      <c r="C84" s="12" t="s">
        <v>64</v>
      </c>
      <c r="D84" s="12" t="s">
        <v>6</v>
      </c>
      <c r="E84" s="12">
        <v>6293828</v>
      </c>
      <c r="F84" s="13">
        <v>7450</v>
      </c>
      <c r="G84" s="14">
        <v>45493</v>
      </c>
      <c r="H84" s="15" t="s">
        <v>7</v>
      </c>
      <c r="I84" s="16" t="s">
        <v>27</v>
      </c>
      <c r="J84" s="16">
        <v>6293828</v>
      </c>
      <c r="K84" s="17">
        <v>7340</v>
      </c>
      <c r="L84" s="18">
        <v>45498</v>
      </c>
      <c r="M84" s="19" t="s">
        <v>39</v>
      </c>
      <c r="N84" s="20" t="s">
        <v>18</v>
      </c>
      <c r="O84" s="20">
        <v>14</v>
      </c>
      <c r="P84" s="20"/>
      <c r="Q84" s="21">
        <v>45499</v>
      </c>
      <c r="R84" s="20">
        <v>501</v>
      </c>
      <c r="S84" s="22">
        <v>7357</v>
      </c>
      <c r="T84" s="23">
        <v>357</v>
      </c>
      <c r="V84" s="37">
        <f t="shared" si="7"/>
        <v>7357</v>
      </c>
      <c r="W84" s="28">
        <f t="shared" si="8"/>
        <v>0</v>
      </c>
      <c r="X84" s="45">
        <f t="shared" si="9"/>
        <v>17</v>
      </c>
      <c r="Y84" s="199">
        <f t="shared" si="10"/>
        <v>-93</v>
      </c>
      <c r="Z84" s="38">
        <f t="shared" si="11"/>
        <v>-110</v>
      </c>
      <c r="AA84" s="39">
        <f t="shared" si="12"/>
        <v>17</v>
      </c>
      <c r="AB84" s="58">
        <f t="shared" si="13"/>
        <v>-93</v>
      </c>
    </row>
    <row r="85" spans="1:28" s="1" customFormat="1" ht="30.75" x14ac:dyDescent="0.2">
      <c r="A85" s="11" t="s">
        <v>5</v>
      </c>
      <c r="B85" s="12" t="s">
        <v>24</v>
      </c>
      <c r="C85" s="12" t="s">
        <v>179</v>
      </c>
      <c r="D85" s="12" t="s">
        <v>62</v>
      </c>
      <c r="E85" s="12">
        <v>6291702</v>
      </c>
      <c r="F85" s="13">
        <v>7750</v>
      </c>
      <c r="G85" s="14">
        <v>45496</v>
      </c>
      <c r="H85" s="15" t="s">
        <v>7</v>
      </c>
      <c r="I85" s="16" t="s">
        <v>8</v>
      </c>
      <c r="J85" s="16">
        <v>6293642</v>
      </c>
      <c r="K85" s="17">
        <v>7760</v>
      </c>
      <c r="L85" s="18">
        <v>45498</v>
      </c>
      <c r="M85" s="19" t="s">
        <v>39</v>
      </c>
      <c r="N85" s="20" t="s">
        <v>41</v>
      </c>
      <c r="O85" s="20">
        <v>15</v>
      </c>
      <c r="P85" s="20"/>
      <c r="Q85" s="21">
        <v>45498</v>
      </c>
      <c r="R85" s="20">
        <v>501</v>
      </c>
      <c r="S85" s="22">
        <v>7776</v>
      </c>
      <c r="T85" s="23">
        <v>270</v>
      </c>
      <c r="V85" s="37">
        <f t="shared" si="7"/>
        <v>7770</v>
      </c>
      <c r="W85" s="28">
        <f t="shared" si="8"/>
        <v>-6</v>
      </c>
      <c r="X85" s="45">
        <f t="shared" si="9"/>
        <v>10</v>
      </c>
      <c r="Y85" s="199">
        <f t="shared" si="10"/>
        <v>20</v>
      </c>
      <c r="Z85" s="38">
        <f t="shared" si="11"/>
        <v>10</v>
      </c>
      <c r="AA85" s="39">
        <f t="shared" si="12"/>
        <v>16</v>
      </c>
      <c r="AB85" s="58">
        <f t="shared" si="13"/>
        <v>26</v>
      </c>
    </row>
    <row r="86" spans="1:28" s="1" customFormat="1" ht="30.75" x14ac:dyDescent="0.2">
      <c r="A86" s="11" t="s">
        <v>5</v>
      </c>
      <c r="B86" s="12" t="s">
        <v>19</v>
      </c>
      <c r="C86" s="12" t="s">
        <v>194</v>
      </c>
      <c r="D86" s="12" t="s">
        <v>46</v>
      </c>
      <c r="E86" s="12">
        <v>6291462</v>
      </c>
      <c r="F86" s="13">
        <v>7590</v>
      </c>
      <c r="G86" s="14">
        <v>45496</v>
      </c>
      <c r="H86" s="15" t="s">
        <v>7</v>
      </c>
      <c r="I86" s="16" t="s">
        <v>63</v>
      </c>
      <c r="J86" s="16">
        <v>6296128</v>
      </c>
      <c r="K86" s="17">
        <v>7603</v>
      </c>
      <c r="L86" s="18">
        <v>45500</v>
      </c>
      <c r="M86" s="19" t="s">
        <v>35</v>
      </c>
      <c r="N86" s="20" t="s">
        <v>36</v>
      </c>
      <c r="O86" s="20">
        <v>15</v>
      </c>
      <c r="P86" s="20"/>
      <c r="Q86" s="21">
        <v>45500</v>
      </c>
      <c r="R86" s="20">
        <v>500</v>
      </c>
      <c r="S86" s="22">
        <v>7541</v>
      </c>
      <c r="T86" s="23">
        <v>60</v>
      </c>
      <c r="V86" s="37">
        <f t="shared" si="7"/>
        <v>7560</v>
      </c>
      <c r="W86" s="28">
        <f t="shared" si="8"/>
        <v>19</v>
      </c>
      <c r="X86" s="26">
        <f t="shared" si="9"/>
        <v>-43</v>
      </c>
      <c r="Y86" s="200">
        <f t="shared" si="10"/>
        <v>-30</v>
      </c>
      <c r="Z86" s="38">
        <f t="shared" si="11"/>
        <v>13</v>
      </c>
      <c r="AA86" s="39">
        <f t="shared" si="12"/>
        <v>-62</v>
      </c>
      <c r="AB86" s="58">
        <f t="shared" si="13"/>
        <v>-49</v>
      </c>
    </row>
    <row r="87" spans="1:28" s="1" customFormat="1" ht="30.75" x14ac:dyDescent="0.2">
      <c r="A87" s="11" t="s">
        <v>5</v>
      </c>
      <c r="B87" s="12" t="s">
        <v>19</v>
      </c>
      <c r="C87" s="12" t="s">
        <v>187</v>
      </c>
      <c r="D87" s="12" t="s">
        <v>62</v>
      </c>
      <c r="E87" s="12">
        <v>6295026</v>
      </c>
      <c r="F87" s="13">
        <v>8025</v>
      </c>
      <c r="G87" s="14">
        <v>45499</v>
      </c>
      <c r="H87" s="15" t="s">
        <v>7</v>
      </c>
      <c r="I87" s="16" t="s">
        <v>16</v>
      </c>
      <c r="J87" s="16">
        <v>6295266</v>
      </c>
      <c r="K87" s="17">
        <v>8020</v>
      </c>
      <c r="L87" s="18">
        <v>45500</v>
      </c>
      <c r="M87" s="19" t="s">
        <v>39</v>
      </c>
      <c r="N87" s="20" t="s">
        <v>18</v>
      </c>
      <c r="O87" s="20">
        <v>15</v>
      </c>
      <c r="P87" s="20"/>
      <c r="Q87" s="21">
        <v>45500</v>
      </c>
      <c r="R87" s="20">
        <v>55</v>
      </c>
      <c r="S87" s="22">
        <v>8035</v>
      </c>
      <c r="T87" s="23">
        <v>425</v>
      </c>
      <c r="V87" s="37">
        <f t="shared" si="7"/>
        <v>7980</v>
      </c>
      <c r="W87" s="24">
        <f t="shared" si="8"/>
        <v>-55</v>
      </c>
      <c r="X87" s="27">
        <f t="shared" si="9"/>
        <v>-40</v>
      </c>
      <c r="Y87" s="200">
        <f t="shared" si="10"/>
        <v>-45</v>
      </c>
      <c r="Z87" s="38">
        <f t="shared" si="11"/>
        <v>-5</v>
      </c>
      <c r="AA87" s="39">
        <f t="shared" si="12"/>
        <v>15</v>
      </c>
      <c r="AB87" s="58">
        <f t="shared" si="13"/>
        <v>10</v>
      </c>
    </row>
    <row r="88" spans="1:28" s="1" customFormat="1" ht="30.75" x14ac:dyDescent="0.2">
      <c r="A88" s="11" t="s">
        <v>5</v>
      </c>
      <c r="B88" s="12" t="s">
        <v>24</v>
      </c>
      <c r="C88" s="12" t="s">
        <v>193</v>
      </c>
      <c r="D88" s="12" t="s">
        <v>65</v>
      </c>
      <c r="E88" s="12">
        <v>6295743</v>
      </c>
      <c r="F88" s="13">
        <v>7780</v>
      </c>
      <c r="G88" s="14">
        <v>45500</v>
      </c>
      <c r="H88" s="15" t="s">
        <v>7</v>
      </c>
      <c r="I88" s="16" t="s">
        <v>8</v>
      </c>
      <c r="J88" s="16">
        <v>6295944</v>
      </c>
      <c r="K88" s="17">
        <v>7785</v>
      </c>
      <c r="L88" s="18">
        <v>45500</v>
      </c>
      <c r="M88" s="19" t="s">
        <v>39</v>
      </c>
      <c r="N88" s="20" t="s">
        <v>25</v>
      </c>
      <c r="O88" s="20">
        <v>15</v>
      </c>
      <c r="P88" s="20"/>
      <c r="Q88" s="21">
        <v>45500</v>
      </c>
      <c r="R88" s="20">
        <v>55</v>
      </c>
      <c r="S88" s="22">
        <v>7806</v>
      </c>
      <c r="T88" s="23">
        <v>240</v>
      </c>
      <c r="V88" s="37">
        <f t="shared" si="7"/>
        <v>7795</v>
      </c>
      <c r="W88" s="46">
        <f t="shared" si="8"/>
        <v>-11</v>
      </c>
      <c r="X88" s="27">
        <f t="shared" si="9"/>
        <v>10</v>
      </c>
      <c r="Y88" s="199">
        <f t="shared" si="10"/>
        <v>15</v>
      </c>
      <c r="Z88" s="38">
        <f t="shared" si="11"/>
        <v>5</v>
      </c>
      <c r="AA88" s="39">
        <f t="shared" si="12"/>
        <v>21</v>
      </c>
      <c r="AB88" s="58">
        <f t="shared" si="13"/>
        <v>26</v>
      </c>
    </row>
    <row r="89" spans="1:28" s="1" customFormat="1" ht="30.75" x14ac:dyDescent="0.2">
      <c r="A89" s="11" t="s">
        <v>5</v>
      </c>
      <c r="B89" s="12" t="s">
        <v>21</v>
      </c>
      <c r="C89" s="12" t="s">
        <v>189</v>
      </c>
      <c r="D89" s="12" t="s">
        <v>6</v>
      </c>
      <c r="E89" s="12">
        <v>6295335</v>
      </c>
      <c r="F89" s="13">
        <v>7680</v>
      </c>
      <c r="G89" s="14">
        <v>45500</v>
      </c>
      <c r="H89" s="15" t="s">
        <v>7</v>
      </c>
      <c r="I89" s="16" t="s">
        <v>8</v>
      </c>
      <c r="J89" s="16">
        <v>6295609</v>
      </c>
      <c r="K89" s="17">
        <v>7670</v>
      </c>
      <c r="L89" s="18">
        <v>45500</v>
      </c>
      <c r="M89" s="19" t="s">
        <v>35</v>
      </c>
      <c r="N89" s="20" t="s">
        <v>115</v>
      </c>
      <c r="O89" s="20">
        <v>15</v>
      </c>
      <c r="P89" s="20"/>
      <c r="Q89" s="21">
        <v>45500</v>
      </c>
      <c r="R89" s="20">
        <v>500</v>
      </c>
      <c r="S89" s="22">
        <v>7650</v>
      </c>
      <c r="T89" s="23">
        <v>160</v>
      </c>
      <c r="V89" s="37">
        <f t="shared" si="7"/>
        <v>7660</v>
      </c>
      <c r="W89" s="28">
        <f t="shared" si="8"/>
        <v>10</v>
      </c>
      <c r="X89" s="45">
        <f t="shared" si="9"/>
        <v>-10</v>
      </c>
      <c r="Y89" s="199">
        <f t="shared" si="10"/>
        <v>-20</v>
      </c>
      <c r="Z89" s="38">
        <f t="shared" si="11"/>
        <v>-10</v>
      </c>
      <c r="AA89" s="39">
        <f t="shared" si="12"/>
        <v>-20</v>
      </c>
      <c r="AB89" s="58">
        <f t="shared" si="13"/>
        <v>-30</v>
      </c>
    </row>
    <row r="90" spans="1:28" s="1" customFormat="1" ht="30.75" x14ac:dyDescent="0.2">
      <c r="A90" s="11" t="s">
        <v>5</v>
      </c>
      <c r="B90" s="12" t="s">
        <v>21</v>
      </c>
      <c r="C90" s="12" t="s">
        <v>190</v>
      </c>
      <c r="D90" s="12" t="s">
        <v>6</v>
      </c>
      <c r="E90" s="12">
        <v>6295568</v>
      </c>
      <c r="F90" s="13">
        <v>7720</v>
      </c>
      <c r="G90" s="14">
        <v>45500</v>
      </c>
      <c r="H90" s="15" t="s">
        <v>7</v>
      </c>
      <c r="I90" s="16" t="s">
        <v>27</v>
      </c>
      <c r="J90" s="16">
        <v>6296018</v>
      </c>
      <c r="K90" s="17">
        <v>7600</v>
      </c>
      <c r="L90" s="18">
        <v>45500</v>
      </c>
      <c r="M90" s="19" t="s">
        <v>35</v>
      </c>
      <c r="N90" s="20" t="s">
        <v>36</v>
      </c>
      <c r="O90" s="20">
        <v>15</v>
      </c>
      <c r="P90" s="20"/>
      <c r="Q90" s="21">
        <v>45500</v>
      </c>
      <c r="R90" s="20">
        <v>500</v>
      </c>
      <c r="S90" s="22">
        <v>7683</v>
      </c>
      <c r="T90" s="23">
        <v>206</v>
      </c>
      <c r="V90" s="37">
        <f t="shared" si="7"/>
        <v>7706</v>
      </c>
      <c r="W90" s="46">
        <f t="shared" si="8"/>
        <v>23</v>
      </c>
      <c r="X90" s="26">
        <f t="shared" si="9"/>
        <v>106</v>
      </c>
      <c r="Y90" s="25">
        <f t="shared" si="10"/>
        <v>-14</v>
      </c>
      <c r="Z90" s="38">
        <f t="shared" si="11"/>
        <v>-120</v>
      </c>
      <c r="AA90" s="39">
        <f t="shared" si="12"/>
        <v>83</v>
      </c>
      <c r="AB90" s="58">
        <f t="shared" si="13"/>
        <v>-37</v>
      </c>
    </row>
    <row r="91" spans="1:28" s="1" customFormat="1" ht="30.75" x14ac:dyDescent="0.2">
      <c r="A91" s="11" t="s">
        <v>5</v>
      </c>
      <c r="B91" s="12" t="s">
        <v>21</v>
      </c>
      <c r="C91" s="12" t="s">
        <v>191</v>
      </c>
      <c r="D91" s="12" t="s">
        <v>62</v>
      </c>
      <c r="E91" s="12">
        <v>6295190</v>
      </c>
      <c r="F91" s="13">
        <v>7700</v>
      </c>
      <c r="G91" s="14">
        <v>45499</v>
      </c>
      <c r="H91" s="15" t="s">
        <v>7</v>
      </c>
      <c r="I91" s="16" t="s">
        <v>16</v>
      </c>
      <c r="J91" s="16">
        <v>6295374</v>
      </c>
      <c r="K91" s="17">
        <v>7690</v>
      </c>
      <c r="L91" s="18">
        <v>45500</v>
      </c>
      <c r="M91" s="19" t="s">
        <v>39</v>
      </c>
      <c r="N91" s="20" t="s">
        <v>18</v>
      </c>
      <c r="O91" s="20">
        <v>15</v>
      </c>
      <c r="P91" s="20"/>
      <c r="Q91" s="21">
        <v>45500</v>
      </c>
      <c r="R91" s="20">
        <v>500</v>
      </c>
      <c r="S91" s="22">
        <v>7705</v>
      </c>
      <c r="T91" s="23">
        <v>198</v>
      </c>
      <c r="V91" s="37">
        <f t="shared" si="7"/>
        <v>7698</v>
      </c>
      <c r="W91" s="46">
        <f t="shared" si="8"/>
        <v>-7</v>
      </c>
      <c r="X91" s="26">
        <f t="shared" si="9"/>
        <v>8</v>
      </c>
      <c r="Y91" s="25">
        <f t="shared" si="10"/>
        <v>-2</v>
      </c>
      <c r="Z91" s="38">
        <f t="shared" si="11"/>
        <v>-10</v>
      </c>
      <c r="AA91" s="39">
        <f t="shared" si="12"/>
        <v>15</v>
      </c>
      <c r="AB91" s="58">
        <f t="shared" si="13"/>
        <v>5</v>
      </c>
    </row>
    <row r="92" spans="1:28" s="1" customFormat="1" ht="30.75" x14ac:dyDescent="0.2">
      <c r="A92" s="11" t="s">
        <v>5</v>
      </c>
      <c r="B92" s="12" t="s">
        <v>21</v>
      </c>
      <c r="C92" s="12" t="s">
        <v>199</v>
      </c>
      <c r="D92" s="12" t="s">
        <v>127</v>
      </c>
      <c r="E92" s="12">
        <v>6297431</v>
      </c>
      <c r="F92" s="13">
        <v>7780</v>
      </c>
      <c r="G92" s="14">
        <v>45502</v>
      </c>
      <c r="H92" s="15" t="s">
        <v>7</v>
      </c>
      <c r="I92" s="16" t="s">
        <v>66</v>
      </c>
      <c r="J92" s="16">
        <v>6297686</v>
      </c>
      <c r="K92" s="17">
        <v>7750</v>
      </c>
      <c r="L92" s="18">
        <v>45503</v>
      </c>
      <c r="M92" s="19" t="s">
        <v>35</v>
      </c>
      <c r="N92" s="20" t="s">
        <v>79</v>
      </c>
      <c r="O92" s="20">
        <v>15</v>
      </c>
      <c r="P92" s="20"/>
      <c r="Q92" s="21">
        <v>45503</v>
      </c>
      <c r="R92" s="20">
        <v>55</v>
      </c>
      <c r="S92" s="22">
        <v>7700</v>
      </c>
      <c r="T92" s="23">
        <v>80</v>
      </c>
      <c r="V92" s="37">
        <f t="shared" si="7"/>
        <v>7635</v>
      </c>
      <c r="W92" s="28">
        <f t="shared" si="8"/>
        <v>-65</v>
      </c>
      <c r="X92" s="45">
        <f t="shared" si="9"/>
        <v>-115</v>
      </c>
      <c r="Y92" s="199">
        <f t="shared" si="10"/>
        <v>-145</v>
      </c>
      <c r="Z92" s="38">
        <f t="shared" si="11"/>
        <v>-30</v>
      </c>
      <c r="AA92" s="39">
        <f t="shared" si="12"/>
        <v>-50</v>
      </c>
      <c r="AB92" s="58">
        <f t="shared" si="13"/>
        <v>-80</v>
      </c>
    </row>
    <row r="93" spans="1:28" s="1" customFormat="1" ht="30.75" x14ac:dyDescent="0.2">
      <c r="A93" s="11" t="s">
        <v>5</v>
      </c>
      <c r="B93" s="12" t="s">
        <v>21</v>
      </c>
      <c r="C93" s="12" t="s">
        <v>200</v>
      </c>
      <c r="D93" s="12" t="s">
        <v>15</v>
      </c>
      <c r="E93" s="12">
        <v>6297769</v>
      </c>
      <c r="F93" s="13">
        <v>7780</v>
      </c>
      <c r="G93" s="14">
        <v>45503</v>
      </c>
      <c r="H93" s="15" t="s">
        <v>7</v>
      </c>
      <c r="I93" s="16" t="s">
        <v>63</v>
      </c>
      <c r="J93" s="16">
        <v>6298481</v>
      </c>
      <c r="K93" s="17">
        <v>7718</v>
      </c>
      <c r="L93" s="18">
        <v>45503</v>
      </c>
      <c r="M93" s="19" t="s">
        <v>39</v>
      </c>
      <c r="N93" s="20" t="s">
        <v>25</v>
      </c>
      <c r="O93" s="20">
        <v>15</v>
      </c>
      <c r="P93" s="20"/>
      <c r="Q93" s="21">
        <v>45503</v>
      </c>
      <c r="R93" s="20">
        <v>55</v>
      </c>
      <c r="S93" s="22">
        <v>7724</v>
      </c>
      <c r="T93" s="23">
        <v>150</v>
      </c>
      <c r="V93" s="37">
        <f t="shared" si="7"/>
        <v>7705</v>
      </c>
      <c r="W93" s="46">
        <f t="shared" si="8"/>
        <v>-19</v>
      </c>
      <c r="X93" s="27">
        <f t="shared" si="9"/>
        <v>-13</v>
      </c>
      <c r="Y93" s="199">
        <f t="shared" si="10"/>
        <v>-75</v>
      </c>
      <c r="Z93" s="38">
        <f t="shared" si="11"/>
        <v>-62</v>
      </c>
      <c r="AA93" s="39">
        <f t="shared" si="12"/>
        <v>6</v>
      </c>
      <c r="AB93" s="58">
        <f t="shared" si="13"/>
        <v>-56</v>
      </c>
    </row>
    <row r="94" spans="1:28" s="1" customFormat="1" ht="30.75" x14ac:dyDescent="0.2">
      <c r="A94" s="11" t="s">
        <v>5</v>
      </c>
      <c r="B94" s="12" t="s">
        <v>21</v>
      </c>
      <c r="C94" s="12" t="s">
        <v>201</v>
      </c>
      <c r="D94" s="12" t="s">
        <v>127</v>
      </c>
      <c r="E94" s="12">
        <v>6297431</v>
      </c>
      <c r="F94" s="13">
        <v>7780</v>
      </c>
      <c r="G94" s="14">
        <v>45502</v>
      </c>
      <c r="H94" s="15" t="s">
        <v>7</v>
      </c>
      <c r="I94" s="16" t="s">
        <v>66</v>
      </c>
      <c r="J94" s="16">
        <v>6297686</v>
      </c>
      <c r="K94" s="17">
        <v>7750</v>
      </c>
      <c r="L94" s="18">
        <v>45503</v>
      </c>
      <c r="M94" s="19" t="s">
        <v>35</v>
      </c>
      <c r="N94" s="20" t="s">
        <v>79</v>
      </c>
      <c r="O94" s="20">
        <v>15</v>
      </c>
      <c r="P94" s="20"/>
      <c r="Q94" s="21">
        <v>45503</v>
      </c>
      <c r="R94" s="20">
        <v>55</v>
      </c>
      <c r="S94" s="22">
        <v>7700</v>
      </c>
      <c r="T94" s="23">
        <v>154</v>
      </c>
      <c r="V94" s="37">
        <f t="shared" si="7"/>
        <v>7709</v>
      </c>
      <c r="W94" s="28">
        <f t="shared" si="8"/>
        <v>9</v>
      </c>
      <c r="X94" s="45">
        <f t="shared" si="9"/>
        <v>-41</v>
      </c>
      <c r="Y94" s="199">
        <f t="shared" si="10"/>
        <v>-71</v>
      </c>
      <c r="Z94" s="38">
        <f t="shared" si="11"/>
        <v>-30</v>
      </c>
      <c r="AA94" s="39">
        <f t="shared" si="12"/>
        <v>-50</v>
      </c>
      <c r="AB94" s="58">
        <f t="shared" si="13"/>
        <v>-80</v>
      </c>
    </row>
    <row r="95" spans="1:28" s="1" customFormat="1" ht="30.75" x14ac:dyDescent="0.2">
      <c r="A95" s="11" t="s">
        <v>5</v>
      </c>
      <c r="B95" s="12" t="s">
        <v>21</v>
      </c>
      <c r="C95" s="12" t="s">
        <v>202</v>
      </c>
      <c r="D95" s="12" t="s">
        <v>62</v>
      </c>
      <c r="E95" s="12">
        <v>6298216</v>
      </c>
      <c r="F95" s="13">
        <v>7780</v>
      </c>
      <c r="G95" s="14">
        <v>45503</v>
      </c>
      <c r="H95" s="15" t="s">
        <v>7</v>
      </c>
      <c r="I95" s="16" t="s">
        <v>32</v>
      </c>
      <c r="J95" s="16">
        <v>6298991</v>
      </c>
      <c r="K95" s="17">
        <v>7720</v>
      </c>
      <c r="L95" s="18">
        <v>45503</v>
      </c>
      <c r="M95" s="19" t="s">
        <v>35</v>
      </c>
      <c r="N95" s="20" t="s">
        <v>74</v>
      </c>
      <c r="O95" s="20">
        <v>15</v>
      </c>
      <c r="P95" s="20"/>
      <c r="Q95" s="21">
        <v>45503</v>
      </c>
      <c r="R95" s="20">
        <v>55</v>
      </c>
      <c r="S95" s="22">
        <v>7655</v>
      </c>
      <c r="T95" s="23">
        <v>160</v>
      </c>
      <c r="V95" s="37">
        <f t="shared" si="7"/>
        <v>7715</v>
      </c>
      <c r="W95" s="46">
        <f t="shared" si="8"/>
        <v>60</v>
      </c>
      <c r="X95" s="27">
        <f t="shared" si="9"/>
        <v>-5</v>
      </c>
      <c r="Y95" s="199">
        <f t="shared" si="10"/>
        <v>-65</v>
      </c>
      <c r="Z95" s="38">
        <f t="shared" si="11"/>
        <v>-60</v>
      </c>
      <c r="AA95" s="39">
        <f t="shared" si="12"/>
        <v>-65</v>
      </c>
      <c r="AB95" s="58">
        <f t="shared" si="13"/>
        <v>-125</v>
      </c>
    </row>
    <row r="96" spans="1:28" s="1" customFormat="1" ht="30.75" x14ac:dyDescent="0.2">
      <c r="A96" s="11" t="s">
        <v>5</v>
      </c>
      <c r="B96" s="12" t="s">
        <v>21</v>
      </c>
      <c r="C96" s="12" t="s">
        <v>210</v>
      </c>
      <c r="D96" s="12" t="s">
        <v>15</v>
      </c>
      <c r="E96" s="12">
        <v>6297845</v>
      </c>
      <c r="F96" s="13">
        <v>7780</v>
      </c>
      <c r="G96" s="14">
        <v>45503</v>
      </c>
      <c r="H96" s="15" t="s">
        <v>7</v>
      </c>
      <c r="I96" s="16" t="s">
        <v>66</v>
      </c>
      <c r="J96" s="16">
        <v>6299910</v>
      </c>
      <c r="K96" s="17">
        <v>7670</v>
      </c>
      <c r="L96" s="18">
        <v>45504</v>
      </c>
      <c r="M96" s="19" t="s">
        <v>39</v>
      </c>
      <c r="N96" s="20" t="s">
        <v>25</v>
      </c>
      <c r="O96" s="20">
        <v>15</v>
      </c>
      <c r="P96" s="20"/>
      <c r="Q96" s="21">
        <v>45504</v>
      </c>
      <c r="R96" s="20">
        <v>500</v>
      </c>
      <c r="S96" s="22">
        <v>7680</v>
      </c>
      <c r="T96" s="23">
        <v>235</v>
      </c>
      <c r="V96" s="37">
        <f t="shared" si="7"/>
        <v>7735</v>
      </c>
      <c r="W96" s="46">
        <f t="shared" si="8"/>
        <v>55</v>
      </c>
      <c r="X96" s="26">
        <f t="shared" si="9"/>
        <v>65</v>
      </c>
      <c r="Y96" s="25">
        <f t="shared" si="10"/>
        <v>-45</v>
      </c>
      <c r="Z96" s="38">
        <f t="shared" si="11"/>
        <v>-110</v>
      </c>
      <c r="AA96" s="39">
        <f t="shared" si="12"/>
        <v>10</v>
      </c>
      <c r="AB96" s="58">
        <f t="shared" si="13"/>
        <v>-100</v>
      </c>
    </row>
    <row r="97" spans="1:28" s="1" customFormat="1" ht="30.75" x14ac:dyDescent="0.2">
      <c r="A97" s="11" t="s">
        <v>5</v>
      </c>
      <c r="B97" s="12" t="s">
        <v>21</v>
      </c>
      <c r="C97" s="12" t="s">
        <v>211</v>
      </c>
      <c r="D97" s="12" t="s">
        <v>62</v>
      </c>
      <c r="E97" s="12">
        <v>6298520</v>
      </c>
      <c r="F97" s="13">
        <v>7840</v>
      </c>
      <c r="G97" s="14">
        <v>45503</v>
      </c>
      <c r="H97" s="15" t="s">
        <v>7</v>
      </c>
      <c r="I97" s="16" t="s">
        <v>32</v>
      </c>
      <c r="J97" s="16">
        <v>6299264</v>
      </c>
      <c r="K97" s="17">
        <v>7750</v>
      </c>
      <c r="L97" s="18">
        <v>45503</v>
      </c>
      <c r="M97" s="19" t="s">
        <v>39</v>
      </c>
      <c r="N97" s="20" t="s">
        <v>18</v>
      </c>
      <c r="O97" s="20">
        <v>15</v>
      </c>
      <c r="P97" s="20"/>
      <c r="Q97" s="21">
        <v>45503</v>
      </c>
      <c r="R97" s="20">
        <v>500</v>
      </c>
      <c r="S97" s="22">
        <v>7781</v>
      </c>
      <c r="T97" s="23">
        <v>304</v>
      </c>
      <c r="V97" s="37">
        <f t="shared" si="7"/>
        <v>7804</v>
      </c>
      <c r="W97" s="28">
        <f t="shared" si="8"/>
        <v>23</v>
      </c>
      <c r="X97" s="26">
        <f t="shared" si="9"/>
        <v>54</v>
      </c>
      <c r="Y97" s="200">
        <f t="shared" si="10"/>
        <v>-36</v>
      </c>
      <c r="Z97" s="38">
        <f t="shared" si="11"/>
        <v>-90</v>
      </c>
      <c r="AA97" s="39">
        <f t="shared" si="12"/>
        <v>31</v>
      </c>
      <c r="AB97" s="58">
        <f t="shared" si="13"/>
        <v>-59</v>
      </c>
    </row>
    <row r="98" spans="1:28" s="1" customFormat="1" ht="30.75" x14ac:dyDescent="0.2">
      <c r="A98" s="11" t="s">
        <v>5</v>
      </c>
      <c r="B98" s="12" t="s">
        <v>21</v>
      </c>
      <c r="C98" s="12" t="s">
        <v>212</v>
      </c>
      <c r="D98" s="12" t="s">
        <v>30</v>
      </c>
      <c r="E98" s="12">
        <v>6298893</v>
      </c>
      <c r="F98" s="13">
        <v>7850</v>
      </c>
      <c r="G98" s="14">
        <v>45503</v>
      </c>
      <c r="H98" s="15" t="s">
        <v>7</v>
      </c>
      <c r="I98" s="16" t="s">
        <v>66</v>
      </c>
      <c r="J98" s="16">
        <v>6299168</v>
      </c>
      <c r="K98" s="17">
        <v>7750</v>
      </c>
      <c r="L98" s="18">
        <v>45504</v>
      </c>
      <c r="M98" s="19" t="s">
        <v>39</v>
      </c>
      <c r="N98" s="20" t="s">
        <v>51</v>
      </c>
      <c r="O98" s="20">
        <v>15</v>
      </c>
      <c r="P98" s="20"/>
      <c r="Q98" s="21">
        <v>45504</v>
      </c>
      <c r="R98" s="20">
        <v>500</v>
      </c>
      <c r="S98" s="22">
        <v>7768</v>
      </c>
      <c r="T98" s="23">
        <v>306</v>
      </c>
      <c r="V98" s="37">
        <f t="shared" si="7"/>
        <v>7806</v>
      </c>
      <c r="W98" s="28">
        <f t="shared" si="8"/>
        <v>38</v>
      </c>
      <c r="X98" s="26">
        <f t="shared" si="9"/>
        <v>56</v>
      </c>
      <c r="Y98" s="200">
        <f t="shared" si="10"/>
        <v>-44</v>
      </c>
      <c r="Z98" s="38">
        <f t="shared" si="11"/>
        <v>-100</v>
      </c>
      <c r="AA98" s="39">
        <f t="shared" si="12"/>
        <v>18</v>
      </c>
      <c r="AB98" s="58">
        <f t="shared" si="13"/>
        <v>-82</v>
      </c>
    </row>
    <row r="99" spans="1:28" s="1" customFormat="1" ht="30.75" x14ac:dyDescent="0.2">
      <c r="A99" s="11" t="s">
        <v>5</v>
      </c>
      <c r="B99" s="12" t="s">
        <v>21</v>
      </c>
      <c r="C99" s="12" t="s">
        <v>213</v>
      </c>
      <c r="D99" s="12" t="s">
        <v>30</v>
      </c>
      <c r="E99" s="12">
        <v>6298704</v>
      </c>
      <c r="F99" s="13">
        <v>7780</v>
      </c>
      <c r="G99" s="14">
        <v>45503</v>
      </c>
      <c r="H99" s="15" t="s">
        <v>7</v>
      </c>
      <c r="I99" s="16" t="s">
        <v>32</v>
      </c>
      <c r="J99" s="16">
        <v>6299082</v>
      </c>
      <c r="K99" s="17">
        <v>7720</v>
      </c>
      <c r="L99" s="18">
        <v>45503</v>
      </c>
      <c r="M99" s="19" t="s">
        <v>39</v>
      </c>
      <c r="N99" s="20" t="s">
        <v>18</v>
      </c>
      <c r="O99" s="20">
        <v>15</v>
      </c>
      <c r="P99" s="20"/>
      <c r="Q99" s="21">
        <v>45503</v>
      </c>
      <c r="R99" s="20">
        <v>55</v>
      </c>
      <c r="S99" s="22">
        <v>7735</v>
      </c>
      <c r="T99" s="23">
        <v>120</v>
      </c>
      <c r="V99" s="37">
        <f t="shared" si="7"/>
        <v>7675</v>
      </c>
      <c r="W99" s="46">
        <f t="shared" si="8"/>
        <v>-60</v>
      </c>
      <c r="X99" s="27">
        <f t="shared" si="9"/>
        <v>-45</v>
      </c>
      <c r="Y99" s="199">
        <f t="shared" si="10"/>
        <v>-105</v>
      </c>
      <c r="Z99" s="38">
        <f t="shared" si="11"/>
        <v>-60</v>
      </c>
      <c r="AA99" s="39">
        <f t="shared" si="12"/>
        <v>15</v>
      </c>
      <c r="AB99" s="58">
        <f t="shared" si="13"/>
        <v>-45</v>
      </c>
    </row>
    <row r="100" spans="1:28" s="1" customFormat="1" ht="30.75" x14ac:dyDescent="0.2">
      <c r="A100" s="11" t="s">
        <v>5</v>
      </c>
      <c r="B100" s="12" t="s">
        <v>21</v>
      </c>
      <c r="C100" s="12" t="s">
        <v>214</v>
      </c>
      <c r="D100" s="12" t="s">
        <v>62</v>
      </c>
      <c r="E100" s="12">
        <v>6298199</v>
      </c>
      <c r="F100" s="13">
        <v>7780</v>
      </c>
      <c r="G100" s="14">
        <v>45503</v>
      </c>
      <c r="H100" s="15" t="s">
        <v>7</v>
      </c>
      <c r="I100" s="16" t="s">
        <v>63</v>
      </c>
      <c r="J100" s="16">
        <v>6298858</v>
      </c>
      <c r="K100" s="17">
        <v>7772</v>
      </c>
      <c r="L100" s="18">
        <v>45503</v>
      </c>
      <c r="M100" s="19" t="s">
        <v>39</v>
      </c>
      <c r="N100" s="20" t="s">
        <v>18</v>
      </c>
      <c r="O100" s="20">
        <v>15</v>
      </c>
      <c r="P100" s="20"/>
      <c r="Q100" s="21">
        <v>45503</v>
      </c>
      <c r="R100" s="20">
        <v>55</v>
      </c>
      <c r="S100" s="22">
        <v>7783</v>
      </c>
      <c r="T100" s="23">
        <v>228</v>
      </c>
      <c r="V100" s="37">
        <f t="shared" si="7"/>
        <v>7783</v>
      </c>
      <c r="W100" s="28">
        <f t="shared" si="8"/>
        <v>0</v>
      </c>
      <c r="X100" s="26">
        <f t="shared" si="9"/>
        <v>11</v>
      </c>
      <c r="Y100" s="200">
        <f t="shared" si="10"/>
        <v>3</v>
      </c>
      <c r="Z100" s="38">
        <f t="shared" si="11"/>
        <v>-8</v>
      </c>
      <c r="AA100" s="39">
        <f t="shared" si="12"/>
        <v>11</v>
      </c>
      <c r="AB100" s="58">
        <f t="shared" si="13"/>
        <v>3</v>
      </c>
    </row>
    <row r="101" spans="1:28" s="1" customFormat="1" ht="30.75" x14ac:dyDescent="0.2">
      <c r="A101" s="11" t="s">
        <v>5</v>
      </c>
      <c r="B101" s="12" t="s">
        <v>21</v>
      </c>
      <c r="C101" s="12" t="s">
        <v>215</v>
      </c>
      <c r="D101" s="12" t="s">
        <v>15</v>
      </c>
      <c r="E101" s="12">
        <v>6303251</v>
      </c>
      <c r="F101" s="13">
        <v>7720</v>
      </c>
      <c r="G101" s="14">
        <v>45506</v>
      </c>
      <c r="H101" s="15" t="s">
        <v>7</v>
      </c>
      <c r="I101" s="16" t="s">
        <v>63</v>
      </c>
      <c r="J101" s="16">
        <v>6304050</v>
      </c>
      <c r="K101" s="17">
        <v>7620</v>
      </c>
      <c r="L101" s="18">
        <v>45506</v>
      </c>
      <c r="M101" s="19" t="s">
        <v>39</v>
      </c>
      <c r="N101" s="20" t="s">
        <v>18</v>
      </c>
      <c r="O101" s="20">
        <v>15</v>
      </c>
      <c r="P101" s="20"/>
      <c r="Q101" s="21">
        <v>45506</v>
      </c>
      <c r="R101" s="20">
        <v>55</v>
      </c>
      <c r="S101" s="22">
        <v>7633</v>
      </c>
      <c r="T101" s="23">
        <v>100</v>
      </c>
      <c r="V101" s="37">
        <f t="shared" si="7"/>
        <v>7655</v>
      </c>
      <c r="W101" s="28">
        <f t="shared" si="8"/>
        <v>22</v>
      </c>
      <c r="X101" s="45">
        <f t="shared" si="9"/>
        <v>35</v>
      </c>
      <c r="Y101" s="199">
        <f t="shared" si="10"/>
        <v>-65</v>
      </c>
      <c r="Z101" s="38">
        <f t="shared" si="11"/>
        <v>-100</v>
      </c>
      <c r="AA101" s="39">
        <f t="shared" si="12"/>
        <v>13</v>
      </c>
      <c r="AB101" s="58">
        <f t="shared" si="13"/>
        <v>-87</v>
      </c>
    </row>
    <row r="102" spans="1:28" s="1" customFormat="1" ht="30.75" x14ac:dyDescent="0.2">
      <c r="A102" s="11" t="s">
        <v>5</v>
      </c>
      <c r="B102" s="12" t="s">
        <v>21</v>
      </c>
      <c r="C102" s="12" t="s">
        <v>216</v>
      </c>
      <c r="D102" s="12" t="s">
        <v>62</v>
      </c>
      <c r="E102" s="12">
        <v>6305205</v>
      </c>
      <c r="F102" s="13">
        <v>7720</v>
      </c>
      <c r="G102" s="14">
        <v>45507</v>
      </c>
      <c r="H102" s="15" t="s">
        <v>7</v>
      </c>
      <c r="I102" s="16" t="s">
        <v>63</v>
      </c>
      <c r="J102" s="16">
        <v>6305306</v>
      </c>
      <c r="K102" s="17">
        <v>7637</v>
      </c>
      <c r="L102" s="18">
        <v>45507</v>
      </c>
      <c r="M102" s="19" t="s">
        <v>35</v>
      </c>
      <c r="N102" s="20" t="s">
        <v>74</v>
      </c>
      <c r="O102" s="20">
        <v>15</v>
      </c>
      <c r="P102" s="20"/>
      <c r="Q102" s="21">
        <v>45507</v>
      </c>
      <c r="R102" s="20">
        <v>55</v>
      </c>
      <c r="S102" s="22">
        <v>7555</v>
      </c>
      <c r="T102" s="23">
        <v>70</v>
      </c>
      <c r="V102" s="37">
        <f t="shared" ref="V102:V138" si="14">IF(RIGHT(C102, 1)="1",
    IF(O102&lt;&gt;"", 500*O102 + T102 + IF(R102&lt;=110, R102, 0), IF(P102&lt;&gt;"", 305*P102 + T102 + IF(R102&lt;=110, R102, 0), "")),
    IF(O102&lt;&gt;"", 500*O102 + T102, IF(P102&lt;&gt;"", 305*P102 + T102, ""))
)</f>
        <v>7625</v>
      </c>
      <c r="W102" s="46">
        <f t="shared" ref="W102:W138" si="15">IF(OR(ISBLANK(V102), ISBLANK(S102), NOT(ISNUMBER(V102)), NOT(ISNUMBER(S102))), "", V102-S102)</f>
        <v>70</v>
      </c>
      <c r="X102" s="27">
        <f t="shared" ref="X102:X138" si="16">IF(OR(ISBLANK(V102), ISBLANK(K102), NOT(ISNUMBER(V102)), NOT(ISNUMBER(K102))), "", V102-K102)</f>
        <v>-12</v>
      </c>
      <c r="Y102" s="199">
        <f t="shared" ref="Y102:Y138" si="17">IF(OR(ISBLANK(V102), ISBLANK(F102), NOT(ISNUMBER(V102)), NOT(ISNUMBER(F102))), "", V102-F102)</f>
        <v>-95</v>
      </c>
      <c r="Z102" s="38">
        <f t="shared" ref="Z102:Z138" si="18">IF(OR(ISBLANK(F102), ISBLANK(K102)), "",K102-F102)</f>
        <v>-83</v>
      </c>
      <c r="AA102" s="39">
        <f t="shared" ref="AA102:AA138" si="19">IF(OR(ISBLANK(K102), ISBLANK(S102)), "",S102-K102)</f>
        <v>-82</v>
      </c>
      <c r="AB102" s="58">
        <f t="shared" ref="AB102:AB138" si="20">IF(OR(ISBLANK(F102), ISBLANK(S102)), "",S102-F102)</f>
        <v>-165</v>
      </c>
    </row>
    <row r="103" spans="1:28" s="1" customFormat="1" ht="30.75" x14ac:dyDescent="0.2">
      <c r="A103" s="11" t="s">
        <v>5</v>
      </c>
      <c r="B103" s="12" t="s">
        <v>21</v>
      </c>
      <c r="C103" s="12" t="s">
        <v>228</v>
      </c>
      <c r="D103" s="12" t="s">
        <v>67</v>
      </c>
      <c r="E103" s="12">
        <v>6304927</v>
      </c>
      <c r="F103" s="13">
        <v>7720</v>
      </c>
      <c r="G103" s="14">
        <v>45507</v>
      </c>
      <c r="H103" s="15" t="s">
        <v>7</v>
      </c>
      <c r="I103" s="16" t="s">
        <v>8</v>
      </c>
      <c r="J103" s="16">
        <v>6305088</v>
      </c>
      <c r="K103" s="17">
        <v>7790</v>
      </c>
      <c r="L103" s="18">
        <v>45507</v>
      </c>
      <c r="M103" s="19" t="s">
        <v>39</v>
      </c>
      <c r="N103" s="20" t="s">
        <v>115</v>
      </c>
      <c r="O103" s="20">
        <v>15</v>
      </c>
      <c r="P103" s="20"/>
      <c r="Q103" s="21">
        <v>45507</v>
      </c>
      <c r="R103" s="20">
        <v>55</v>
      </c>
      <c r="S103" s="22">
        <v>7794</v>
      </c>
      <c r="T103" s="23">
        <v>250</v>
      </c>
      <c r="V103" s="37">
        <f t="shared" si="14"/>
        <v>7805</v>
      </c>
      <c r="W103" s="28">
        <f t="shared" si="15"/>
        <v>11</v>
      </c>
      <c r="X103" s="45">
        <f t="shared" si="16"/>
        <v>15</v>
      </c>
      <c r="Y103" s="199">
        <f t="shared" si="17"/>
        <v>85</v>
      </c>
      <c r="Z103" s="38">
        <f t="shared" si="18"/>
        <v>70</v>
      </c>
      <c r="AA103" s="39">
        <f t="shared" si="19"/>
        <v>4</v>
      </c>
      <c r="AB103" s="58">
        <f t="shared" si="20"/>
        <v>74</v>
      </c>
    </row>
    <row r="104" spans="1:28" s="1" customFormat="1" ht="30.75" x14ac:dyDescent="0.2">
      <c r="A104" s="11" t="s">
        <v>5</v>
      </c>
      <c r="B104" s="12" t="s">
        <v>21</v>
      </c>
      <c r="C104" s="12" t="s">
        <v>217</v>
      </c>
      <c r="D104" s="12" t="s">
        <v>218</v>
      </c>
      <c r="E104" s="12">
        <v>6304721</v>
      </c>
      <c r="F104" s="13">
        <v>7860</v>
      </c>
      <c r="G104" s="14">
        <v>45506</v>
      </c>
      <c r="H104" s="15" t="s">
        <v>7</v>
      </c>
      <c r="I104" s="16" t="s">
        <v>8</v>
      </c>
      <c r="J104" s="16">
        <v>6305050</v>
      </c>
      <c r="K104" s="17">
        <v>7755</v>
      </c>
      <c r="L104" s="18">
        <v>45507</v>
      </c>
      <c r="M104" s="19" t="s">
        <v>35</v>
      </c>
      <c r="N104" s="20" t="s">
        <v>115</v>
      </c>
      <c r="O104" s="20">
        <v>15</v>
      </c>
      <c r="P104" s="20"/>
      <c r="Q104" s="21">
        <v>45507</v>
      </c>
      <c r="R104" s="20">
        <v>500</v>
      </c>
      <c r="S104" s="22">
        <v>7773</v>
      </c>
      <c r="T104" s="23">
        <v>257</v>
      </c>
      <c r="V104" s="37">
        <f t="shared" si="14"/>
        <v>7757</v>
      </c>
      <c r="W104" s="46">
        <f t="shared" si="15"/>
        <v>-16</v>
      </c>
      <c r="X104" s="27">
        <f t="shared" si="16"/>
        <v>2</v>
      </c>
      <c r="Y104" s="199">
        <f t="shared" si="17"/>
        <v>-103</v>
      </c>
      <c r="Z104" s="38">
        <f t="shared" si="18"/>
        <v>-105</v>
      </c>
      <c r="AA104" s="39">
        <f t="shared" si="19"/>
        <v>18</v>
      </c>
      <c r="AB104" s="58">
        <f t="shared" si="20"/>
        <v>-87</v>
      </c>
    </row>
    <row r="105" spans="1:28" s="1" customFormat="1" ht="30.75" x14ac:dyDescent="0.2">
      <c r="A105" s="11" t="s">
        <v>5</v>
      </c>
      <c r="B105" s="12" t="s">
        <v>21</v>
      </c>
      <c r="C105" s="12" t="s">
        <v>219</v>
      </c>
      <c r="D105" s="12" t="s">
        <v>218</v>
      </c>
      <c r="E105" s="12">
        <v>6304592</v>
      </c>
      <c r="F105" s="13">
        <v>7720</v>
      </c>
      <c r="G105" s="14">
        <v>45506</v>
      </c>
      <c r="H105" s="15" t="s">
        <v>7</v>
      </c>
      <c r="I105" s="16" t="s">
        <v>8</v>
      </c>
      <c r="J105" s="16">
        <v>6304856</v>
      </c>
      <c r="K105" s="17">
        <v>7630</v>
      </c>
      <c r="L105" s="18">
        <v>45507</v>
      </c>
      <c r="M105" s="19" t="s">
        <v>35</v>
      </c>
      <c r="N105" s="20" t="s">
        <v>74</v>
      </c>
      <c r="O105" s="20">
        <v>15</v>
      </c>
      <c r="P105" s="20"/>
      <c r="Q105" s="21">
        <v>45507</v>
      </c>
      <c r="R105" s="20">
        <v>55</v>
      </c>
      <c r="S105" s="22">
        <v>7555</v>
      </c>
      <c r="T105" s="23">
        <v>50</v>
      </c>
      <c r="V105" s="37">
        <f t="shared" si="14"/>
        <v>7605</v>
      </c>
      <c r="W105" s="46">
        <f t="shared" si="15"/>
        <v>50</v>
      </c>
      <c r="X105" s="27">
        <f t="shared" si="16"/>
        <v>-25</v>
      </c>
      <c r="Y105" s="199">
        <f t="shared" si="17"/>
        <v>-115</v>
      </c>
      <c r="Z105" s="38">
        <f t="shared" si="18"/>
        <v>-90</v>
      </c>
      <c r="AA105" s="39">
        <f t="shared" si="19"/>
        <v>-75</v>
      </c>
      <c r="AB105" s="58">
        <f t="shared" si="20"/>
        <v>-165</v>
      </c>
    </row>
    <row r="106" spans="1:28" s="1" customFormat="1" ht="30.75" x14ac:dyDescent="0.2">
      <c r="A106" s="11" t="s">
        <v>5</v>
      </c>
      <c r="B106" s="12" t="s">
        <v>24</v>
      </c>
      <c r="C106" s="12" t="s">
        <v>220</v>
      </c>
      <c r="D106" s="12" t="s">
        <v>62</v>
      </c>
      <c r="E106" s="12">
        <v>6305413</v>
      </c>
      <c r="F106" s="13">
        <v>7780</v>
      </c>
      <c r="G106" s="14">
        <v>45507</v>
      </c>
      <c r="H106" s="15" t="s">
        <v>7</v>
      </c>
      <c r="I106" s="16" t="s">
        <v>32</v>
      </c>
      <c r="J106" s="16">
        <v>6305685</v>
      </c>
      <c r="K106" s="17">
        <v>7790</v>
      </c>
      <c r="L106" s="18">
        <v>45507</v>
      </c>
      <c r="M106" s="19" t="s">
        <v>35</v>
      </c>
      <c r="N106" s="20" t="s">
        <v>36</v>
      </c>
      <c r="O106" s="20">
        <v>15</v>
      </c>
      <c r="P106" s="20"/>
      <c r="Q106" s="21">
        <v>45509</v>
      </c>
      <c r="R106" s="20">
        <v>55</v>
      </c>
      <c r="S106" s="22">
        <v>7816</v>
      </c>
      <c r="T106" s="23">
        <v>252</v>
      </c>
      <c r="V106" s="37">
        <f t="shared" si="14"/>
        <v>7807</v>
      </c>
      <c r="W106" s="28">
        <f t="shared" si="15"/>
        <v>-9</v>
      </c>
      <c r="X106" s="45">
        <f t="shared" si="16"/>
        <v>17</v>
      </c>
      <c r="Y106" s="199">
        <f t="shared" si="17"/>
        <v>27</v>
      </c>
      <c r="Z106" s="38">
        <f t="shared" si="18"/>
        <v>10</v>
      </c>
      <c r="AA106" s="39">
        <f t="shared" si="19"/>
        <v>26</v>
      </c>
      <c r="AB106" s="58">
        <f t="shared" si="20"/>
        <v>36</v>
      </c>
    </row>
    <row r="107" spans="1:28" s="1" customFormat="1" ht="30.75" x14ac:dyDescent="0.2">
      <c r="A107" s="11" t="s">
        <v>5</v>
      </c>
      <c r="B107" s="12" t="s">
        <v>20</v>
      </c>
      <c r="C107" s="12" t="s">
        <v>221</v>
      </c>
      <c r="D107" s="12" t="s">
        <v>62</v>
      </c>
      <c r="E107" s="12">
        <v>6305424</v>
      </c>
      <c r="F107" s="13">
        <v>7860</v>
      </c>
      <c r="G107" s="14">
        <v>45507</v>
      </c>
      <c r="H107" s="15" t="s">
        <v>7</v>
      </c>
      <c r="I107" s="16" t="s">
        <v>32</v>
      </c>
      <c r="J107" s="16">
        <v>6305603</v>
      </c>
      <c r="K107" s="17">
        <v>7755</v>
      </c>
      <c r="L107" s="18">
        <v>45507</v>
      </c>
      <c r="M107" s="19" t="s">
        <v>39</v>
      </c>
      <c r="N107" s="20" t="s">
        <v>18</v>
      </c>
      <c r="O107" s="20">
        <v>15</v>
      </c>
      <c r="P107" s="20"/>
      <c r="Q107" s="21">
        <v>45507</v>
      </c>
      <c r="R107" s="20">
        <v>55</v>
      </c>
      <c r="S107" s="22">
        <v>7765</v>
      </c>
      <c r="T107" s="23">
        <v>215</v>
      </c>
      <c r="V107" s="37">
        <f t="shared" si="14"/>
        <v>7770</v>
      </c>
      <c r="W107" s="28">
        <f t="shared" si="15"/>
        <v>5</v>
      </c>
      <c r="X107" s="45">
        <f t="shared" si="16"/>
        <v>15</v>
      </c>
      <c r="Y107" s="199">
        <f t="shared" si="17"/>
        <v>-90</v>
      </c>
      <c r="Z107" s="38">
        <f t="shared" si="18"/>
        <v>-105</v>
      </c>
      <c r="AA107" s="39">
        <f t="shared" si="19"/>
        <v>10</v>
      </c>
      <c r="AB107" s="58">
        <f t="shared" si="20"/>
        <v>-95</v>
      </c>
    </row>
    <row r="108" spans="1:28" s="1" customFormat="1" ht="30.75" x14ac:dyDescent="0.2">
      <c r="A108" s="11" t="s">
        <v>5</v>
      </c>
      <c r="B108" s="12" t="s">
        <v>21</v>
      </c>
      <c r="C108" s="12" t="s">
        <v>222</v>
      </c>
      <c r="D108" s="12" t="s">
        <v>218</v>
      </c>
      <c r="E108" s="12">
        <v>6304444</v>
      </c>
      <c r="F108" s="13">
        <v>7720</v>
      </c>
      <c r="G108" s="14">
        <v>45506</v>
      </c>
      <c r="H108" s="15" t="s">
        <v>7</v>
      </c>
      <c r="I108" s="16" t="s">
        <v>32</v>
      </c>
      <c r="J108" s="16">
        <v>6304605</v>
      </c>
      <c r="K108" s="17">
        <v>7620</v>
      </c>
      <c r="L108" s="18">
        <v>45506</v>
      </c>
      <c r="M108" s="19" t="s">
        <v>44</v>
      </c>
      <c r="N108" s="20" t="s">
        <v>223</v>
      </c>
      <c r="O108" s="20"/>
      <c r="P108" s="20">
        <v>24</v>
      </c>
      <c r="Q108" s="21">
        <v>45506</v>
      </c>
      <c r="R108" s="20">
        <v>110</v>
      </c>
      <c r="S108" s="22">
        <v>7600</v>
      </c>
      <c r="T108" s="23">
        <v>200</v>
      </c>
      <c r="V108" s="37">
        <f t="shared" si="14"/>
        <v>7630</v>
      </c>
      <c r="W108" s="46">
        <f t="shared" si="15"/>
        <v>30</v>
      </c>
      <c r="X108" s="27">
        <f t="shared" si="16"/>
        <v>10</v>
      </c>
      <c r="Y108" s="199">
        <f t="shared" si="17"/>
        <v>-90</v>
      </c>
      <c r="Z108" s="38">
        <f t="shared" si="18"/>
        <v>-100</v>
      </c>
      <c r="AA108" s="39">
        <f t="shared" si="19"/>
        <v>-20</v>
      </c>
      <c r="AB108" s="58">
        <f t="shared" si="20"/>
        <v>-120</v>
      </c>
    </row>
    <row r="109" spans="1:28" s="1" customFormat="1" ht="30.75" x14ac:dyDescent="0.2">
      <c r="A109" s="11" t="s">
        <v>5</v>
      </c>
      <c r="B109" s="12" t="s">
        <v>21</v>
      </c>
      <c r="C109" s="12" t="s">
        <v>224</v>
      </c>
      <c r="D109" s="12" t="s">
        <v>62</v>
      </c>
      <c r="E109" s="12">
        <v>6303787</v>
      </c>
      <c r="F109" s="13">
        <v>7720</v>
      </c>
      <c r="G109" s="14">
        <v>45506</v>
      </c>
      <c r="H109" s="15" t="s">
        <v>7</v>
      </c>
      <c r="I109" s="16" t="s">
        <v>32</v>
      </c>
      <c r="J109" s="16">
        <v>6304410</v>
      </c>
      <c r="K109" s="17">
        <v>7620</v>
      </c>
      <c r="L109" s="18">
        <v>45506</v>
      </c>
      <c r="M109" s="19" t="s">
        <v>44</v>
      </c>
      <c r="N109" s="20" t="s">
        <v>18</v>
      </c>
      <c r="O109" s="20"/>
      <c r="P109" s="20">
        <v>24</v>
      </c>
      <c r="Q109" s="21">
        <v>45506</v>
      </c>
      <c r="R109" s="20">
        <v>110</v>
      </c>
      <c r="S109" s="22">
        <v>7625</v>
      </c>
      <c r="T109" s="23">
        <v>200</v>
      </c>
      <c r="V109" s="37">
        <f t="shared" si="14"/>
        <v>7630</v>
      </c>
      <c r="W109" s="28">
        <f t="shared" si="15"/>
        <v>5</v>
      </c>
      <c r="X109" s="45">
        <f t="shared" si="16"/>
        <v>10</v>
      </c>
      <c r="Y109" s="199">
        <f t="shared" si="17"/>
        <v>-90</v>
      </c>
      <c r="Z109" s="38">
        <f t="shared" si="18"/>
        <v>-100</v>
      </c>
      <c r="AA109" s="39">
        <f t="shared" si="19"/>
        <v>5</v>
      </c>
      <c r="AB109" s="58">
        <f t="shared" si="20"/>
        <v>-95</v>
      </c>
    </row>
    <row r="110" spans="1:28" s="1" customFormat="1" ht="30.75" x14ac:dyDescent="0.2">
      <c r="A110" s="11" t="s">
        <v>5</v>
      </c>
      <c r="B110" s="12" t="s">
        <v>21</v>
      </c>
      <c r="C110" s="12" t="s">
        <v>227</v>
      </c>
      <c r="D110" s="12" t="s">
        <v>15</v>
      </c>
      <c r="E110" s="12">
        <v>6303555</v>
      </c>
      <c r="F110" s="13">
        <v>7720</v>
      </c>
      <c r="G110" s="14">
        <v>45506</v>
      </c>
      <c r="H110" s="15" t="s">
        <v>7</v>
      </c>
      <c r="I110" s="16" t="s">
        <v>63</v>
      </c>
      <c r="J110" s="16">
        <v>6304220</v>
      </c>
      <c r="K110" s="17">
        <v>7840</v>
      </c>
      <c r="L110" s="18">
        <v>45506</v>
      </c>
      <c r="M110" s="19" t="s">
        <v>39</v>
      </c>
      <c r="N110" s="20" t="s">
        <v>18</v>
      </c>
      <c r="O110" s="20">
        <v>15</v>
      </c>
      <c r="P110" s="20"/>
      <c r="Q110" s="21">
        <v>45507</v>
      </c>
      <c r="R110" s="20">
        <v>55</v>
      </c>
      <c r="S110" s="22">
        <v>7855</v>
      </c>
      <c r="T110" s="23">
        <v>290</v>
      </c>
      <c r="V110" s="37">
        <f t="shared" si="14"/>
        <v>7845</v>
      </c>
      <c r="W110" s="46">
        <f t="shared" si="15"/>
        <v>-10</v>
      </c>
      <c r="X110" s="27">
        <f t="shared" si="16"/>
        <v>5</v>
      </c>
      <c r="Y110" s="199">
        <f t="shared" si="17"/>
        <v>125</v>
      </c>
      <c r="Z110" s="38">
        <f t="shared" si="18"/>
        <v>120</v>
      </c>
      <c r="AA110" s="39">
        <f t="shared" si="19"/>
        <v>15</v>
      </c>
      <c r="AB110" s="58">
        <f t="shared" si="20"/>
        <v>135</v>
      </c>
    </row>
    <row r="111" spans="1:28" s="1" customFormat="1" ht="30.75" x14ac:dyDescent="0.2">
      <c r="A111" s="11" t="s">
        <v>5</v>
      </c>
      <c r="B111" s="12" t="s">
        <v>20</v>
      </c>
      <c r="C111" s="12" t="s">
        <v>229</v>
      </c>
      <c r="D111" s="12" t="s">
        <v>62</v>
      </c>
      <c r="E111" s="12">
        <v>6306281</v>
      </c>
      <c r="F111" s="13">
        <v>7860</v>
      </c>
      <c r="G111" s="14">
        <v>45509</v>
      </c>
      <c r="H111" s="15" t="s">
        <v>7</v>
      </c>
      <c r="I111" s="16" t="s">
        <v>27</v>
      </c>
      <c r="J111" s="16">
        <v>6306487</v>
      </c>
      <c r="K111" s="17">
        <v>7760</v>
      </c>
      <c r="L111" s="18">
        <v>45509</v>
      </c>
      <c r="M111" s="19" t="s">
        <v>39</v>
      </c>
      <c r="N111" s="20" t="s">
        <v>18</v>
      </c>
      <c r="O111" s="20">
        <v>15</v>
      </c>
      <c r="P111" s="20"/>
      <c r="Q111" s="21">
        <v>45509</v>
      </c>
      <c r="R111" s="20">
        <v>55</v>
      </c>
      <c r="S111" s="22">
        <v>7770</v>
      </c>
      <c r="T111" s="23">
        <v>220</v>
      </c>
      <c r="V111" s="37">
        <f t="shared" si="14"/>
        <v>7775</v>
      </c>
      <c r="W111" s="28">
        <f t="shared" si="15"/>
        <v>5</v>
      </c>
      <c r="X111" s="45">
        <f t="shared" si="16"/>
        <v>15</v>
      </c>
      <c r="Y111" s="199">
        <f t="shared" si="17"/>
        <v>-85</v>
      </c>
      <c r="Z111" s="38">
        <f t="shared" si="18"/>
        <v>-100</v>
      </c>
      <c r="AA111" s="39">
        <f t="shared" si="19"/>
        <v>10</v>
      </c>
      <c r="AB111" s="58">
        <f t="shared" si="20"/>
        <v>-90</v>
      </c>
    </row>
    <row r="112" spans="1:28" s="1" customFormat="1" ht="30.75" x14ac:dyDescent="0.2">
      <c r="A112" s="11" t="s">
        <v>5</v>
      </c>
      <c r="B112" s="12" t="s">
        <v>21</v>
      </c>
      <c r="C112" s="12" t="s">
        <v>230</v>
      </c>
      <c r="D112" s="12" t="s">
        <v>231</v>
      </c>
      <c r="E112" s="12">
        <v>6305812</v>
      </c>
      <c r="F112" s="13">
        <v>7720</v>
      </c>
      <c r="G112" s="14">
        <v>45507</v>
      </c>
      <c r="H112" s="15" t="s">
        <v>7</v>
      </c>
      <c r="I112" s="16" t="s">
        <v>16</v>
      </c>
      <c r="J112" s="16">
        <v>6306570</v>
      </c>
      <c r="K112" s="17">
        <v>7620</v>
      </c>
      <c r="L112" s="18">
        <v>45509</v>
      </c>
      <c r="M112" s="19" t="s">
        <v>35</v>
      </c>
      <c r="N112" s="20" t="s">
        <v>74</v>
      </c>
      <c r="O112" s="20">
        <v>15</v>
      </c>
      <c r="P112" s="20"/>
      <c r="Q112" s="21">
        <v>45509</v>
      </c>
      <c r="R112" s="20">
        <v>55</v>
      </c>
      <c r="S112" s="22">
        <v>7555</v>
      </c>
      <c r="T112" s="23">
        <v>60</v>
      </c>
      <c r="V112" s="37">
        <f t="shared" si="14"/>
        <v>7615</v>
      </c>
      <c r="W112" s="46">
        <f t="shared" si="15"/>
        <v>60</v>
      </c>
      <c r="X112" s="27">
        <f t="shared" si="16"/>
        <v>-5</v>
      </c>
      <c r="Y112" s="199">
        <f t="shared" si="17"/>
        <v>-105</v>
      </c>
      <c r="Z112" s="38">
        <f t="shared" si="18"/>
        <v>-100</v>
      </c>
      <c r="AA112" s="39">
        <f t="shared" si="19"/>
        <v>-65</v>
      </c>
      <c r="AB112" s="58">
        <f t="shared" si="20"/>
        <v>-165</v>
      </c>
    </row>
    <row r="113" spans="1:29" s="1" customFormat="1" ht="30.75" x14ac:dyDescent="0.2">
      <c r="A113" s="11" t="s">
        <v>5</v>
      </c>
      <c r="B113" s="12" t="s">
        <v>21</v>
      </c>
      <c r="C113" s="12" t="s">
        <v>232</v>
      </c>
      <c r="D113" s="12" t="s">
        <v>231</v>
      </c>
      <c r="E113" s="12">
        <v>6304672</v>
      </c>
      <c r="F113" s="13">
        <v>7720</v>
      </c>
      <c r="G113" s="14">
        <v>45507</v>
      </c>
      <c r="H113" s="15" t="s">
        <v>7</v>
      </c>
      <c r="I113" s="16" t="s">
        <v>32</v>
      </c>
      <c r="J113" s="16">
        <v>6305810</v>
      </c>
      <c r="K113" s="17">
        <v>7630</v>
      </c>
      <c r="L113" s="18">
        <v>45507</v>
      </c>
      <c r="M113" s="19" t="s">
        <v>35</v>
      </c>
      <c r="N113" s="20" t="s">
        <v>74</v>
      </c>
      <c r="O113" s="20">
        <v>15</v>
      </c>
      <c r="P113" s="20"/>
      <c r="Q113" s="21">
        <v>45509</v>
      </c>
      <c r="R113" s="20">
        <v>55</v>
      </c>
      <c r="S113" s="22">
        <v>7555</v>
      </c>
      <c r="T113" s="23">
        <v>70</v>
      </c>
      <c r="V113" s="37">
        <f t="shared" si="14"/>
        <v>7625</v>
      </c>
      <c r="W113" s="46">
        <f t="shared" si="15"/>
        <v>70</v>
      </c>
      <c r="X113" s="27">
        <f t="shared" si="16"/>
        <v>-5</v>
      </c>
      <c r="Y113" s="199">
        <f t="shared" si="17"/>
        <v>-95</v>
      </c>
      <c r="Z113" s="38">
        <f t="shared" si="18"/>
        <v>-90</v>
      </c>
      <c r="AA113" s="39">
        <f t="shared" si="19"/>
        <v>-75</v>
      </c>
      <c r="AB113" s="58">
        <f t="shared" si="20"/>
        <v>-165</v>
      </c>
    </row>
    <row r="114" spans="1:29" s="1" customFormat="1" ht="30.75" x14ac:dyDescent="0.2">
      <c r="A114" s="11" t="s">
        <v>5</v>
      </c>
      <c r="B114" s="12" t="s">
        <v>21</v>
      </c>
      <c r="C114" s="197" t="s">
        <v>233</v>
      </c>
      <c r="D114" s="12" t="s">
        <v>15</v>
      </c>
      <c r="E114" s="12">
        <v>6303634</v>
      </c>
      <c r="F114" s="13">
        <v>7900</v>
      </c>
      <c r="G114" s="197">
        <v>45506</v>
      </c>
      <c r="H114" s="15" t="s">
        <v>7</v>
      </c>
      <c r="I114" s="16" t="s">
        <v>16</v>
      </c>
      <c r="J114" s="16">
        <v>6306733</v>
      </c>
      <c r="K114" s="17">
        <v>7810</v>
      </c>
      <c r="L114" s="18">
        <v>45509</v>
      </c>
      <c r="M114" s="19" t="s">
        <v>39</v>
      </c>
      <c r="N114" s="20" t="s">
        <v>18</v>
      </c>
      <c r="O114" s="20">
        <v>15</v>
      </c>
      <c r="P114" s="20"/>
      <c r="Q114" s="21">
        <v>45509</v>
      </c>
      <c r="R114" s="20">
        <v>500</v>
      </c>
      <c r="S114" s="22">
        <v>7805</v>
      </c>
      <c r="T114" s="23">
        <v>300</v>
      </c>
      <c r="V114" s="37">
        <f t="shared" si="14"/>
        <v>7800</v>
      </c>
      <c r="W114" s="28">
        <f t="shared" si="15"/>
        <v>-5</v>
      </c>
      <c r="X114" s="45">
        <f t="shared" si="16"/>
        <v>-10</v>
      </c>
      <c r="Y114" s="199">
        <f t="shared" si="17"/>
        <v>-100</v>
      </c>
      <c r="Z114" s="38">
        <f t="shared" si="18"/>
        <v>-90</v>
      </c>
      <c r="AA114" s="39">
        <f t="shared" si="19"/>
        <v>-5</v>
      </c>
      <c r="AB114" s="58">
        <f t="shared" si="20"/>
        <v>-95</v>
      </c>
    </row>
    <row r="115" spans="1:29" s="1" customFormat="1" ht="30.75" x14ac:dyDescent="0.2">
      <c r="A115" s="11" t="s">
        <v>5</v>
      </c>
      <c r="B115" s="12" t="s">
        <v>21</v>
      </c>
      <c r="C115" s="12" t="s">
        <v>234</v>
      </c>
      <c r="D115" s="12" t="s">
        <v>127</v>
      </c>
      <c r="E115" s="12">
        <v>6302654</v>
      </c>
      <c r="F115" s="13">
        <v>7720</v>
      </c>
      <c r="G115" s="14">
        <v>45505</v>
      </c>
      <c r="H115" s="15" t="s">
        <v>7</v>
      </c>
      <c r="I115" s="16" t="s">
        <v>63</v>
      </c>
      <c r="J115" s="16">
        <v>6303986</v>
      </c>
      <c r="K115" s="17">
        <v>7626</v>
      </c>
      <c r="L115" s="18">
        <v>45506</v>
      </c>
      <c r="M115" s="19" t="s">
        <v>39</v>
      </c>
      <c r="N115" s="20" t="s">
        <v>115</v>
      </c>
      <c r="O115" s="20">
        <v>15</v>
      </c>
      <c r="P115" s="20"/>
      <c r="Q115" s="21">
        <v>45506</v>
      </c>
      <c r="R115" s="20">
        <v>55</v>
      </c>
      <c r="S115" s="22">
        <v>7624</v>
      </c>
      <c r="T115" s="23">
        <v>70</v>
      </c>
      <c r="V115" s="37">
        <f t="shared" si="14"/>
        <v>7625</v>
      </c>
      <c r="W115" s="28">
        <f t="shared" si="15"/>
        <v>1</v>
      </c>
      <c r="X115" s="45">
        <f t="shared" si="16"/>
        <v>-1</v>
      </c>
      <c r="Y115" s="199">
        <f t="shared" si="17"/>
        <v>-95</v>
      </c>
      <c r="Z115" s="38">
        <f t="shared" si="18"/>
        <v>-94</v>
      </c>
      <c r="AA115" s="39">
        <f t="shared" si="19"/>
        <v>-2</v>
      </c>
      <c r="AB115" s="58">
        <f t="shared" si="20"/>
        <v>-96</v>
      </c>
    </row>
    <row r="116" spans="1:29" s="1" customFormat="1" ht="30.75" x14ac:dyDescent="0.2">
      <c r="A116" s="11" t="s">
        <v>5</v>
      </c>
      <c r="B116" s="12" t="s">
        <v>21</v>
      </c>
      <c r="C116" s="12" t="s">
        <v>235</v>
      </c>
      <c r="D116" s="12" t="s">
        <v>62</v>
      </c>
      <c r="E116" s="12">
        <v>6306286</v>
      </c>
      <c r="F116" s="13">
        <v>7720</v>
      </c>
      <c r="G116" s="14">
        <v>45509</v>
      </c>
      <c r="H116" s="15" t="s">
        <v>7</v>
      </c>
      <c r="I116" s="16" t="s">
        <v>27</v>
      </c>
      <c r="J116" s="16">
        <v>6306404</v>
      </c>
      <c r="K116" s="17">
        <v>7620</v>
      </c>
      <c r="L116" s="18">
        <v>45509</v>
      </c>
      <c r="M116" s="19" t="s">
        <v>35</v>
      </c>
      <c r="N116" s="20" t="s">
        <v>74</v>
      </c>
      <c r="O116" s="20">
        <v>15</v>
      </c>
      <c r="P116" s="20"/>
      <c r="Q116" s="21">
        <v>45509</v>
      </c>
      <c r="R116" s="20">
        <v>55</v>
      </c>
      <c r="S116" s="22">
        <v>7555</v>
      </c>
      <c r="T116" s="23">
        <v>70</v>
      </c>
      <c r="V116" s="37">
        <f t="shared" si="14"/>
        <v>7625</v>
      </c>
      <c r="W116" s="46">
        <f t="shared" si="15"/>
        <v>70</v>
      </c>
      <c r="X116" s="27">
        <f t="shared" si="16"/>
        <v>5</v>
      </c>
      <c r="Y116" s="199">
        <f t="shared" si="17"/>
        <v>-95</v>
      </c>
      <c r="Z116" s="38">
        <f t="shared" si="18"/>
        <v>-100</v>
      </c>
      <c r="AA116" s="39">
        <f t="shared" si="19"/>
        <v>-65</v>
      </c>
      <c r="AB116" s="58">
        <f t="shared" si="20"/>
        <v>-165</v>
      </c>
    </row>
    <row r="117" spans="1:29" s="1" customFormat="1" ht="30.75" x14ac:dyDescent="0.2">
      <c r="A117" s="11" t="s">
        <v>5</v>
      </c>
      <c r="B117" s="12" t="s">
        <v>20</v>
      </c>
      <c r="C117" s="12" t="s">
        <v>236</v>
      </c>
      <c r="D117" s="12" t="s">
        <v>231</v>
      </c>
      <c r="E117" s="12">
        <v>6306848</v>
      </c>
      <c r="F117" s="13">
        <v>7585</v>
      </c>
      <c r="G117" s="14">
        <v>45509</v>
      </c>
      <c r="H117" s="15" t="s">
        <v>7</v>
      </c>
      <c r="I117" s="16" t="s">
        <v>16</v>
      </c>
      <c r="J117" s="16">
        <v>6307003</v>
      </c>
      <c r="K117" s="17">
        <v>7590</v>
      </c>
      <c r="L117" s="18">
        <v>45509</v>
      </c>
      <c r="M117" s="19" t="s">
        <v>39</v>
      </c>
      <c r="N117" s="20" t="s">
        <v>51</v>
      </c>
      <c r="O117" s="20">
        <v>15</v>
      </c>
      <c r="P117" s="20"/>
      <c r="Q117" s="21">
        <v>45509</v>
      </c>
      <c r="R117" s="20">
        <v>55</v>
      </c>
      <c r="S117" s="22">
        <v>7610</v>
      </c>
      <c r="T117" s="23">
        <v>60</v>
      </c>
      <c r="V117" s="37">
        <f t="shared" si="14"/>
        <v>7615</v>
      </c>
      <c r="W117" s="28">
        <f t="shared" si="15"/>
        <v>5</v>
      </c>
      <c r="X117" s="45">
        <f t="shared" si="16"/>
        <v>25</v>
      </c>
      <c r="Y117" s="199">
        <f t="shared" si="17"/>
        <v>30</v>
      </c>
      <c r="Z117" s="38">
        <f t="shared" si="18"/>
        <v>5</v>
      </c>
      <c r="AA117" s="39">
        <f t="shared" si="19"/>
        <v>20</v>
      </c>
      <c r="AB117" s="58">
        <f t="shared" si="20"/>
        <v>25</v>
      </c>
    </row>
    <row r="118" spans="1:29" s="1" customFormat="1" ht="30.75" x14ac:dyDescent="0.2">
      <c r="A118" s="11" t="s">
        <v>5</v>
      </c>
      <c r="B118" s="12" t="s">
        <v>20</v>
      </c>
      <c r="C118" s="12" t="s">
        <v>237</v>
      </c>
      <c r="D118" s="12" t="s">
        <v>231</v>
      </c>
      <c r="E118" s="12">
        <v>6306899</v>
      </c>
      <c r="F118" s="13">
        <v>7700</v>
      </c>
      <c r="G118" s="14">
        <v>45509</v>
      </c>
      <c r="H118" s="15" t="s">
        <v>7</v>
      </c>
      <c r="I118" s="16" t="s">
        <v>101</v>
      </c>
      <c r="J118" s="16">
        <v>6307234</v>
      </c>
      <c r="K118" s="17">
        <v>7700</v>
      </c>
      <c r="L118" s="18">
        <v>45509</v>
      </c>
      <c r="M118" s="19" t="s">
        <v>39</v>
      </c>
      <c r="N118" s="20" t="s">
        <v>238</v>
      </c>
      <c r="O118" s="20">
        <v>15</v>
      </c>
      <c r="P118" s="20"/>
      <c r="Q118" s="21">
        <v>45509</v>
      </c>
      <c r="R118" s="20">
        <v>500</v>
      </c>
      <c r="S118" s="22">
        <v>7716</v>
      </c>
      <c r="T118" s="23">
        <v>216</v>
      </c>
      <c r="V118" s="37">
        <f t="shared" si="14"/>
        <v>7716</v>
      </c>
      <c r="W118" s="28">
        <f t="shared" si="15"/>
        <v>0</v>
      </c>
      <c r="X118" s="26">
        <f t="shared" si="16"/>
        <v>16</v>
      </c>
      <c r="Y118" s="200">
        <f t="shared" si="17"/>
        <v>16</v>
      </c>
      <c r="Z118" s="38">
        <f t="shared" si="18"/>
        <v>0</v>
      </c>
      <c r="AA118" s="39">
        <f t="shared" si="19"/>
        <v>16</v>
      </c>
      <c r="AB118" s="58">
        <f t="shared" si="20"/>
        <v>16</v>
      </c>
    </row>
    <row r="119" spans="1:29" s="1" customFormat="1" ht="30.75" x14ac:dyDescent="0.2">
      <c r="A119" s="11" t="s">
        <v>5</v>
      </c>
      <c r="B119" s="12" t="s">
        <v>20</v>
      </c>
      <c r="C119" s="12" t="s">
        <v>239</v>
      </c>
      <c r="D119" s="12" t="s">
        <v>218</v>
      </c>
      <c r="E119" s="12">
        <v>6308470</v>
      </c>
      <c r="F119" s="13">
        <v>7660</v>
      </c>
      <c r="G119" s="14">
        <v>45510</v>
      </c>
      <c r="H119" s="15" t="s">
        <v>7</v>
      </c>
      <c r="I119" s="16" t="s">
        <v>16</v>
      </c>
      <c r="J119" s="16">
        <v>6308681</v>
      </c>
      <c r="K119" s="17">
        <v>7680</v>
      </c>
      <c r="L119" s="18">
        <v>45510</v>
      </c>
      <c r="M119" s="19" t="s">
        <v>39</v>
      </c>
      <c r="N119" s="20" t="s">
        <v>51</v>
      </c>
      <c r="O119" s="20">
        <v>15</v>
      </c>
      <c r="P119" s="20"/>
      <c r="Q119" s="21">
        <v>45510</v>
      </c>
      <c r="R119" s="20">
        <v>500</v>
      </c>
      <c r="S119" s="22">
        <v>7680</v>
      </c>
      <c r="T119" s="23">
        <v>180</v>
      </c>
      <c r="V119" s="37">
        <f t="shared" si="14"/>
        <v>7680</v>
      </c>
      <c r="W119" s="28">
        <f t="shared" si="15"/>
        <v>0</v>
      </c>
      <c r="X119" s="45">
        <f t="shared" si="16"/>
        <v>0</v>
      </c>
      <c r="Y119" s="199">
        <f t="shared" si="17"/>
        <v>20</v>
      </c>
      <c r="Z119" s="38">
        <f t="shared" si="18"/>
        <v>20</v>
      </c>
      <c r="AA119" s="39">
        <f t="shared" si="19"/>
        <v>0</v>
      </c>
      <c r="AB119" s="58">
        <f t="shared" si="20"/>
        <v>20</v>
      </c>
    </row>
    <row r="120" spans="1:29" s="1" customFormat="1" ht="30.75" x14ac:dyDescent="0.2">
      <c r="A120" s="11" t="s">
        <v>28</v>
      </c>
      <c r="B120" s="12" t="s">
        <v>19</v>
      </c>
      <c r="C120" s="12" t="s">
        <v>250</v>
      </c>
      <c r="D120" s="12" t="s">
        <v>15</v>
      </c>
      <c r="E120" s="12">
        <v>6310571</v>
      </c>
      <c r="F120" s="13">
        <v>8135</v>
      </c>
      <c r="G120" s="14">
        <v>45511</v>
      </c>
      <c r="H120" s="15" t="s">
        <v>7</v>
      </c>
      <c r="I120" s="16" t="s">
        <v>40</v>
      </c>
      <c r="J120" s="16">
        <v>6311070</v>
      </c>
      <c r="K120" s="17">
        <v>8150</v>
      </c>
      <c r="L120" s="18">
        <v>45512</v>
      </c>
      <c r="M120" s="19" t="s">
        <v>35</v>
      </c>
      <c r="N120" s="20" t="s">
        <v>74</v>
      </c>
      <c r="O120" s="20">
        <v>16</v>
      </c>
      <c r="P120" s="20"/>
      <c r="Q120" s="21">
        <v>45512</v>
      </c>
      <c r="R120" s="20">
        <v>110</v>
      </c>
      <c r="S120" s="22">
        <v>8110</v>
      </c>
      <c r="T120" s="23">
        <v>0</v>
      </c>
      <c r="V120" s="37">
        <f t="shared" si="14"/>
        <v>8110</v>
      </c>
      <c r="W120" s="28">
        <f t="shared" si="15"/>
        <v>0</v>
      </c>
      <c r="X120" s="26">
        <f t="shared" si="16"/>
        <v>-40</v>
      </c>
      <c r="Y120" s="47">
        <f t="shared" si="17"/>
        <v>-25</v>
      </c>
      <c r="Z120" s="38">
        <f t="shared" si="18"/>
        <v>15</v>
      </c>
      <c r="AA120" s="39">
        <f t="shared" si="19"/>
        <v>-40</v>
      </c>
      <c r="AB120" s="39">
        <f t="shared" si="20"/>
        <v>-25</v>
      </c>
    </row>
    <row r="121" spans="1:29" s="1" customFormat="1" ht="30.75" x14ac:dyDescent="0.2">
      <c r="A121" s="11" t="s">
        <v>28</v>
      </c>
      <c r="B121" s="12" t="s">
        <v>19</v>
      </c>
      <c r="C121" s="12" t="s">
        <v>251</v>
      </c>
      <c r="D121" s="12" t="s">
        <v>218</v>
      </c>
      <c r="E121" s="12">
        <v>6309583</v>
      </c>
      <c r="F121" s="13">
        <v>8140</v>
      </c>
      <c r="G121" s="14">
        <v>45511</v>
      </c>
      <c r="H121" s="15" t="s">
        <v>7</v>
      </c>
      <c r="I121" s="16" t="s">
        <v>63</v>
      </c>
      <c r="J121" s="16">
        <v>6310868</v>
      </c>
      <c r="K121" s="17">
        <v>8158</v>
      </c>
      <c r="L121" s="18">
        <v>45512</v>
      </c>
      <c r="M121" s="19" t="s">
        <v>35</v>
      </c>
      <c r="N121" s="20" t="s">
        <v>74</v>
      </c>
      <c r="O121" s="20">
        <v>16</v>
      </c>
      <c r="P121" s="20"/>
      <c r="Q121" s="21">
        <v>45512</v>
      </c>
      <c r="R121" s="20">
        <v>110</v>
      </c>
      <c r="S121" s="22">
        <v>8110</v>
      </c>
      <c r="T121" s="23">
        <v>40</v>
      </c>
      <c r="V121" s="37">
        <f t="shared" si="14"/>
        <v>8150</v>
      </c>
      <c r="W121" s="24">
        <f t="shared" si="15"/>
        <v>40</v>
      </c>
      <c r="X121" s="27">
        <f t="shared" si="16"/>
        <v>-8</v>
      </c>
      <c r="Y121" s="47">
        <f t="shared" si="17"/>
        <v>10</v>
      </c>
      <c r="Z121" s="38">
        <f t="shared" si="18"/>
        <v>18</v>
      </c>
      <c r="AA121" s="39">
        <f t="shared" si="19"/>
        <v>-48</v>
      </c>
      <c r="AB121" s="39">
        <f t="shared" si="20"/>
        <v>-30</v>
      </c>
      <c r="AC121" s="209"/>
    </row>
    <row r="122" spans="1:29" s="1" customFormat="1" ht="30.75" x14ac:dyDescent="0.2">
      <c r="A122" s="11" t="s">
        <v>28</v>
      </c>
      <c r="B122" s="12" t="s">
        <v>24</v>
      </c>
      <c r="C122" s="12" t="s">
        <v>252</v>
      </c>
      <c r="D122" s="12" t="s">
        <v>218</v>
      </c>
      <c r="E122" s="12">
        <v>6309945</v>
      </c>
      <c r="F122" s="13">
        <v>8140</v>
      </c>
      <c r="G122" s="14">
        <v>45511</v>
      </c>
      <c r="H122" s="15" t="s">
        <v>7</v>
      </c>
      <c r="I122" s="16" t="s">
        <v>32</v>
      </c>
      <c r="J122" s="16">
        <v>631160</v>
      </c>
      <c r="K122" s="17">
        <v>8170</v>
      </c>
      <c r="L122" s="18">
        <v>45512</v>
      </c>
      <c r="M122" s="19" t="s">
        <v>35</v>
      </c>
      <c r="N122" s="20" t="s">
        <v>74</v>
      </c>
      <c r="O122" s="20">
        <v>16</v>
      </c>
      <c r="P122" s="20"/>
      <c r="Q122" s="21">
        <v>45512</v>
      </c>
      <c r="R122" s="20">
        <v>110</v>
      </c>
      <c r="S122" s="22">
        <v>8110</v>
      </c>
      <c r="T122" s="23">
        <v>20</v>
      </c>
      <c r="V122" s="37">
        <f t="shared" si="14"/>
        <v>8130</v>
      </c>
      <c r="W122" s="46">
        <f t="shared" si="15"/>
        <v>20</v>
      </c>
      <c r="X122" s="26">
        <f t="shared" si="16"/>
        <v>-40</v>
      </c>
      <c r="Y122" s="203">
        <f t="shared" si="17"/>
        <v>-10</v>
      </c>
      <c r="Z122" s="38">
        <f t="shared" si="18"/>
        <v>30</v>
      </c>
      <c r="AA122" s="39">
        <f t="shared" si="19"/>
        <v>-60</v>
      </c>
      <c r="AB122" s="39">
        <f t="shared" si="20"/>
        <v>-30</v>
      </c>
      <c r="AC122" s="209"/>
    </row>
    <row r="123" spans="1:29" s="1" customFormat="1" ht="30.75" x14ac:dyDescent="0.2">
      <c r="A123" s="11" t="s">
        <v>28</v>
      </c>
      <c r="B123" s="12" t="s">
        <v>19</v>
      </c>
      <c r="C123" s="12" t="s">
        <v>253</v>
      </c>
      <c r="D123" s="12" t="s">
        <v>15</v>
      </c>
      <c r="E123" s="12">
        <v>6310421</v>
      </c>
      <c r="F123" s="13">
        <v>8136</v>
      </c>
      <c r="G123" s="14">
        <v>45511</v>
      </c>
      <c r="H123" s="15" t="s">
        <v>7</v>
      </c>
      <c r="I123" s="16" t="s">
        <v>63</v>
      </c>
      <c r="J123" s="16">
        <v>630738</v>
      </c>
      <c r="K123" s="17">
        <v>8153</v>
      </c>
      <c r="L123" s="18">
        <v>45512</v>
      </c>
      <c r="M123" s="19" t="s">
        <v>35</v>
      </c>
      <c r="N123" s="20" t="s">
        <v>36</v>
      </c>
      <c r="O123" s="20">
        <v>16</v>
      </c>
      <c r="P123" s="20"/>
      <c r="Q123" s="21">
        <v>45512</v>
      </c>
      <c r="R123" s="20">
        <v>110</v>
      </c>
      <c r="S123" s="22">
        <v>8136</v>
      </c>
      <c r="T123" s="23">
        <v>28</v>
      </c>
      <c r="V123" s="37">
        <f t="shared" si="14"/>
        <v>8138</v>
      </c>
      <c r="W123" s="28">
        <f t="shared" si="15"/>
        <v>2</v>
      </c>
      <c r="X123" s="26">
        <f t="shared" si="16"/>
        <v>-15</v>
      </c>
      <c r="Y123" s="47">
        <f t="shared" si="17"/>
        <v>2</v>
      </c>
      <c r="Z123" s="38">
        <f t="shared" si="18"/>
        <v>17</v>
      </c>
      <c r="AA123" s="39">
        <f t="shared" si="19"/>
        <v>-17</v>
      </c>
      <c r="AB123" s="39">
        <f t="shared" si="20"/>
        <v>0</v>
      </c>
      <c r="AC123" s="209"/>
    </row>
    <row r="124" spans="1:29" s="1" customFormat="1" ht="30.75" x14ac:dyDescent="0.2">
      <c r="A124" s="11" t="s">
        <v>28</v>
      </c>
      <c r="B124" s="12" t="s">
        <v>24</v>
      </c>
      <c r="C124" s="12" t="s">
        <v>254</v>
      </c>
      <c r="D124" s="12" t="s">
        <v>218</v>
      </c>
      <c r="E124" s="12">
        <v>6309679</v>
      </c>
      <c r="F124" s="13">
        <v>8140</v>
      </c>
      <c r="G124" s="14">
        <v>45511</v>
      </c>
      <c r="H124" s="15" t="s">
        <v>7</v>
      </c>
      <c r="I124" s="16" t="s">
        <v>63</v>
      </c>
      <c r="J124" s="16">
        <v>6310801</v>
      </c>
      <c r="K124" s="17">
        <v>8175</v>
      </c>
      <c r="L124" s="18">
        <v>45512</v>
      </c>
      <c r="M124" s="19" t="s">
        <v>35</v>
      </c>
      <c r="N124" s="20" t="s">
        <v>36</v>
      </c>
      <c r="O124" s="20">
        <v>16</v>
      </c>
      <c r="P124" s="20"/>
      <c r="Q124" s="21">
        <v>45512</v>
      </c>
      <c r="R124" s="20">
        <v>110</v>
      </c>
      <c r="S124" s="22">
        <v>8165</v>
      </c>
      <c r="T124" s="23">
        <v>46</v>
      </c>
      <c r="V124" s="37">
        <f t="shared" si="14"/>
        <v>8156</v>
      </c>
      <c r="W124" s="28">
        <f t="shared" si="15"/>
        <v>-9</v>
      </c>
      <c r="X124" s="26">
        <f t="shared" si="16"/>
        <v>-19</v>
      </c>
      <c r="Y124" s="47">
        <f t="shared" si="17"/>
        <v>16</v>
      </c>
      <c r="Z124" s="38">
        <f t="shared" si="18"/>
        <v>35</v>
      </c>
      <c r="AA124" s="39">
        <f t="shared" si="19"/>
        <v>-10</v>
      </c>
      <c r="AB124" s="39">
        <f t="shared" si="20"/>
        <v>25</v>
      </c>
      <c r="AC124" s="209"/>
    </row>
    <row r="125" spans="1:29" s="1" customFormat="1" ht="30.75" x14ac:dyDescent="0.2">
      <c r="A125" s="11" t="s">
        <v>28</v>
      </c>
      <c r="B125" s="12" t="s">
        <v>19</v>
      </c>
      <c r="C125" s="12" t="s">
        <v>255</v>
      </c>
      <c r="D125" s="12" t="s">
        <v>218</v>
      </c>
      <c r="E125" s="12">
        <v>6309910</v>
      </c>
      <c r="F125" s="13">
        <v>8140</v>
      </c>
      <c r="G125" s="14">
        <v>45511</v>
      </c>
      <c r="H125" s="15" t="s">
        <v>7</v>
      </c>
      <c r="I125" s="16" t="s">
        <v>8</v>
      </c>
      <c r="J125" s="16">
        <v>6310613</v>
      </c>
      <c r="K125" s="17">
        <v>8150</v>
      </c>
      <c r="L125" s="18">
        <v>45511</v>
      </c>
      <c r="M125" s="19" t="s">
        <v>35</v>
      </c>
      <c r="N125" s="20" t="s">
        <v>36</v>
      </c>
      <c r="O125" s="20">
        <v>16</v>
      </c>
      <c r="P125" s="20"/>
      <c r="Q125" s="21">
        <v>45512</v>
      </c>
      <c r="R125" s="20">
        <v>110</v>
      </c>
      <c r="S125" s="22">
        <v>8150</v>
      </c>
      <c r="T125" s="23">
        <v>40</v>
      </c>
      <c r="V125" s="37">
        <f t="shared" si="14"/>
        <v>8150</v>
      </c>
      <c r="W125" s="28">
        <f t="shared" si="15"/>
        <v>0</v>
      </c>
      <c r="X125" s="45">
        <f t="shared" si="16"/>
        <v>0</v>
      </c>
      <c r="Y125" s="204">
        <f t="shared" si="17"/>
        <v>10</v>
      </c>
      <c r="Z125" s="38">
        <f t="shared" si="18"/>
        <v>10</v>
      </c>
      <c r="AA125" s="39">
        <f t="shared" si="19"/>
        <v>0</v>
      </c>
      <c r="AB125" s="39">
        <f t="shared" si="20"/>
        <v>10</v>
      </c>
      <c r="AC125" s="209"/>
    </row>
    <row r="126" spans="1:29" s="1" customFormat="1" ht="30.75" x14ac:dyDescent="0.2">
      <c r="A126" s="11" t="s">
        <v>28</v>
      </c>
      <c r="B126" s="12" t="s">
        <v>19</v>
      </c>
      <c r="C126" s="12" t="s">
        <v>258</v>
      </c>
      <c r="D126" s="12" t="s">
        <v>62</v>
      </c>
      <c r="E126" s="12">
        <v>6310766</v>
      </c>
      <c r="F126" s="13">
        <v>8135</v>
      </c>
      <c r="G126" s="14">
        <v>45512</v>
      </c>
      <c r="H126" s="15" t="s">
        <v>7</v>
      </c>
      <c r="I126" s="16" t="s">
        <v>40</v>
      </c>
      <c r="J126" s="16">
        <v>6310949</v>
      </c>
      <c r="K126" s="17">
        <v>8155</v>
      </c>
      <c r="L126" s="18">
        <v>45512</v>
      </c>
      <c r="M126" s="19" t="s">
        <v>35</v>
      </c>
      <c r="N126" s="20" t="s">
        <v>74</v>
      </c>
      <c r="O126" s="20">
        <v>16</v>
      </c>
      <c r="P126" s="20"/>
      <c r="Q126" s="21">
        <v>45512</v>
      </c>
      <c r="R126" s="20">
        <v>110</v>
      </c>
      <c r="S126" s="22">
        <v>8110</v>
      </c>
      <c r="T126" s="23">
        <v>20</v>
      </c>
      <c r="V126" s="37">
        <f t="shared" si="14"/>
        <v>8130</v>
      </c>
      <c r="W126" s="46">
        <f t="shared" si="15"/>
        <v>20</v>
      </c>
      <c r="X126" s="26">
        <f t="shared" si="16"/>
        <v>-25</v>
      </c>
      <c r="Y126" s="203">
        <f t="shared" si="17"/>
        <v>-5</v>
      </c>
      <c r="Z126" s="38">
        <f t="shared" si="18"/>
        <v>20</v>
      </c>
      <c r="AA126" s="39">
        <f t="shared" si="19"/>
        <v>-45</v>
      </c>
      <c r="AB126" s="39">
        <f t="shared" si="20"/>
        <v>-25</v>
      </c>
      <c r="AC126" s="209"/>
    </row>
    <row r="127" spans="1:29" s="1" customFormat="1" ht="30.75" x14ac:dyDescent="0.2">
      <c r="A127" s="11" t="s">
        <v>28</v>
      </c>
      <c r="B127" s="12" t="s">
        <v>19</v>
      </c>
      <c r="C127" s="12" t="s">
        <v>260</v>
      </c>
      <c r="D127" s="12" t="s">
        <v>218</v>
      </c>
      <c r="E127" s="12">
        <v>6311208</v>
      </c>
      <c r="F127" s="13">
        <v>8140</v>
      </c>
      <c r="G127" s="14">
        <v>45512</v>
      </c>
      <c r="H127" s="15" t="s">
        <v>7</v>
      </c>
      <c r="I127" s="16" t="s">
        <v>101</v>
      </c>
      <c r="J127" s="16">
        <v>6312046</v>
      </c>
      <c r="K127" s="17">
        <v>8150</v>
      </c>
      <c r="L127" s="18">
        <v>45512</v>
      </c>
      <c r="M127" s="19" t="s">
        <v>35</v>
      </c>
      <c r="N127" s="20" t="s">
        <v>79</v>
      </c>
      <c r="O127" s="20">
        <v>16</v>
      </c>
      <c r="P127" s="20"/>
      <c r="Q127" s="21">
        <v>45512</v>
      </c>
      <c r="R127" s="20">
        <v>110</v>
      </c>
      <c r="S127" s="22">
        <v>8153</v>
      </c>
      <c r="T127" s="23">
        <v>50</v>
      </c>
      <c r="V127" s="37">
        <f t="shared" si="14"/>
        <v>8160</v>
      </c>
      <c r="W127" s="28">
        <f t="shared" si="15"/>
        <v>7</v>
      </c>
      <c r="X127" s="45">
        <f t="shared" si="16"/>
        <v>10</v>
      </c>
      <c r="Y127" s="204">
        <f t="shared" si="17"/>
        <v>20</v>
      </c>
      <c r="Z127" s="38">
        <f t="shared" si="18"/>
        <v>10</v>
      </c>
      <c r="AA127" s="39">
        <f t="shared" si="19"/>
        <v>3</v>
      </c>
      <c r="AB127" s="39">
        <f t="shared" si="20"/>
        <v>13</v>
      </c>
      <c r="AC127" s="209"/>
    </row>
    <row r="128" spans="1:29" s="1" customFormat="1" ht="30.75" x14ac:dyDescent="0.2">
      <c r="A128" s="11" t="s">
        <v>28</v>
      </c>
      <c r="B128" s="12" t="s">
        <v>19</v>
      </c>
      <c r="C128" s="12" t="s">
        <v>263</v>
      </c>
      <c r="D128" s="12" t="s">
        <v>15</v>
      </c>
      <c r="E128" s="12">
        <v>6312173</v>
      </c>
      <c r="F128" s="13">
        <v>8135</v>
      </c>
      <c r="G128" s="14">
        <v>45512</v>
      </c>
      <c r="H128" s="15" t="s">
        <v>7</v>
      </c>
      <c r="I128" s="16" t="s">
        <v>101</v>
      </c>
      <c r="J128" s="16">
        <v>6312388</v>
      </c>
      <c r="K128" s="17">
        <v>8145</v>
      </c>
      <c r="L128" s="18">
        <v>45512</v>
      </c>
      <c r="M128" s="19" t="s">
        <v>35</v>
      </c>
      <c r="N128" s="20" t="s">
        <v>36</v>
      </c>
      <c r="O128" s="20">
        <v>16</v>
      </c>
      <c r="P128" s="20"/>
      <c r="Q128" s="21">
        <v>45513</v>
      </c>
      <c r="R128" s="20">
        <v>110</v>
      </c>
      <c r="S128" s="22">
        <v>8157</v>
      </c>
      <c r="T128" s="23">
        <v>37</v>
      </c>
      <c r="V128" s="37">
        <f t="shared" si="14"/>
        <v>8147</v>
      </c>
      <c r="W128" s="46">
        <f t="shared" si="15"/>
        <v>-10</v>
      </c>
      <c r="X128" s="27">
        <f t="shared" si="16"/>
        <v>2</v>
      </c>
      <c r="Y128" s="204">
        <f t="shared" si="17"/>
        <v>12</v>
      </c>
      <c r="Z128" s="38">
        <f t="shared" si="18"/>
        <v>10</v>
      </c>
      <c r="AA128" s="39">
        <f t="shared" si="19"/>
        <v>12</v>
      </c>
      <c r="AB128" s="39">
        <f t="shared" si="20"/>
        <v>22</v>
      </c>
      <c r="AC128" s="209"/>
    </row>
    <row r="129" spans="1:47" s="1" customFormat="1" ht="30.75" x14ac:dyDescent="0.2">
      <c r="A129" s="11" t="s">
        <v>28</v>
      </c>
      <c r="B129" s="12" t="s">
        <v>24</v>
      </c>
      <c r="C129" s="12" t="s">
        <v>264</v>
      </c>
      <c r="D129" s="12" t="s">
        <v>218</v>
      </c>
      <c r="E129" s="12">
        <v>6310179</v>
      </c>
      <c r="F129" s="13">
        <v>8115</v>
      </c>
      <c r="G129" s="14">
        <v>45511</v>
      </c>
      <c r="H129" s="15" t="s">
        <v>7</v>
      </c>
      <c r="I129" s="16" t="s">
        <v>101</v>
      </c>
      <c r="J129" s="16"/>
      <c r="K129" s="17">
        <v>8110</v>
      </c>
      <c r="L129" s="18">
        <v>45512</v>
      </c>
      <c r="M129" s="19" t="s">
        <v>35</v>
      </c>
      <c r="N129" s="20" t="s">
        <v>36</v>
      </c>
      <c r="O129" s="20">
        <v>16</v>
      </c>
      <c r="P129" s="20"/>
      <c r="Q129" s="21">
        <v>45513</v>
      </c>
      <c r="R129" s="20">
        <v>500</v>
      </c>
      <c r="S129" s="22">
        <v>8091</v>
      </c>
      <c r="T129" s="23">
        <v>38</v>
      </c>
      <c r="V129" s="37">
        <f t="shared" si="14"/>
        <v>8038</v>
      </c>
      <c r="W129" s="28">
        <f t="shared" si="15"/>
        <v>-53</v>
      </c>
      <c r="X129" s="45">
        <f t="shared" si="16"/>
        <v>-72</v>
      </c>
      <c r="Y129" s="204">
        <f t="shared" si="17"/>
        <v>-77</v>
      </c>
      <c r="Z129" s="38">
        <f t="shared" si="18"/>
        <v>-5</v>
      </c>
      <c r="AA129" s="39">
        <f t="shared" si="19"/>
        <v>-19</v>
      </c>
      <c r="AB129" s="39">
        <f t="shared" si="20"/>
        <v>-24</v>
      </c>
      <c r="AC129" s="209"/>
    </row>
    <row r="130" spans="1:47" s="1" customFormat="1" ht="30.75" x14ac:dyDescent="0.2">
      <c r="A130" s="11" t="s">
        <v>28</v>
      </c>
      <c r="B130" s="12" t="s">
        <v>19</v>
      </c>
      <c r="C130" s="12" t="s">
        <v>266</v>
      </c>
      <c r="D130" s="12" t="s">
        <v>62</v>
      </c>
      <c r="E130" s="12">
        <v>6312690</v>
      </c>
      <c r="F130" s="13">
        <v>8135</v>
      </c>
      <c r="G130" s="14">
        <v>45513</v>
      </c>
      <c r="H130" s="15" t="s">
        <v>7</v>
      </c>
      <c r="I130" s="16" t="s">
        <v>16</v>
      </c>
      <c r="J130" s="16">
        <v>6312908</v>
      </c>
      <c r="K130" s="17">
        <v>8150</v>
      </c>
      <c r="L130" s="18">
        <v>45513</v>
      </c>
      <c r="M130" s="19" t="s">
        <v>35</v>
      </c>
      <c r="N130" s="20" t="s">
        <v>74</v>
      </c>
      <c r="O130" s="20">
        <v>16</v>
      </c>
      <c r="P130" s="20"/>
      <c r="Q130" s="21">
        <v>45513</v>
      </c>
      <c r="R130" s="20">
        <v>110</v>
      </c>
      <c r="S130" s="22">
        <v>8110</v>
      </c>
      <c r="T130" s="23">
        <v>10</v>
      </c>
      <c r="V130" s="37">
        <f t="shared" si="14"/>
        <v>8120</v>
      </c>
      <c r="W130" s="28">
        <f t="shared" si="15"/>
        <v>10</v>
      </c>
      <c r="X130" s="26">
        <f t="shared" si="16"/>
        <v>-30</v>
      </c>
      <c r="Y130" s="47">
        <f t="shared" si="17"/>
        <v>-15</v>
      </c>
      <c r="Z130" s="38">
        <f t="shared" si="18"/>
        <v>15</v>
      </c>
      <c r="AA130" s="39">
        <f t="shared" si="19"/>
        <v>-40</v>
      </c>
      <c r="AB130" s="39">
        <f t="shared" si="20"/>
        <v>-25</v>
      </c>
      <c r="AC130" s="209"/>
    </row>
    <row r="131" spans="1:47" s="1" customFormat="1" ht="30.75" x14ac:dyDescent="0.2">
      <c r="A131" s="11" t="s">
        <v>28</v>
      </c>
      <c r="B131" s="12" t="s">
        <v>19</v>
      </c>
      <c r="C131" s="12" t="s">
        <v>267</v>
      </c>
      <c r="D131" s="12" t="s">
        <v>62</v>
      </c>
      <c r="E131" s="12">
        <v>6310870</v>
      </c>
      <c r="F131" s="13">
        <v>7700</v>
      </c>
      <c r="G131" s="14">
        <v>45512</v>
      </c>
      <c r="H131" s="15" t="s">
        <v>7</v>
      </c>
      <c r="I131" s="16" t="s">
        <v>27</v>
      </c>
      <c r="J131" s="16">
        <v>6312771</v>
      </c>
      <c r="K131" s="17">
        <v>7760</v>
      </c>
      <c r="L131" s="18">
        <v>45513</v>
      </c>
      <c r="M131" s="19" t="s">
        <v>35</v>
      </c>
      <c r="N131" s="20" t="s">
        <v>74</v>
      </c>
      <c r="O131" s="20">
        <v>15</v>
      </c>
      <c r="P131" s="20"/>
      <c r="Q131" s="21">
        <v>45513</v>
      </c>
      <c r="R131" s="20">
        <v>500</v>
      </c>
      <c r="S131" s="22">
        <v>7700</v>
      </c>
      <c r="T131" s="23">
        <v>200</v>
      </c>
      <c r="V131" s="37">
        <f t="shared" si="14"/>
        <v>7700</v>
      </c>
      <c r="W131" s="28">
        <f t="shared" si="15"/>
        <v>0</v>
      </c>
      <c r="X131" s="26">
        <f t="shared" si="16"/>
        <v>-60</v>
      </c>
      <c r="Y131" s="47">
        <f t="shared" si="17"/>
        <v>0</v>
      </c>
      <c r="Z131" s="38">
        <f t="shared" si="18"/>
        <v>60</v>
      </c>
      <c r="AA131" s="39">
        <f t="shared" si="19"/>
        <v>-60</v>
      </c>
      <c r="AB131" s="39">
        <f t="shared" si="20"/>
        <v>0</v>
      </c>
      <c r="AC131" s="209"/>
    </row>
    <row r="132" spans="1:47" s="1" customFormat="1" ht="30.75" x14ac:dyDescent="0.2">
      <c r="A132" s="11" t="s">
        <v>28</v>
      </c>
      <c r="B132" s="12" t="s">
        <v>19</v>
      </c>
      <c r="C132" s="12" t="s">
        <v>268</v>
      </c>
      <c r="D132" s="12" t="s">
        <v>218</v>
      </c>
      <c r="E132" s="12">
        <v>6313415</v>
      </c>
      <c r="F132" s="13">
        <v>8140</v>
      </c>
      <c r="G132" s="14">
        <v>45513</v>
      </c>
      <c r="H132" s="15" t="s">
        <v>7</v>
      </c>
      <c r="I132" s="16" t="s">
        <v>16</v>
      </c>
      <c r="J132" s="16">
        <v>6313415</v>
      </c>
      <c r="K132" s="17">
        <v>8150</v>
      </c>
      <c r="L132" s="18">
        <v>45513</v>
      </c>
      <c r="M132" s="19" t="s">
        <v>35</v>
      </c>
      <c r="N132" s="20" t="s">
        <v>79</v>
      </c>
      <c r="O132" s="20">
        <v>16</v>
      </c>
      <c r="P132" s="20"/>
      <c r="Q132" s="21">
        <v>45513</v>
      </c>
      <c r="R132" s="20">
        <v>110</v>
      </c>
      <c r="S132" s="22">
        <v>8156</v>
      </c>
      <c r="T132" s="23">
        <v>50</v>
      </c>
      <c r="V132" s="37">
        <f t="shared" si="14"/>
        <v>8160</v>
      </c>
      <c r="W132" s="28">
        <f t="shared" si="15"/>
        <v>4</v>
      </c>
      <c r="X132" s="45">
        <f t="shared" si="16"/>
        <v>10</v>
      </c>
      <c r="Y132" s="204">
        <f t="shared" si="17"/>
        <v>20</v>
      </c>
      <c r="Z132" s="38">
        <f t="shared" si="18"/>
        <v>10</v>
      </c>
      <c r="AA132" s="39">
        <f t="shared" si="19"/>
        <v>6</v>
      </c>
      <c r="AB132" s="39">
        <f t="shared" si="20"/>
        <v>16</v>
      </c>
      <c r="AC132" s="209"/>
    </row>
    <row r="133" spans="1:47" s="1" customFormat="1" ht="30.75" x14ac:dyDescent="0.2">
      <c r="A133" s="11" t="s">
        <v>28</v>
      </c>
      <c r="B133" s="12" t="s">
        <v>24</v>
      </c>
      <c r="C133" s="12" t="s">
        <v>269</v>
      </c>
      <c r="D133" s="12" t="s">
        <v>62</v>
      </c>
      <c r="E133" s="12">
        <v>6312504</v>
      </c>
      <c r="F133" s="13">
        <v>8140</v>
      </c>
      <c r="G133" s="14">
        <v>45513</v>
      </c>
      <c r="H133" s="15" t="s">
        <v>7</v>
      </c>
      <c r="I133" s="16" t="s">
        <v>27</v>
      </c>
      <c r="J133" s="16">
        <v>6312697</v>
      </c>
      <c r="K133" s="17">
        <v>8170</v>
      </c>
      <c r="L133" s="18">
        <v>45513</v>
      </c>
      <c r="M133" s="19" t="s">
        <v>39</v>
      </c>
      <c r="N133" s="20" t="s">
        <v>18</v>
      </c>
      <c r="O133" s="20">
        <v>16</v>
      </c>
      <c r="P133" s="20"/>
      <c r="Q133" s="21">
        <v>45513</v>
      </c>
      <c r="R133" s="20">
        <v>110</v>
      </c>
      <c r="S133" s="22">
        <v>8150</v>
      </c>
      <c r="T133" s="23">
        <v>15</v>
      </c>
      <c r="V133" s="37">
        <f t="shared" si="14"/>
        <v>8125</v>
      </c>
      <c r="W133" s="46">
        <f t="shared" si="15"/>
        <v>-25</v>
      </c>
      <c r="X133" s="26">
        <f t="shared" si="16"/>
        <v>-45</v>
      </c>
      <c r="Y133" s="203">
        <f t="shared" si="17"/>
        <v>-15</v>
      </c>
      <c r="Z133" s="38">
        <f t="shared" si="18"/>
        <v>30</v>
      </c>
      <c r="AA133" s="39">
        <f t="shared" si="19"/>
        <v>-20</v>
      </c>
      <c r="AB133" s="39">
        <f t="shared" si="20"/>
        <v>10</v>
      </c>
      <c r="AC133" s="209"/>
    </row>
    <row r="134" spans="1:47" s="1" customFormat="1" ht="30.75" x14ac:dyDescent="0.2">
      <c r="A134" s="11" t="s">
        <v>28</v>
      </c>
      <c r="B134" s="12" t="s">
        <v>19</v>
      </c>
      <c r="C134" s="12" t="s">
        <v>270</v>
      </c>
      <c r="D134" s="12" t="s">
        <v>15</v>
      </c>
      <c r="E134" s="12">
        <v>6312174</v>
      </c>
      <c r="F134" s="13">
        <v>8040</v>
      </c>
      <c r="G134" s="14">
        <v>45512</v>
      </c>
      <c r="H134" s="15" t="s">
        <v>7</v>
      </c>
      <c r="I134" s="16" t="s">
        <v>16</v>
      </c>
      <c r="J134" s="16">
        <v>6313062</v>
      </c>
      <c r="K134" s="17">
        <v>8000</v>
      </c>
      <c r="L134" s="18">
        <v>45513</v>
      </c>
      <c r="M134" s="19" t="s">
        <v>35</v>
      </c>
      <c r="N134" s="20" t="s">
        <v>74</v>
      </c>
      <c r="O134" s="20">
        <v>15</v>
      </c>
      <c r="P134" s="20"/>
      <c r="Q134" s="21">
        <v>45513</v>
      </c>
      <c r="R134" s="20">
        <v>500</v>
      </c>
      <c r="S134" s="22">
        <v>8041</v>
      </c>
      <c r="T134" s="23">
        <v>490</v>
      </c>
      <c r="V134" s="37">
        <f t="shared" si="14"/>
        <v>7990</v>
      </c>
      <c r="W134" s="24">
        <f t="shared" si="15"/>
        <v>-51</v>
      </c>
      <c r="X134" s="27">
        <f t="shared" si="16"/>
        <v>-10</v>
      </c>
      <c r="Y134" s="47">
        <f t="shared" si="17"/>
        <v>-50</v>
      </c>
      <c r="Z134" s="38">
        <f t="shared" si="18"/>
        <v>-40</v>
      </c>
      <c r="AA134" s="39">
        <f t="shared" si="19"/>
        <v>41</v>
      </c>
      <c r="AB134" s="39">
        <f t="shared" si="20"/>
        <v>1</v>
      </c>
      <c r="AC134" s="209"/>
    </row>
    <row r="135" spans="1:47" s="1" customFormat="1" ht="30.75" x14ac:dyDescent="0.2">
      <c r="A135" s="11" t="s">
        <v>28</v>
      </c>
      <c r="B135" s="12" t="s">
        <v>19</v>
      </c>
      <c r="C135" s="12" t="s">
        <v>271</v>
      </c>
      <c r="D135" s="12" t="s">
        <v>62</v>
      </c>
      <c r="E135" s="12">
        <v>6312815</v>
      </c>
      <c r="F135" s="13">
        <v>8120</v>
      </c>
      <c r="G135" s="14">
        <v>45513</v>
      </c>
      <c r="H135" s="15" t="s">
        <v>7</v>
      </c>
      <c r="I135" s="16" t="s">
        <v>16</v>
      </c>
      <c r="J135" s="16">
        <v>6313288</v>
      </c>
      <c r="K135" s="17">
        <v>8140</v>
      </c>
      <c r="L135" s="18">
        <v>45513</v>
      </c>
      <c r="M135" s="19" t="s">
        <v>39</v>
      </c>
      <c r="N135" s="20" t="s">
        <v>18</v>
      </c>
      <c r="O135" s="20">
        <v>16</v>
      </c>
      <c r="P135" s="20"/>
      <c r="Q135" s="21">
        <v>45513</v>
      </c>
      <c r="R135" s="20">
        <v>500</v>
      </c>
      <c r="S135" s="22">
        <v>8100</v>
      </c>
      <c r="T135" s="23">
        <v>90</v>
      </c>
      <c r="V135" s="37">
        <f t="shared" si="14"/>
        <v>8090</v>
      </c>
      <c r="W135" s="28">
        <f t="shared" si="15"/>
        <v>-10</v>
      </c>
      <c r="X135" s="26">
        <f t="shared" si="16"/>
        <v>-50</v>
      </c>
      <c r="Y135" s="47">
        <f t="shared" si="17"/>
        <v>-30</v>
      </c>
      <c r="Z135" s="38">
        <f t="shared" si="18"/>
        <v>20</v>
      </c>
      <c r="AA135" s="39">
        <f t="shared" si="19"/>
        <v>-40</v>
      </c>
      <c r="AB135" s="39">
        <f t="shared" si="20"/>
        <v>-20</v>
      </c>
      <c r="AC135" s="209"/>
      <c r="AD135" s="208"/>
      <c r="AE135" s="208"/>
      <c r="AF135" s="208"/>
      <c r="AG135" s="208"/>
      <c r="AH135" s="208"/>
      <c r="AI135" s="208"/>
      <c r="AJ135" s="208"/>
      <c r="AK135" s="208"/>
      <c r="AL135" s="208"/>
    </row>
    <row r="136" spans="1:47" s="1" customFormat="1" ht="30.75" x14ac:dyDescent="0.2">
      <c r="A136" s="11" t="s">
        <v>5</v>
      </c>
      <c r="B136" s="12" t="s">
        <v>20</v>
      </c>
      <c r="C136" s="12" t="s">
        <v>274</v>
      </c>
      <c r="D136" s="12" t="s">
        <v>62</v>
      </c>
      <c r="E136" s="12">
        <v>6314229</v>
      </c>
      <c r="F136" s="13">
        <v>7660</v>
      </c>
      <c r="G136" s="14">
        <v>45514</v>
      </c>
      <c r="H136" s="15" t="s">
        <v>7</v>
      </c>
      <c r="I136" s="16" t="s">
        <v>16</v>
      </c>
      <c r="J136" s="16">
        <v>6315955</v>
      </c>
      <c r="K136" s="17">
        <v>7670</v>
      </c>
      <c r="L136" s="18">
        <v>45516</v>
      </c>
      <c r="M136" s="19" t="s">
        <v>39</v>
      </c>
      <c r="N136" s="20" t="s">
        <v>18</v>
      </c>
      <c r="O136" s="20">
        <v>15</v>
      </c>
      <c r="P136" s="20"/>
      <c r="Q136" s="21">
        <v>45516</v>
      </c>
      <c r="R136" s="20">
        <v>55</v>
      </c>
      <c r="S136" s="22">
        <v>7698</v>
      </c>
      <c r="T136" s="23">
        <v>123</v>
      </c>
      <c r="V136" s="37">
        <f t="shared" si="14"/>
        <v>7678</v>
      </c>
      <c r="W136" s="24">
        <f t="shared" si="15"/>
        <v>-20</v>
      </c>
      <c r="X136" s="27">
        <f t="shared" si="16"/>
        <v>8</v>
      </c>
      <c r="Y136" s="47">
        <f t="shared" si="17"/>
        <v>18</v>
      </c>
      <c r="Z136" s="38">
        <f t="shared" si="18"/>
        <v>10</v>
      </c>
      <c r="AA136" s="39">
        <f t="shared" si="19"/>
        <v>28</v>
      </c>
      <c r="AB136" s="39">
        <f t="shared" si="20"/>
        <v>38</v>
      </c>
      <c r="AC136" s="209"/>
      <c r="AD136" s="208"/>
      <c r="AE136" s="208"/>
      <c r="AF136" s="208"/>
      <c r="AG136" s="208"/>
      <c r="AH136" s="208"/>
      <c r="AI136" s="208"/>
      <c r="AJ136" s="208"/>
      <c r="AK136" s="208"/>
      <c r="AL136" s="208"/>
    </row>
    <row r="137" spans="1:47" s="1" customFormat="1" ht="30.75" x14ac:dyDescent="0.2">
      <c r="A137" s="11" t="s">
        <v>28</v>
      </c>
      <c r="B137" s="12" t="s">
        <v>24</v>
      </c>
      <c r="C137" s="12" t="s">
        <v>285</v>
      </c>
      <c r="D137" s="12" t="s">
        <v>218</v>
      </c>
      <c r="E137" s="12">
        <v>6312980</v>
      </c>
      <c r="F137" s="13">
        <v>8140</v>
      </c>
      <c r="G137" s="14">
        <v>45513</v>
      </c>
      <c r="H137" s="15" t="s">
        <v>7</v>
      </c>
      <c r="I137" s="16" t="s">
        <v>16</v>
      </c>
      <c r="J137" s="16">
        <v>6313635</v>
      </c>
      <c r="K137" s="17">
        <v>8160</v>
      </c>
      <c r="L137" s="18">
        <v>45513</v>
      </c>
      <c r="M137" s="19" t="s">
        <v>35</v>
      </c>
      <c r="N137" s="20" t="s">
        <v>79</v>
      </c>
      <c r="O137" s="20">
        <v>16</v>
      </c>
      <c r="P137" s="20"/>
      <c r="Q137" s="21">
        <v>45513</v>
      </c>
      <c r="R137" s="20">
        <v>110</v>
      </c>
      <c r="S137" s="22">
        <v>8164</v>
      </c>
      <c r="T137" s="23">
        <v>50</v>
      </c>
      <c r="V137" s="37">
        <f t="shared" si="14"/>
        <v>8160</v>
      </c>
      <c r="W137" s="46">
        <f t="shared" si="15"/>
        <v>-4</v>
      </c>
      <c r="X137" s="27">
        <f t="shared" si="16"/>
        <v>0</v>
      </c>
      <c r="Y137" s="204">
        <f t="shared" si="17"/>
        <v>20</v>
      </c>
      <c r="Z137" s="38">
        <f t="shared" si="18"/>
        <v>20</v>
      </c>
      <c r="AA137" s="39">
        <f t="shared" si="19"/>
        <v>4</v>
      </c>
      <c r="AB137" s="39">
        <f t="shared" si="20"/>
        <v>24</v>
      </c>
      <c r="AC137" s="209"/>
      <c r="AD137" s="208"/>
      <c r="AE137" s="208"/>
      <c r="AF137" s="208"/>
      <c r="AG137" s="208"/>
      <c r="AH137" s="208"/>
      <c r="AI137" s="208"/>
      <c r="AJ137" s="208"/>
      <c r="AK137" s="208"/>
      <c r="AL137" s="208"/>
    </row>
    <row r="138" spans="1:47" s="1" customFormat="1" ht="30.75" x14ac:dyDescent="0.2">
      <c r="A138" s="11"/>
      <c r="B138" s="12" t="s">
        <v>20</v>
      </c>
      <c r="C138" s="12" t="s">
        <v>287</v>
      </c>
      <c r="D138" s="12" t="s">
        <v>67</v>
      </c>
      <c r="E138" s="12">
        <v>6314599</v>
      </c>
      <c r="F138" s="13">
        <v>7660</v>
      </c>
      <c r="G138" s="14">
        <v>45514</v>
      </c>
      <c r="H138" s="15" t="s">
        <v>7</v>
      </c>
      <c r="I138" s="16" t="s">
        <v>101</v>
      </c>
      <c r="J138" s="16">
        <v>6316144</v>
      </c>
      <c r="K138" s="17">
        <v>7670</v>
      </c>
      <c r="L138" s="18">
        <v>45516</v>
      </c>
      <c r="M138" s="19" t="s">
        <v>39</v>
      </c>
      <c r="N138" s="20" t="s">
        <v>115</v>
      </c>
      <c r="O138" s="20">
        <v>15</v>
      </c>
      <c r="P138" s="20"/>
      <c r="Q138" s="21">
        <v>45516</v>
      </c>
      <c r="R138" s="20">
        <v>55</v>
      </c>
      <c r="S138" s="22">
        <v>7697</v>
      </c>
      <c r="T138" s="23">
        <v>118</v>
      </c>
      <c r="V138" s="37">
        <f t="shared" si="14"/>
        <v>7673</v>
      </c>
      <c r="W138" s="24">
        <f t="shared" si="15"/>
        <v>-24</v>
      </c>
      <c r="X138" s="27">
        <f t="shared" si="16"/>
        <v>3</v>
      </c>
      <c r="Y138" s="47">
        <f t="shared" si="17"/>
        <v>13</v>
      </c>
      <c r="Z138" s="38">
        <f t="shared" si="18"/>
        <v>10</v>
      </c>
      <c r="AA138" s="39">
        <f t="shared" si="19"/>
        <v>27</v>
      </c>
      <c r="AB138" s="39">
        <f t="shared" si="20"/>
        <v>37</v>
      </c>
      <c r="AC138" s="209"/>
      <c r="AD138" s="208"/>
      <c r="AE138" s="208"/>
      <c r="AF138" s="208"/>
      <c r="AG138" s="208"/>
      <c r="AH138" s="208"/>
      <c r="AI138" s="208"/>
      <c r="AJ138" s="208"/>
      <c r="AK138" s="208"/>
      <c r="AL138" s="208"/>
    </row>
    <row r="139" spans="1:47" x14ac:dyDescent="0.2">
      <c r="AD139" s="283"/>
      <c r="AE139" s="283"/>
      <c r="AF139" s="283"/>
      <c r="AG139" s="283"/>
      <c r="AH139" s="283"/>
      <c r="AI139" s="283"/>
      <c r="AJ139" s="283"/>
      <c r="AK139" s="283"/>
      <c r="AL139" s="283"/>
    </row>
    <row r="140" spans="1:47" x14ac:dyDescent="0.2">
      <c r="AD140" s="283"/>
      <c r="AE140" s="283"/>
      <c r="AF140" s="283"/>
      <c r="AG140" s="283"/>
      <c r="AH140" s="283"/>
      <c r="AI140" s="283"/>
      <c r="AJ140" s="283"/>
      <c r="AK140" s="283"/>
      <c r="AL140" s="283"/>
    </row>
    <row r="141" spans="1:47" x14ac:dyDescent="0.2">
      <c r="AD141" s="283"/>
      <c r="AE141" s="283"/>
      <c r="AF141" s="283"/>
      <c r="AG141" s="283"/>
      <c r="AH141" s="283"/>
      <c r="AI141" s="283"/>
      <c r="AJ141" s="283"/>
      <c r="AK141" s="283"/>
      <c r="AL141" s="283"/>
    </row>
    <row r="142" spans="1:47" x14ac:dyDescent="0.2">
      <c r="AD142" s="283"/>
      <c r="AE142" s="283"/>
      <c r="AF142" s="283"/>
      <c r="AG142" s="283"/>
      <c r="AH142" s="283"/>
      <c r="AI142" s="283"/>
      <c r="AJ142" s="283"/>
      <c r="AK142" s="283"/>
      <c r="AL142" s="283"/>
    </row>
    <row r="143" spans="1:47" ht="80.099999999999994" customHeight="1" thickBot="1" x14ac:dyDescent="0.25">
      <c r="AD143" s="283"/>
      <c r="AE143" s="283"/>
      <c r="AF143" s="283"/>
      <c r="AG143" s="283"/>
      <c r="AH143" s="283"/>
      <c r="AI143" s="283"/>
      <c r="AJ143" s="283"/>
      <c r="AK143" s="283"/>
      <c r="AL143" s="283"/>
    </row>
    <row r="144" spans="1:47" s="1" customFormat="1" ht="80.099999999999994" customHeight="1" x14ac:dyDescent="0.2">
      <c r="A144" s="144" t="s">
        <v>86</v>
      </c>
      <c r="B144" s="145" t="s">
        <v>136</v>
      </c>
      <c r="C144" s="145" t="s">
        <v>87</v>
      </c>
      <c r="D144" s="145" t="s">
        <v>88</v>
      </c>
      <c r="E144" s="145" t="s">
        <v>89</v>
      </c>
      <c r="F144" s="145" t="s">
        <v>90</v>
      </c>
      <c r="G144" s="146" t="s">
        <v>3</v>
      </c>
      <c r="H144" s="147" t="s">
        <v>9</v>
      </c>
      <c r="I144" s="148" t="s">
        <v>10</v>
      </c>
      <c r="J144" s="148" t="s">
        <v>1</v>
      </c>
      <c r="K144" s="148" t="s">
        <v>2</v>
      </c>
      <c r="L144" s="149" t="s">
        <v>3</v>
      </c>
      <c r="M144" s="7" t="s">
        <v>9</v>
      </c>
      <c r="N144" s="8" t="s">
        <v>10</v>
      </c>
      <c r="O144" s="9" t="s">
        <v>11</v>
      </c>
      <c r="P144" s="9" t="s">
        <v>12</v>
      </c>
      <c r="Q144" s="8" t="s">
        <v>3</v>
      </c>
      <c r="R144" s="9" t="s">
        <v>100</v>
      </c>
      <c r="S144" s="9" t="s">
        <v>95</v>
      </c>
      <c r="T144" s="10" t="s">
        <v>13</v>
      </c>
      <c r="V144" s="40" t="s">
        <v>60</v>
      </c>
      <c r="W144" s="143" t="s">
        <v>91</v>
      </c>
      <c r="X144" s="52" t="s">
        <v>92</v>
      </c>
      <c r="Y144" s="53" t="s">
        <v>93</v>
      </c>
      <c r="Z144" s="150" t="s">
        <v>94</v>
      </c>
      <c r="AA144" s="151" t="s">
        <v>117</v>
      </c>
      <c r="AB144" s="152" t="s">
        <v>118</v>
      </c>
      <c r="AC144" s="209"/>
      <c r="AD144" s="208"/>
      <c r="AE144" s="284"/>
      <c r="AF144" s="284"/>
      <c r="AG144" s="284"/>
      <c r="AH144" s="284"/>
      <c r="AI144" s="208"/>
      <c r="AJ144" s="208"/>
      <c r="AK144" s="208"/>
      <c r="AL144" s="208"/>
      <c r="AM144" s="209"/>
      <c r="AN144" s="209"/>
      <c r="AO144" s="209"/>
      <c r="AP144" s="209"/>
      <c r="AQ144" s="209"/>
      <c r="AR144" s="209"/>
      <c r="AS144" s="209"/>
      <c r="AT144" s="209"/>
      <c r="AU144" s="209"/>
    </row>
    <row r="145" spans="1:38" s="1" customFormat="1" ht="30.75" x14ac:dyDescent="0.2">
      <c r="A145" s="11" t="s">
        <v>5</v>
      </c>
      <c r="B145" s="12" t="s">
        <v>24</v>
      </c>
      <c r="C145" s="12" t="s">
        <v>166</v>
      </c>
      <c r="D145" s="12" t="s">
        <v>46</v>
      </c>
      <c r="E145" s="12">
        <v>6291231</v>
      </c>
      <c r="F145" s="13">
        <v>7150</v>
      </c>
      <c r="G145" s="14">
        <v>45496</v>
      </c>
      <c r="H145" s="15" t="s">
        <v>163</v>
      </c>
      <c r="I145" s="16" t="s">
        <v>121</v>
      </c>
      <c r="J145" s="16">
        <v>6292099</v>
      </c>
      <c r="K145" s="17">
        <v>7150</v>
      </c>
      <c r="L145" s="18">
        <v>45497</v>
      </c>
      <c r="M145" s="19" t="s">
        <v>39</v>
      </c>
      <c r="N145" s="20" t="s">
        <v>51</v>
      </c>
      <c r="O145" s="20">
        <v>14</v>
      </c>
      <c r="P145" s="20"/>
      <c r="Q145" s="21">
        <v>45497</v>
      </c>
      <c r="R145" s="20">
        <v>500</v>
      </c>
      <c r="S145" s="22">
        <v>7155</v>
      </c>
      <c r="T145" s="23">
        <v>150</v>
      </c>
      <c r="V145" s="37">
        <f t="shared" ref="V145:V158" si="21">IF(RIGHT(C145, 1)="1",
    IF(O145&lt;&gt;"", 500*O145 + T145 + IF(R145&lt;=110, R145, 0), IF(P145&lt;&gt;"", 305*P145 + T145 + IF(R145&lt;=110, R145, 0), "")),
    IF(O145&lt;&gt;"", 500*O145 + T145, IF(P145&lt;&gt;"", 305*P145 + T145, ""))
)</f>
        <v>7150</v>
      </c>
      <c r="W145" s="24">
        <f t="shared" ref="W145:W158" si="22">IF(OR(ISBLANK(V145), ISBLANK(S145), NOT(ISNUMBER(V145)), NOT(ISNUMBER(S145))), "", V145-S145)</f>
        <v>-5</v>
      </c>
      <c r="X145" s="27">
        <f t="shared" ref="X145:X158" si="23">IF(OR(ISBLANK(V145), ISBLANK(K145), NOT(ISNUMBER(V145)), NOT(ISNUMBER(K145))), "", V145-K145)</f>
        <v>0</v>
      </c>
      <c r="Y145" s="200">
        <f t="shared" ref="Y145:Y158" si="24">IF(OR(ISBLANK(V145), ISBLANK(F145), NOT(ISNUMBER(V145)), NOT(ISNUMBER(F145))), "", V145-F145)</f>
        <v>0</v>
      </c>
      <c r="Z145" s="38">
        <f t="shared" ref="Z145:Z158" si="25">IF(OR(ISBLANK(F145), ISBLANK(K145)), "",K145-F145)</f>
        <v>0</v>
      </c>
      <c r="AA145" s="39">
        <f t="shared" ref="AA145:AA158" si="26">IF(OR(ISBLANK(K145), ISBLANK(S145)), "",S145-K145)</f>
        <v>5</v>
      </c>
      <c r="AB145" s="58">
        <f t="shared" ref="AB145:AB158" si="27">IF(OR(ISBLANK(F145), ISBLANK(S145)), "",S145-F145)</f>
        <v>5</v>
      </c>
      <c r="AD145" s="208"/>
      <c r="AE145" s="208"/>
      <c r="AF145" s="208"/>
      <c r="AG145" s="208"/>
      <c r="AH145" s="208"/>
      <c r="AI145" s="208"/>
      <c r="AJ145" s="208"/>
      <c r="AK145" s="208"/>
      <c r="AL145" s="208"/>
    </row>
    <row r="146" spans="1:38" s="1" customFormat="1" ht="30.75" x14ac:dyDescent="0.2">
      <c r="A146" s="11" t="s">
        <v>5</v>
      </c>
      <c r="B146" s="12" t="s">
        <v>24</v>
      </c>
      <c r="C146" s="12" t="s">
        <v>157</v>
      </c>
      <c r="D146" s="12" t="s">
        <v>46</v>
      </c>
      <c r="E146" s="12">
        <v>6289995</v>
      </c>
      <c r="F146" s="13">
        <v>7660</v>
      </c>
      <c r="G146" s="14">
        <v>45495</v>
      </c>
      <c r="H146" s="15" t="s">
        <v>163</v>
      </c>
      <c r="I146" s="16" t="s">
        <v>8</v>
      </c>
      <c r="J146" s="16">
        <v>6291450</v>
      </c>
      <c r="K146" s="17">
        <v>7660</v>
      </c>
      <c r="L146" s="18">
        <v>45496</v>
      </c>
      <c r="M146" s="19" t="s">
        <v>39</v>
      </c>
      <c r="N146" s="20" t="s">
        <v>41</v>
      </c>
      <c r="O146" s="20">
        <v>15</v>
      </c>
      <c r="P146" s="20"/>
      <c r="Q146" s="21">
        <v>45496</v>
      </c>
      <c r="R146" s="20">
        <v>500</v>
      </c>
      <c r="S146" s="22">
        <v>7667</v>
      </c>
      <c r="T146" s="23">
        <v>165</v>
      </c>
      <c r="V146" s="37">
        <f t="shared" si="21"/>
        <v>7665</v>
      </c>
      <c r="W146" s="28">
        <f t="shared" si="22"/>
        <v>-2</v>
      </c>
      <c r="X146" s="26">
        <f t="shared" si="23"/>
        <v>5</v>
      </c>
      <c r="Y146" s="200">
        <f t="shared" si="24"/>
        <v>5</v>
      </c>
      <c r="Z146" s="38">
        <f t="shared" si="25"/>
        <v>0</v>
      </c>
      <c r="AA146" s="39">
        <f t="shared" si="26"/>
        <v>7</v>
      </c>
      <c r="AB146" s="58">
        <f t="shared" si="27"/>
        <v>7</v>
      </c>
      <c r="AD146" s="208"/>
      <c r="AE146" s="208"/>
      <c r="AF146" s="208"/>
      <c r="AG146" s="208"/>
      <c r="AH146" s="208"/>
      <c r="AI146" s="208"/>
      <c r="AJ146" s="208"/>
      <c r="AK146" s="208"/>
      <c r="AL146" s="208"/>
    </row>
    <row r="147" spans="1:38" s="1" customFormat="1" ht="30.75" x14ac:dyDescent="0.2">
      <c r="A147" s="11" t="s">
        <v>5</v>
      </c>
      <c r="B147" s="12" t="s">
        <v>24</v>
      </c>
      <c r="C147" s="12" t="s">
        <v>165</v>
      </c>
      <c r="D147" s="12" t="s">
        <v>62</v>
      </c>
      <c r="E147" s="12">
        <v>6291652</v>
      </c>
      <c r="F147" s="13">
        <v>7780</v>
      </c>
      <c r="G147" s="14">
        <v>45496</v>
      </c>
      <c r="H147" s="15" t="s">
        <v>163</v>
      </c>
      <c r="I147" s="16" t="s">
        <v>32</v>
      </c>
      <c r="J147" s="16">
        <v>6291901</v>
      </c>
      <c r="K147" s="17">
        <v>7780</v>
      </c>
      <c r="L147" s="18">
        <v>45497</v>
      </c>
      <c r="M147" s="19" t="s">
        <v>39</v>
      </c>
      <c r="N147" s="20" t="s">
        <v>18</v>
      </c>
      <c r="O147" s="20">
        <v>15</v>
      </c>
      <c r="P147" s="20"/>
      <c r="Q147" s="21">
        <v>45497</v>
      </c>
      <c r="R147" s="20">
        <v>110</v>
      </c>
      <c r="S147" s="22">
        <v>7795</v>
      </c>
      <c r="T147" s="23">
        <v>180</v>
      </c>
      <c r="V147" s="37">
        <f t="shared" si="21"/>
        <v>7790</v>
      </c>
      <c r="W147" s="28">
        <f t="shared" si="22"/>
        <v>-5</v>
      </c>
      <c r="X147" s="26">
        <f t="shared" si="23"/>
        <v>10</v>
      </c>
      <c r="Y147" s="200">
        <f t="shared" si="24"/>
        <v>10</v>
      </c>
      <c r="Z147" s="38">
        <f t="shared" si="25"/>
        <v>0</v>
      </c>
      <c r="AA147" s="39">
        <f t="shared" si="26"/>
        <v>15</v>
      </c>
      <c r="AB147" s="58">
        <f t="shared" si="27"/>
        <v>15</v>
      </c>
      <c r="AD147" s="208"/>
      <c r="AE147" s="208"/>
      <c r="AF147" s="208"/>
      <c r="AG147" s="208"/>
      <c r="AH147" s="208"/>
      <c r="AI147" s="208"/>
      <c r="AJ147" s="208"/>
      <c r="AK147" s="208"/>
      <c r="AL147" s="208"/>
    </row>
    <row r="148" spans="1:38" s="1" customFormat="1" ht="30.75" x14ac:dyDescent="0.2">
      <c r="A148" s="11" t="s">
        <v>5</v>
      </c>
      <c r="B148" s="12" t="s">
        <v>19</v>
      </c>
      <c r="C148" s="12" t="s">
        <v>167</v>
      </c>
      <c r="D148" s="12" t="s">
        <v>46</v>
      </c>
      <c r="E148" s="12">
        <v>6291369</v>
      </c>
      <c r="F148" s="13">
        <v>7780</v>
      </c>
      <c r="G148" s="14">
        <v>45496</v>
      </c>
      <c r="H148" s="15" t="s">
        <v>163</v>
      </c>
      <c r="I148" s="16" t="s">
        <v>63</v>
      </c>
      <c r="J148" s="16">
        <v>6291831</v>
      </c>
      <c r="K148" s="17">
        <v>7772</v>
      </c>
      <c r="L148" s="18">
        <v>45496</v>
      </c>
      <c r="M148" s="19" t="s">
        <v>39</v>
      </c>
      <c r="N148" s="20" t="s">
        <v>18</v>
      </c>
      <c r="O148" s="20">
        <v>15</v>
      </c>
      <c r="P148" s="20"/>
      <c r="Q148" s="21">
        <v>45497</v>
      </c>
      <c r="R148" s="20">
        <v>110</v>
      </c>
      <c r="S148" s="22">
        <v>7780</v>
      </c>
      <c r="T148" s="23">
        <v>180</v>
      </c>
      <c r="V148" s="37">
        <f t="shared" si="21"/>
        <v>7790</v>
      </c>
      <c r="W148" s="28">
        <f t="shared" si="22"/>
        <v>10</v>
      </c>
      <c r="X148" s="26">
        <f t="shared" si="23"/>
        <v>18</v>
      </c>
      <c r="Y148" s="200">
        <f t="shared" si="24"/>
        <v>10</v>
      </c>
      <c r="Z148" s="38">
        <f t="shared" si="25"/>
        <v>-8</v>
      </c>
      <c r="AA148" s="39">
        <f t="shared" si="26"/>
        <v>8</v>
      </c>
      <c r="AB148" s="58">
        <f t="shared" si="27"/>
        <v>0</v>
      </c>
      <c r="AD148" s="208"/>
      <c r="AE148" s="208"/>
      <c r="AF148" s="208"/>
      <c r="AG148" s="208"/>
      <c r="AH148" s="208"/>
      <c r="AI148" s="208"/>
      <c r="AJ148" s="208"/>
      <c r="AK148" s="208"/>
      <c r="AL148" s="208"/>
    </row>
    <row r="149" spans="1:38" s="1" customFormat="1" ht="30.75" x14ac:dyDescent="0.2">
      <c r="A149" s="11" t="s">
        <v>5</v>
      </c>
      <c r="B149" s="12" t="s">
        <v>21</v>
      </c>
      <c r="C149" s="12" t="s">
        <v>168</v>
      </c>
      <c r="D149" s="12" t="s">
        <v>62</v>
      </c>
      <c r="E149" s="12">
        <v>6288798</v>
      </c>
      <c r="F149" s="13">
        <v>7780</v>
      </c>
      <c r="G149" s="14">
        <v>45493</v>
      </c>
      <c r="H149" s="15" t="s">
        <v>163</v>
      </c>
      <c r="I149" s="16" t="s">
        <v>8</v>
      </c>
      <c r="J149" s="16">
        <v>6292190</v>
      </c>
      <c r="K149" s="17">
        <v>7738</v>
      </c>
      <c r="L149" s="18">
        <v>45497</v>
      </c>
      <c r="M149" s="19" t="s">
        <v>39</v>
      </c>
      <c r="N149" s="20" t="s">
        <v>41</v>
      </c>
      <c r="O149" s="20">
        <v>15</v>
      </c>
      <c r="P149" s="20"/>
      <c r="Q149" s="21">
        <v>45497</v>
      </c>
      <c r="R149" s="20">
        <v>505</v>
      </c>
      <c r="S149" s="22">
        <v>7735</v>
      </c>
      <c r="T149" s="23">
        <v>185</v>
      </c>
      <c r="V149" s="37">
        <f t="shared" si="21"/>
        <v>7685</v>
      </c>
      <c r="W149" s="28">
        <f t="shared" si="22"/>
        <v>-50</v>
      </c>
      <c r="X149" s="45">
        <f t="shared" si="23"/>
        <v>-53</v>
      </c>
      <c r="Y149" s="199">
        <f t="shared" si="24"/>
        <v>-95</v>
      </c>
      <c r="Z149" s="38">
        <f t="shared" si="25"/>
        <v>-42</v>
      </c>
      <c r="AA149" s="39">
        <f t="shared" si="26"/>
        <v>-3</v>
      </c>
      <c r="AB149" s="58">
        <f t="shared" si="27"/>
        <v>-45</v>
      </c>
      <c r="AD149" s="208"/>
      <c r="AE149" s="208"/>
      <c r="AF149" s="208"/>
      <c r="AG149" s="208"/>
      <c r="AH149" s="208"/>
      <c r="AI149" s="208"/>
      <c r="AJ149" s="208"/>
      <c r="AK149" s="208"/>
      <c r="AL149" s="208"/>
    </row>
    <row r="150" spans="1:38" s="1" customFormat="1" ht="30.75" x14ac:dyDescent="0.2">
      <c r="A150" s="11" t="s">
        <v>5</v>
      </c>
      <c r="B150" s="12" t="s">
        <v>21</v>
      </c>
      <c r="C150" s="12" t="s">
        <v>235</v>
      </c>
      <c r="D150" s="12" t="s">
        <v>62</v>
      </c>
      <c r="E150" s="12">
        <v>6306286</v>
      </c>
      <c r="F150" s="13">
        <v>7930</v>
      </c>
      <c r="G150" s="14">
        <v>45507</v>
      </c>
      <c r="H150" s="15" t="s">
        <v>163</v>
      </c>
      <c r="I150" s="16" t="s">
        <v>63</v>
      </c>
      <c r="J150" s="16">
        <v>6306485</v>
      </c>
      <c r="K150" s="17">
        <v>7835</v>
      </c>
      <c r="L150" s="18">
        <v>45509</v>
      </c>
      <c r="M150" s="19" t="s">
        <v>39</v>
      </c>
      <c r="N150" s="20" t="s">
        <v>115</v>
      </c>
      <c r="O150" s="20"/>
      <c r="P150" s="20">
        <v>25</v>
      </c>
      <c r="Q150" s="21">
        <v>45509</v>
      </c>
      <c r="R150" s="20">
        <v>110</v>
      </c>
      <c r="S150" s="22">
        <v>7742</v>
      </c>
      <c r="T150" s="23">
        <v>130</v>
      </c>
      <c r="V150" s="37">
        <f t="shared" si="21"/>
        <v>7865</v>
      </c>
      <c r="W150" s="24">
        <f t="shared" si="22"/>
        <v>123</v>
      </c>
      <c r="X150" s="27">
        <f t="shared" si="23"/>
        <v>30</v>
      </c>
      <c r="Y150" s="200">
        <f t="shared" si="24"/>
        <v>-65</v>
      </c>
      <c r="Z150" s="38">
        <f t="shared" si="25"/>
        <v>-95</v>
      </c>
      <c r="AA150" s="39">
        <f t="shared" si="26"/>
        <v>-93</v>
      </c>
      <c r="AB150" s="58">
        <f t="shared" si="27"/>
        <v>-188</v>
      </c>
      <c r="AD150" s="208"/>
      <c r="AE150" s="208"/>
      <c r="AF150" s="208"/>
      <c r="AG150" s="208"/>
      <c r="AH150" s="208"/>
      <c r="AI150" s="208"/>
      <c r="AJ150" s="208"/>
      <c r="AK150" s="208"/>
      <c r="AL150" s="208"/>
    </row>
    <row r="151" spans="1:38" s="1" customFormat="1" ht="30.75" x14ac:dyDescent="0.2">
      <c r="A151" s="11" t="s">
        <v>5</v>
      </c>
      <c r="B151" s="12" t="s">
        <v>20</v>
      </c>
      <c r="C151" s="12" t="s">
        <v>256</v>
      </c>
      <c r="D151" s="12" t="s">
        <v>218</v>
      </c>
      <c r="E151" s="12">
        <v>6309941</v>
      </c>
      <c r="F151" s="13">
        <v>7660</v>
      </c>
      <c r="G151" s="14">
        <v>45511</v>
      </c>
      <c r="H151" s="15" t="s">
        <v>163</v>
      </c>
      <c r="I151" s="16" t="s">
        <v>8</v>
      </c>
      <c r="J151" s="16">
        <v>6310390</v>
      </c>
      <c r="K151" s="17">
        <v>7660</v>
      </c>
      <c r="L151" s="18">
        <v>45511</v>
      </c>
      <c r="M151" s="19" t="s">
        <v>35</v>
      </c>
      <c r="N151" s="20" t="s">
        <v>79</v>
      </c>
      <c r="O151" s="20">
        <v>15</v>
      </c>
      <c r="P151" s="20"/>
      <c r="Q151" s="21">
        <v>45511</v>
      </c>
      <c r="R151" s="20">
        <v>110</v>
      </c>
      <c r="S151" s="22">
        <v>7660</v>
      </c>
      <c r="T151" s="23">
        <v>40</v>
      </c>
      <c r="V151" s="37">
        <f t="shared" si="21"/>
        <v>7650</v>
      </c>
      <c r="W151" s="24">
        <f t="shared" si="22"/>
        <v>-10</v>
      </c>
      <c r="X151" s="45">
        <f t="shared" si="23"/>
        <v>-10</v>
      </c>
      <c r="Y151" s="47">
        <f t="shared" si="24"/>
        <v>-10</v>
      </c>
      <c r="Z151" s="38">
        <f t="shared" si="25"/>
        <v>0</v>
      </c>
      <c r="AA151" s="39">
        <f t="shared" si="26"/>
        <v>0</v>
      </c>
      <c r="AB151" s="39">
        <f t="shared" si="27"/>
        <v>0</v>
      </c>
      <c r="AC151" s="209"/>
      <c r="AD151" s="208"/>
      <c r="AE151" s="208"/>
      <c r="AF151" s="208"/>
      <c r="AG151" s="208"/>
      <c r="AH151" s="208"/>
      <c r="AI151" s="208"/>
      <c r="AJ151" s="208"/>
      <c r="AK151" s="208"/>
      <c r="AL151" s="208"/>
    </row>
    <row r="152" spans="1:38" s="1" customFormat="1" ht="30.75" x14ac:dyDescent="0.2">
      <c r="A152" s="11" t="s">
        <v>28</v>
      </c>
      <c r="B152" s="12" t="s">
        <v>21</v>
      </c>
      <c r="C152" s="12" t="s">
        <v>265</v>
      </c>
      <c r="D152" s="12" t="s">
        <v>218</v>
      </c>
      <c r="E152" s="12">
        <v>6311718</v>
      </c>
      <c r="F152" s="13">
        <v>7660</v>
      </c>
      <c r="G152" s="14">
        <v>45512</v>
      </c>
      <c r="H152" s="15" t="s">
        <v>163</v>
      </c>
      <c r="I152" s="16" t="s">
        <v>8</v>
      </c>
      <c r="J152" s="16">
        <v>6312184</v>
      </c>
      <c r="K152" s="17">
        <v>7540</v>
      </c>
      <c r="L152" s="18">
        <v>45512</v>
      </c>
      <c r="M152" s="19" t="s">
        <v>35</v>
      </c>
      <c r="N152" s="20"/>
      <c r="O152" s="20">
        <v>15</v>
      </c>
      <c r="P152" s="20"/>
      <c r="Q152" s="21">
        <v>45512</v>
      </c>
      <c r="R152" s="20">
        <v>110</v>
      </c>
      <c r="S152" s="22">
        <v>7539</v>
      </c>
      <c r="T152" s="23">
        <v>34</v>
      </c>
      <c r="V152" s="37">
        <f t="shared" si="21"/>
        <v>7534</v>
      </c>
      <c r="W152" s="28">
        <f t="shared" si="22"/>
        <v>-5</v>
      </c>
      <c r="X152" s="45">
        <f t="shared" si="23"/>
        <v>-6</v>
      </c>
      <c r="Y152" s="204">
        <f t="shared" si="24"/>
        <v>-126</v>
      </c>
      <c r="Z152" s="38">
        <f t="shared" si="25"/>
        <v>-120</v>
      </c>
      <c r="AA152" s="39">
        <f t="shared" si="26"/>
        <v>-1</v>
      </c>
      <c r="AB152" s="39">
        <f t="shared" si="27"/>
        <v>-121</v>
      </c>
      <c r="AC152" s="209"/>
      <c r="AD152" s="208"/>
      <c r="AE152" s="208"/>
      <c r="AF152" s="208"/>
      <c r="AG152" s="208"/>
      <c r="AH152" s="208"/>
      <c r="AI152" s="208"/>
      <c r="AJ152" s="208"/>
      <c r="AK152" s="208"/>
      <c r="AL152" s="208"/>
    </row>
    <row r="153" spans="1:38" s="1" customFormat="1" ht="30.75" x14ac:dyDescent="0.2">
      <c r="A153" s="11" t="s">
        <v>5</v>
      </c>
      <c r="B153" s="12" t="s">
        <v>19</v>
      </c>
      <c r="C153" s="12" t="s">
        <v>272</v>
      </c>
      <c r="D153" s="12" t="s">
        <v>15</v>
      </c>
      <c r="E153" s="12">
        <v>6312304</v>
      </c>
      <c r="F153" s="13">
        <v>7660</v>
      </c>
      <c r="G153" s="14">
        <v>45512</v>
      </c>
      <c r="H153" s="15" t="s">
        <v>163</v>
      </c>
      <c r="I153" s="16" t="s">
        <v>63</v>
      </c>
      <c r="J153" s="16">
        <v>6311066</v>
      </c>
      <c r="K153" s="17">
        <v>7659</v>
      </c>
      <c r="L153" s="18">
        <v>45513</v>
      </c>
      <c r="M153" s="19" t="s">
        <v>39</v>
      </c>
      <c r="N153" s="20" t="s">
        <v>18</v>
      </c>
      <c r="O153" s="20">
        <v>15</v>
      </c>
      <c r="P153" s="20"/>
      <c r="Q153" s="21">
        <v>45513</v>
      </c>
      <c r="R153" s="20">
        <v>110</v>
      </c>
      <c r="S153" s="22">
        <v>7670</v>
      </c>
      <c r="T153" s="23">
        <v>70</v>
      </c>
      <c r="V153" s="37">
        <f t="shared" si="21"/>
        <v>7680</v>
      </c>
      <c r="W153" s="28">
        <f t="shared" si="22"/>
        <v>10</v>
      </c>
      <c r="X153" s="26">
        <f t="shared" si="23"/>
        <v>21</v>
      </c>
      <c r="Y153" s="47">
        <f t="shared" si="24"/>
        <v>20</v>
      </c>
      <c r="Z153" s="38">
        <f t="shared" si="25"/>
        <v>-1</v>
      </c>
      <c r="AA153" s="39">
        <f t="shared" si="26"/>
        <v>11</v>
      </c>
      <c r="AB153" s="39">
        <f t="shared" si="27"/>
        <v>10</v>
      </c>
      <c r="AC153" s="209"/>
      <c r="AD153" s="208"/>
      <c r="AE153" s="208"/>
      <c r="AF153" s="208"/>
      <c r="AG153" s="208"/>
      <c r="AH153" s="208"/>
      <c r="AI153" s="208"/>
      <c r="AJ153" s="208"/>
      <c r="AK153" s="208"/>
      <c r="AL153" s="208"/>
    </row>
    <row r="154" spans="1:38" s="1" customFormat="1" ht="30.75" x14ac:dyDescent="0.2">
      <c r="A154" s="11" t="s">
        <v>5</v>
      </c>
      <c r="B154" s="12" t="s">
        <v>21</v>
      </c>
      <c r="C154" s="12" t="s">
        <v>273</v>
      </c>
      <c r="D154" s="12" t="s">
        <v>62</v>
      </c>
      <c r="E154" s="12">
        <v>6311084</v>
      </c>
      <c r="F154" s="13">
        <v>8090</v>
      </c>
      <c r="G154" s="14">
        <v>45512</v>
      </c>
      <c r="H154" s="15" t="s">
        <v>163</v>
      </c>
      <c r="I154" s="16" t="s">
        <v>32</v>
      </c>
      <c r="J154" s="16">
        <v>6313058</v>
      </c>
      <c r="K154" s="17">
        <v>7980</v>
      </c>
      <c r="L154" s="18">
        <v>45513</v>
      </c>
      <c r="M154" s="19" t="s">
        <v>17</v>
      </c>
      <c r="N154" s="20" t="s">
        <v>115</v>
      </c>
      <c r="O154" s="20"/>
      <c r="P154" s="20">
        <v>26</v>
      </c>
      <c r="Q154" s="21">
        <v>45513</v>
      </c>
      <c r="R154" s="20">
        <v>310</v>
      </c>
      <c r="S154" s="22">
        <v>7993</v>
      </c>
      <c r="T154" s="23">
        <v>67</v>
      </c>
      <c r="V154" s="37">
        <f t="shared" si="21"/>
        <v>7997</v>
      </c>
      <c r="W154" s="28">
        <f t="shared" si="22"/>
        <v>4</v>
      </c>
      <c r="X154" s="45">
        <f t="shared" si="23"/>
        <v>17</v>
      </c>
      <c r="Y154" s="204">
        <f t="shared" si="24"/>
        <v>-93</v>
      </c>
      <c r="Z154" s="38">
        <f t="shared" si="25"/>
        <v>-110</v>
      </c>
      <c r="AA154" s="39">
        <f t="shared" si="26"/>
        <v>13</v>
      </c>
      <c r="AB154" s="39">
        <f t="shared" si="27"/>
        <v>-97</v>
      </c>
      <c r="AC154" s="209"/>
      <c r="AD154" s="208"/>
      <c r="AE154" s="208"/>
      <c r="AF154" s="208"/>
      <c r="AG154" s="208"/>
      <c r="AH154" s="208"/>
      <c r="AI154" s="208"/>
      <c r="AJ154" s="208"/>
      <c r="AK154" s="208"/>
      <c r="AL154" s="208"/>
    </row>
    <row r="155" spans="1:38" s="1" customFormat="1" ht="30.75" x14ac:dyDescent="0.2">
      <c r="A155" s="11" t="s">
        <v>5</v>
      </c>
      <c r="B155" s="12" t="s">
        <v>19</v>
      </c>
      <c r="C155" s="12" t="s">
        <v>280</v>
      </c>
      <c r="D155" s="12" t="s">
        <v>218</v>
      </c>
      <c r="E155" s="12">
        <v>6311907</v>
      </c>
      <c r="F155" s="13">
        <v>7750</v>
      </c>
      <c r="G155" s="14">
        <v>45512</v>
      </c>
      <c r="H155" s="15" t="s">
        <v>163</v>
      </c>
      <c r="I155" s="16" t="s">
        <v>8</v>
      </c>
      <c r="J155" s="16">
        <v>6313672</v>
      </c>
      <c r="K155" s="17">
        <v>7750</v>
      </c>
      <c r="L155" s="18">
        <v>45513</v>
      </c>
      <c r="M155" s="19" t="s">
        <v>17</v>
      </c>
      <c r="N155" s="20" t="s">
        <v>247</v>
      </c>
      <c r="O155" s="20"/>
      <c r="P155" s="20">
        <v>25</v>
      </c>
      <c r="Q155" s="21">
        <v>45514</v>
      </c>
      <c r="R155" s="20">
        <v>310</v>
      </c>
      <c r="S155" s="22">
        <v>7774</v>
      </c>
      <c r="T155" s="23">
        <v>120</v>
      </c>
      <c r="V155" s="37">
        <f t="shared" si="21"/>
        <v>7745</v>
      </c>
      <c r="W155" s="24">
        <f t="shared" si="22"/>
        <v>-29</v>
      </c>
      <c r="X155" s="27">
        <f t="shared" si="23"/>
        <v>-5</v>
      </c>
      <c r="Y155" s="47">
        <f t="shared" si="24"/>
        <v>-5</v>
      </c>
      <c r="Z155" s="38">
        <f t="shared" si="25"/>
        <v>0</v>
      </c>
      <c r="AA155" s="39">
        <f t="shared" si="26"/>
        <v>24</v>
      </c>
      <c r="AB155" s="39">
        <f t="shared" si="27"/>
        <v>24</v>
      </c>
      <c r="AC155" s="209"/>
      <c r="AD155" s="208"/>
      <c r="AE155" s="208"/>
      <c r="AF155" s="208"/>
      <c r="AG155" s="208"/>
      <c r="AH155" s="208"/>
      <c r="AI155" s="208"/>
      <c r="AJ155" s="208"/>
      <c r="AK155" s="208"/>
      <c r="AL155" s="208"/>
    </row>
    <row r="156" spans="1:38" s="1" customFormat="1" ht="30.75" x14ac:dyDescent="0.2">
      <c r="A156" s="11" t="s">
        <v>5</v>
      </c>
      <c r="B156" s="12" t="s">
        <v>20</v>
      </c>
      <c r="C156" s="12" t="s">
        <v>281</v>
      </c>
      <c r="D156" s="12" t="s">
        <v>218</v>
      </c>
      <c r="E156" s="12">
        <v>6311562</v>
      </c>
      <c r="F156" s="13">
        <v>7660</v>
      </c>
      <c r="G156" s="14">
        <v>45512</v>
      </c>
      <c r="H156" s="15" t="s">
        <v>163</v>
      </c>
      <c r="I156" s="16" t="s">
        <v>8</v>
      </c>
      <c r="J156" s="16">
        <v>6313951</v>
      </c>
      <c r="K156" s="17">
        <v>7685</v>
      </c>
      <c r="L156" s="18">
        <v>45513</v>
      </c>
      <c r="M156" s="19" t="s">
        <v>17</v>
      </c>
      <c r="N156" s="20" t="s">
        <v>247</v>
      </c>
      <c r="O156" s="20"/>
      <c r="P156" s="20">
        <v>25</v>
      </c>
      <c r="Q156" s="21">
        <v>45514</v>
      </c>
      <c r="R156" s="20">
        <v>310</v>
      </c>
      <c r="S156" s="22">
        <v>7699</v>
      </c>
      <c r="T156" s="23">
        <v>55</v>
      </c>
      <c r="V156" s="37">
        <f t="shared" si="21"/>
        <v>7680</v>
      </c>
      <c r="W156" s="46">
        <f t="shared" si="22"/>
        <v>-19</v>
      </c>
      <c r="X156" s="27">
        <f t="shared" si="23"/>
        <v>-5</v>
      </c>
      <c r="Y156" s="204">
        <f t="shared" si="24"/>
        <v>20</v>
      </c>
      <c r="Z156" s="38">
        <f t="shared" si="25"/>
        <v>25</v>
      </c>
      <c r="AA156" s="39">
        <f t="shared" si="26"/>
        <v>14</v>
      </c>
      <c r="AB156" s="39">
        <f t="shared" si="27"/>
        <v>39</v>
      </c>
      <c r="AC156" s="209"/>
      <c r="AD156" s="208"/>
      <c r="AE156" s="208"/>
      <c r="AF156" s="208"/>
      <c r="AG156" s="208"/>
      <c r="AH156" s="208"/>
      <c r="AI156" s="208"/>
      <c r="AJ156" s="208"/>
      <c r="AK156" s="208"/>
      <c r="AL156" s="208"/>
    </row>
    <row r="157" spans="1:38" s="1" customFormat="1" ht="30.75" x14ac:dyDescent="0.2">
      <c r="A157" s="11" t="s">
        <v>5</v>
      </c>
      <c r="B157" s="12" t="s">
        <v>19</v>
      </c>
      <c r="C157" s="12" t="s">
        <v>282</v>
      </c>
      <c r="D157" s="12" t="s">
        <v>62</v>
      </c>
      <c r="E157" s="12">
        <v>6311085</v>
      </c>
      <c r="F157" s="13">
        <v>7720</v>
      </c>
      <c r="G157" s="14">
        <v>45512</v>
      </c>
      <c r="H157" s="15" t="s">
        <v>163</v>
      </c>
      <c r="I157" s="16" t="s">
        <v>32</v>
      </c>
      <c r="J157" s="16">
        <v>6313452</v>
      </c>
      <c r="K157" s="17">
        <v>7720</v>
      </c>
      <c r="L157" s="18">
        <v>45513</v>
      </c>
      <c r="M157" s="19" t="s">
        <v>17</v>
      </c>
      <c r="N157" s="20" t="s">
        <v>51</v>
      </c>
      <c r="O157" s="20"/>
      <c r="P157" s="20">
        <v>25</v>
      </c>
      <c r="Q157" s="21">
        <v>45513</v>
      </c>
      <c r="R157" s="20">
        <v>310</v>
      </c>
      <c r="S157" s="22">
        <v>7695</v>
      </c>
      <c r="T157" s="23">
        <v>70</v>
      </c>
      <c r="V157" s="37">
        <f t="shared" si="21"/>
        <v>7695</v>
      </c>
      <c r="W157" s="28">
        <f t="shared" si="22"/>
        <v>0</v>
      </c>
      <c r="X157" s="26">
        <f t="shared" si="23"/>
        <v>-25</v>
      </c>
      <c r="Y157" s="47">
        <f t="shared" si="24"/>
        <v>-25</v>
      </c>
      <c r="Z157" s="38">
        <f t="shared" si="25"/>
        <v>0</v>
      </c>
      <c r="AA157" s="39">
        <f t="shared" si="26"/>
        <v>-25</v>
      </c>
      <c r="AB157" s="39">
        <f t="shared" si="27"/>
        <v>-25</v>
      </c>
      <c r="AC157" s="209"/>
      <c r="AD157" s="208"/>
      <c r="AE157" s="208"/>
      <c r="AF157" s="208"/>
      <c r="AG157" s="208"/>
      <c r="AH157" s="208"/>
      <c r="AI157" s="208"/>
      <c r="AJ157" s="208"/>
      <c r="AK157" s="208"/>
      <c r="AL157" s="208"/>
    </row>
    <row r="158" spans="1:38" s="1" customFormat="1" ht="30.75" x14ac:dyDescent="0.2">
      <c r="A158" s="11" t="s">
        <v>5</v>
      </c>
      <c r="B158" s="12" t="s">
        <v>24</v>
      </c>
      <c r="C158" s="12" t="s">
        <v>283</v>
      </c>
      <c r="D158" s="12" t="s">
        <v>62</v>
      </c>
      <c r="E158" s="12">
        <v>6310877</v>
      </c>
      <c r="F158" s="13">
        <v>7680</v>
      </c>
      <c r="G158" s="14">
        <v>45512</v>
      </c>
      <c r="H158" s="15" t="s">
        <v>163</v>
      </c>
      <c r="I158" s="16" t="s">
        <v>8</v>
      </c>
      <c r="J158" s="16">
        <v>6313772</v>
      </c>
      <c r="K158" s="17">
        <v>7700</v>
      </c>
      <c r="L158" s="18">
        <v>45513</v>
      </c>
      <c r="M158" s="19" t="s">
        <v>17</v>
      </c>
      <c r="N158" s="20" t="s">
        <v>51</v>
      </c>
      <c r="O158" s="20"/>
      <c r="P158" s="20">
        <v>25</v>
      </c>
      <c r="Q158" s="21">
        <v>45513</v>
      </c>
      <c r="R158" s="20">
        <v>310</v>
      </c>
      <c r="S158" s="22">
        <v>7700</v>
      </c>
      <c r="T158" s="23">
        <v>40</v>
      </c>
      <c r="V158" s="37">
        <f t="shared" si="21"/>
        <v>7665</v>
      </c>
      <c r="W158" s="24">
        <f t="shared" si="22"/>
        <v>-35</v>
      </c>
      <c r="X158" s="45">
        <f t="shared" si="23"/>
        <v>-35</v>
      </c>
      <c r="Y158" s="203">
        <f t="shared" si="24"/>
        <v>-15</v>
      </c>
      <c r="Z158" s="38">
        <f t="shared" si="25"/>
        <v>20</v>
      </c>
      <c r="AA158" s="39">
        <f t="shared" si="26"/>
        <v>0</v>
      </c>
      <c r="AB158" s="39">
        <f t="shared" si="27"/>
        <v>20</v>
      </c>
      <c r="AC158" s="209"/>
      <c r="AD158" s="208"/>
      <c r="AE158" s="208"/>
      <c r="AF158" s="208"/>
      <c r="AG158" s="208"/>
      <c r="AH158" s="208"/>
      <c r="AI158" s="208"/>
      <c r="AJ158" s="208"/>
      <c r="AK158" s="208"/>
      <c r="AL158" s="208"/>
    </row>
    <row r="159" spans="1:38" x14ac:dyDescent="0.2">
      <c r="AD159" s="283"/>
      <c r="AE159" s="283"/>
      <c r="AF159" s="283"/>
      <c r="AG159" s="283"/>
      <c r="AH159" s="283"/>
      <c r="AI159" s="283"/>
      <c r="AJ159" s="283"/>
      <c r="AK159" s="283"/>
      <c r="AL159" s="283"/>
    </row>
    <row r="160" spans="1:38" x14ac:dyDescent="0.2">
      <c r="AD160" s="283"/>
      <c r="AE160" s="283"/>
      <c r="AF160" s="283"/>
      <c r="AG160" s="283"/>
      <c r="AH160" s="283"/>
      <c r="AI160" s="283"/>
      <c r="AJ160" s="283"/>
      <c r="AK160" s="283"/>
      <c r="AL160" s="283"/>
    </row>
    <row r="161" spans="1:47" x14ac:dyDescent="0.2">
      <c r="AD161" s="283"/>
      <c r="AE161" s="283"/>
      <c r="AF161" s="283"/>
      <c r="AG161" s="283"/>
      <c r="AH161" s="283"/>
      <c r="AI161" s="283"/>
      <c r="AJ161" s="283"/>
      <c r="AK161" s="283"/>
      <c r="AL161" s="283"/>
    </row>
    <row r="162" spans="1:47" x14ac:dyDescent="0.2">
      <c r="AD162" s="283"/>
      <c r="AE162" s="283"/>
      <c r="AF162" s="283"/>
      <c r="AG162" s="283"/>
      <c r="AH162" s="283"/>
      <c r="AI162" s="283"/>
      <c r="AJ162" s="283"/>
      <c r="AK162" s="283"/>
      <c r="AL162" s="283"/>
    </row>
    <row r="163" spans="1:47" ht="80.099999999999994" customHeight="1" thickBot="1" x14ac:dyDescent="0.25">
      <c r="AD163" s="283"/>
      <c r="AE163" s="283"/>
      <c r="AF163" s="283"/>
      <c r="AG163" s="283"/>
      <c r="AH163" s="283"/>
      <c r="AI163" s="283"/>
      <c r="AJ163" s="283"/>
      <c r="AK163" s="283"/>
      <c r="AL163" s="283"/>
    </row>
    <row r="164" spans="1:47" s="1" customFormat="1" ht="80.099999999999994" customHeight="1" x14ac:dyDescent="0.2">
      <c r="A164" s="144" t="s">
        <v>86</v>
      </c>
      <c r="B164" s="145" t="s">
        <v>136</v>
      </c>
      <c r="C164" s="145" t="s">
        <v>87</v>
      </c>
      <c r="D164" s="145" t="s">
        <v>88</v>
      </c>
      <c r="E164" s="145" t="s">
        <v>89</v>
      </c>
      <c r="F164" s="145" t="s">
        <v>90</v>
      </c>
      <c r="G164" s="146" t="s">
        <v>3</v>
      </c>
      <c r="H164" s="147" t="s">
        <v>9</v>
      </c>
      <c r="I164" s="148" t="s">
        <v>10</v>
      </c>
      <c r="J164" s="148" t="s">
        <v>1</v>
      </c>
      <c r="K164" s="148" t="s">
        <v>2</v>
      </c>
      <c r="L164" s="149" t="s">
        <v>3</v>
      </c>
      <c r="M164" s="7" t="s">
        <v>9</v>
      </c>
      <c r="N164" s="8" t="s">
        <v>10</v>
      </c>
      <c r="O164" s="9" t="s">
        <v>11</v>
      </c>
      <c r="P164" s="9" t="s">
        <v>12</v>
      </c>
      <c r="Q164" s="8" t="s">
        <v>3</v>
      </c>
      <c r="R164" s="9" t="s">
        <v>100</v>
      </c>
      <c r="S164" s="9" t="s">
        <v>95</v>
      </c>
      <c r="T164" s="10" t="s">
        <v>13</v>
      </c>
      <c r="V164" s="40" t="s">
        <v>60</v>
      </c>
      <c r="W164" s="143" t="s">
        <v>91</v>
      </c>
      <c r="X164" s="52" t="s">
        <v>92</v>
      </c>
      <c r="Y164" s="53" t="s">
        <v>93</v>
      </c>
      <c r="Z164" s="150" t="s">
        <v>94</v>
      </c>
      <c r="AA164" s="151" t="s">
        <v>117</v>
      </c>
      <c r="AB164" s="152" t="s">
        <v>118</v>
      </c>
      <c r="AC164" s="209"/>
      <c r="AD164" s="208"/>
      <c r="AE164" s="284"/>
      <c r="AF164" s="284"/>
      <c r="AG164" s="284"/>
      <c r="AH164" s="284"/>
      <c r="AI164" s="208"/>
      <c r="AJ164" s="208"/>
      <c r="AK164" s="208"/>
      <c r="AL164" s="208"/>
      <c r="AM164" s="209"/>
      <c r="AN164" s="209"/>
      <c r="AO164" s="209"/>
      <c r="AP164" s="209"/>
      <c r="AQ164" s="209"/>
      <c r="AR164" s="209"/>
      <c r="AS164" s="209"/>
      <c r="AT164" s="209"/>
      <c r="AU164" s="209"/>
    </row>
    <row r="165" spans="1:47" s="1" customFormat="1" ht="30.75" x14ac:dyDescent="0.2">
      <c r="A165" s="11" t="s">
        <v>288</v>
      </c>
      <c r="B165" s="12" t="s">
        <v>20</v>
      </c>
      <c r="C165" s="12" t="s">
        <v>47</v>
      </c>
      <c r="D165" s="12" t="s">
        <v>6</v>
      </c>
      <c r="E165" s="12">
        <v>6283272</v>
      </c>
      <c r="F165" s="13">
        <v>7770</v>
      </c>
      <c r="G165" s="14">
        <v>45485</v>
      </c>
      <c r="H165" s="15" t="s">
        <v>48</v>
      </c>
      <c r="I165" s="16" t="s">
        <v>40</v>
      </c>
      <c r="J165" s="16">
        <v>6283272</v>
      </c>
      <c r="K165" s="17">
        <v>7625</v>
      </c>
      <c r="L165" s="18">
        <v>45486</v>
      </c>
      <c r="M165" s="19" t="s">
        <v>39</v>
      </c>
      <c r="N165" s="20" t="s">
        <v>41</v>
      </c>
      <c r="O165" s="20">
        <v>15</v>
      </c>
      <c r="P165" s="20"/>
      <c r="Q165" s="21">
        <v>45486</v>
      </c>
      <c r="R165" s="20">
        <v>501</v>
      </c>
      <c r="S165" s="22">
        <v>7630</v>
      </c>
      <c r="T165" s="23">
        <v>125</v>
      </c>
      <c r="V165" s="37">
        <f t="shared" ref="V165:V173" si="28">IF(RIGHT(C165, 1)="1",
    IF(O165&lt;&gt;"", 500*O165 + T165 + IF(R165&lt;=110, R165, 0), IF(P165&lt;&gt;"", 305*P165 + T165 + IF(R165&lt;=110, R165, 0), "")),
    IF(O165&lt;&gt;"", 500*O165 + T165, IF(P165&lt;&gt;"", 305*P165 + T165, ""))
)</f>
        <v>7625</v>
      </c>
      <c r="W165" s="46">
        <f t="shared" ref="W165:W173" si="29">IF(OR(ISBLANK(V165), ISBLANK(S165), NOT(ISNUMBER(V165)), NOT(ISNUMBER(S165))), "", V165-S165)</f>
        <v>-5</v>
      </c>
      <c r="X165" s="27">
        <f t="shared" ref="X165:X173" si="30">IF(OR(ISBLANK(V165), ISBLANK(K165), NOT(ISNUMBER(V165)), NOT(ISNUMBER(K165))), "", V165-K165)</f>
        <v>0</v>
      </c>
      <c r="Y165" s="199">
        <f t="shared" ref="Y165:Y173" si="31">IF(OR(ISBLANK(V165), ISBLANK(F165), NOT(ISNUMBER(V165)), NOT(ISNUMBER(F165))), "", V165-F165)</f>
        <v>-145</v>
      </c>
      <c r="Z165" s="38">
        <f t="shared" ref="Z165:Z173" si="32">IF(OR(ISBLANK(F165), ISBLANK(K165)), "",K165-F165)</f>
        <v>-145</v>
      </c>
      <c r="AA165" s="39">
        <f t="shared" ref="AA165:AA173" si="33">IF(OR(ISBLANK(K165), ISBLANK(S165)), "",S165-K165)</f>
        <v>5</v>
      </c>
      <c r="AB165" s="58">
        <f t="shared" ref="AB165:AB173" si="34">IF(OR(ISBLANK(F165), ISBLANK(S165)), "",S165-F165)</f>
        <v>-140</v>
      </c>
      <c r="AC165" s="50"/>
      <c r="AD165" s="208"/>
      <c r="AE165" s="208"/>
      <c r="AF165" s="208"/>
      <c r="AG165" s="208"/>
      <c r="AH165" s="208"/>
      <c r="AI165" s="208"/>
      <c r="AJ165" s="208"/>
      <c r="AK165" s="208"/>
      <c r="AL165" s="208"/>
    </row>
    <row r="166" spans="1:47" s="1" customFormat="1" ht="30.75" x14ac:dyDescent="0.2">
      <c r="A166" s="11" t="s">
        <v>5</v>
      </c>
      <c r="B166" s="12" t="s">
        <v>20</v>
      </c>
      <c r="C166" s="12" t="s">
        <v>241</v>
      </c>
      <c r="D166" s="12" t="s">
        <v>62</v>
      </c>
      <c r="E166" s="12">
        <v>6306337</v>
      </c>
      <c r="F166" s="13">
        <v>7740</v>
      </c>
      <c r="G166" s="14">
        <v>45509</v>
      </c>
      <c r="H166" s="15" t="s">
        <v>48</v>
      </c>
      <c r="I166" s="16" t="s">
        <v>63</v>
      </c>
      <c r="J166" s="16">
        <v>6309424</v>
      </c>
      <c r="K166" s="17">
        <v>7660</v>
      </c>
      <c r="L166" s="18">
        <v>45511</v>
      </c>
      <c r="M166" s="19" t="s">
        <v>44</v>
      </c>
      <c r="N166" s="20" t="s">
        <v>115</v>
      </c>
      <c r="O166" s="20"/>
      <c r="P166" s="20">
        <v>24</v>
      </c>
      <c r="Q166" s="21">
        <v>45511</v>
      </c>
      <c r="R166" s="20">
        <v>110</v>
      </c>
      <c r="S166" s="22">
        <v>7610</v>
      </c>
      <c r="T166" s="23">
        <v>360</v>
      </c>
      <c r="V166" s="37">
        <f t="shared" si="28"/>
        <v>7680</v>
      </c>
      <c r="W166" s="24">
        <f t="shared" si="29"/>
        <v>70</v>
      </c>
      <c r="X166" s="27">
        <f t="shared" si="30"/>
        <v>20</v>
      </c>
      <c r="Y166" s="47">
        <f t="shared" si="31"/>
        <v>-60</v>
      </c>
      <c r="Z166" s="38">
        <f t="shared" si="32"/>
        <v>-80</v>
      </c>
      <c r="AA166" s="39">
        <f t="shared" si="33"/>
        <v>-50</v>
      </c>
      <c r="AB166" s="39">
        <f t="shared" si="34"/>
        <v>-130</v>
      </c>
      <c r="AD166" s="208"/>
      <c r="AE166" s="208"/>
      <c r="AF166" s="208"/>
      <c r="AG166" s="208"/>
      <c r="AH166" s="208"/>
      <c r="AI166" s="208"/>
      <c r="AJ166" s="208"/>
      <c r="AK166" s="208"/>
      <c r="AL166" s="208"/>
    </row>
    <row r="167" spans="1:47" s="1" customFormat="1" ht="30.75" x14ac:dyDescent="0.2">
      <c r="A167" s="11" t="s">
        <v>5</v>
      </c>
      <c r="B167" s="12" t="s">
        <v>20</v>
      </c>
      <c r="C167" s="12" t="s">
        <v>275</v>
      </c>
      <c r="D167" s="12" t="s">
        <v>15</v>
      </c>
      <c r="E167" s="12">
        <v>6314059</v>
      </c>
      <c r="F167" s="13">
        <v>7660</v>
      </c>
      <c r="G167" s="14">
        <v>45513</v>
      </c>
      <c r="H167" s="15" t="s">
        <v>48</v>
      </c>
      <c r="I167" s="16" t="s">
        <v>32</v>
      </c>
      <c r="J167" s="16">
        <v>6315902</v>
      </c>
      <c r="K167" s="17">
        <v>7670</v>
      </c>
      <c r="L167" s="18">
        <v>45516</v>
      </c>
      <c r="M167" s="19" t="s">
        <v>39</v>
      </c>
      <c r="N167" s="20" t="s">
        <v>18</v>
      </c>
      <c r="O167" s="20">
        <v>15</v>
      </c>
      <c r="P167" s="20"/>
      <c r="Q167" s="21">
        <v>45516</v>
      </c>
      <c r="R167" s="20">
        <v>55</v>
      </c>
      <c r="S167" s="22">
        <v>7685</v>
      </c>
      <c r="T167" s="23">
        <v>130</v>
      </c>
      <c r="V167" s="37">
        <f t="shared" si="28"/>
        <v>7685</v>
      </c>
      <c r="W167" s="28">
        <f t="shared" si="29"/>
        <v>0</v>
      </c>
      <c r="X167" s="45">
        <f t="shared" si="30"/>
        <v>15</v>
      </c>
      <c r="Y167" s="204">
        <f t="shared" si="31"/>
        <v>25</v>
      </c>
      <c r="Z167" s="38">
        <f t="shared" si="32"/>
        <v>10</v>
      </c>
      <c r="AA167" s="39">
        <f t="shared" si="33"/>
        <v>15</v>
      </c>
      <c r="AB167" s="39">
        <f t="shared" si="34"/>
        <v>25</v>
      </c>
      <c r="AC167" s="209"/>
      <c r="AD167" s="208"/>
      <c r="AE167" s="208"/>
      <c r="AF167" s="208"/>
      <c r="AG167" s="208"/>
      <c r="AH167" s="208"/>
      <c r="AI167" s="208"/>
      <c r="AJ167" s="208"/>
      <c r="AK167" s="208"/>
      <c r="AL167" s="208"/>
    </row>
    <row r="168" spans="1:47" s="1" customFormat="1" ht="30.75" x14ac:dyDescent="0.2">
      <c r="A168" s="11" t="s">
        <v>135</v>
      </c>
      <c r="B168" s="12" t="s">
        <v>20</v>
      </c>
      <c r="C168" s="12" t="s">
        <v>276</v>
      </c>
      <c r="D168" s="12" t="s">
        <v>62</v>
      </c>
      <c r="E168" s="12">
        <v>6312581</v>
      </c>
      <c r="F168" s="13">
        <v>7660</v>
      </c>
      <c r="G168" s="14">
        <v>45513</v>
      </c>
      <c r="H168" s="15" t="s">
        <v>48</v>
      </c>
      <c r="I168" s="16" t="s">
        <v>32</v>
      </c>
      <c r="J168" s="16">
        <v>6314524</v>
      </c>
      <c r="K168" s="17">
        <v>7700</v>
      </c>
      <c r="L168" s="18">
        <v>45514</v>
      </c>
      <c r="M168" s="19" t="s">
        <v>39</v>
      </c>
      <c r="N168" s="20" t="s">
        <v>18</v>
      </c>
      <c r="O168" s="20">
        <v>15</v>
      </c>
      <c r="P168" s="20"/>
      <c r="Q168" s="21">
        <v>45514</v>
      </c>
      <c r="R168" s="20">
        <v>500</v>
      </c>
      <c r="S168" s="22">
        <v>7680</v>
      </c>
      <c r="T168" s="23">
        <v>180</v>
      </c>
      <c r="V168" s="37">
        <f t="shared" si="28"/>
        <v>7680</v>
      </c>
      <c r="W168" s="28">
        <f t="shared" si="29"/>
        <v>0</v>
      </c>
      <c r="X168" s="26">
        <f t="shared" si="30"/>
        <v>-20</v>
      </c>
      <c r="Y168" s="47">
        <f t="shared" si="31"/>
        <v>20</v>
      </c>
      <c r="Z168" s="38">
        <f t="shared" si="32"/>
        <v>40</v>
      </c>
      <c r="AA168" s="39">
        <f t="shared" si="33"/>
        <v>-20</v>
      </c>
      <c r="AB168" s="39">
        <f t="shared" si="34"/>
        <v>20</v>
      </c>
      <c r="AC168" s="209"/>
      <c r="AD168" s="208"/>
      <c r="AE168" s="208"/>
      <c r="AF168" s="208"/>
      <c r="AG168" s="208"/>
      <c r="AH168" s="208"/>
      <c r="AI168" s="208"/>
      <c r="AJ168" s="208"/>
      <c r="AK168" s="208"/>
      <c r="AL168" s="208"/>
    </row>
    <row r="169" spans="1:47" s="1" customFormat="1" ht="30.75" x14ac:dyDescent="0.2">
      <c r="A169" s="11" t="s">
        <v>135</v>
      </c>
      <c r="B169" s="12" t="s">
        <v>20</v>
      </c>
      <c r="C169" s="12" t="s">
        <v>277</v>
      </c>
      <c r="D169" s="12" t="s">
        <v>62</v>
      </c>
      <c r="E169" s="12">
        <v>6312503</v>
      </c>
      <c r="F169" s="13">
        <v>7660</v>
      </c>
      <c r="G169" s="14">
        <v>45513</v>
      </c>
      <c r="H169" s="15" t="s">
        <v>48</v>
      </c>
      <c r="I169" s="16" t="s">
        <v>63</v>
      </c>
      <c r="J169" s="16">
        <v>6314188</v>
      </c>
      <c r="K169" s="17">
        <v>7716</v>
      </c>
      <c r="L169" s="18">
        <v>45514</v>
      </c>
      <c r="M169" s="19" t="s">
        <v>39</v>
      </c>
      <c r="N169" s="20" t="s">
        <v>238</v>
      </c>
      <c r="O169" s="20">
        <v>15</v>
      </c>
      <c r="P169" s="20"/>
      <c r="Q169" s="21">
        <v>45514</v>
      </c>
      <c r="R169" s="20">
        <v>110</v>
      </c>
      <c r="S169" s="22">
        <v>7665</v>
      </c>
      <c r="T169" s="23">
        <v>55</v>
      </c>
      <c r="V169" s="37">
        <f t="shared" si="28"/>
        <v>7665</v>
      </c>
      <c r="W169" s="28">
        <f t="shared" si="29"/>
        <v>0</v>
      </c>
      <c r="X169" s="26">
        <f t="shared" si="30"/>
        <v>-51</v>
      </c>
      <c r="Y169" s="47">
        <f t="shared" si="31"/>
        <v>5</v>
      </c>
      <c r="Z169" s="38">
        <f t="shared" si="32"/>
        <v>56</v>
      </c>
      <c r="AA169" s="39">
        <f t="shared" si="33"/>
        <v>-51</v>
      </c>
      <c r="AB169" s="39">
        <f t="shared" si="34"/>
        <v>5</v>
      </c>
      <c r="AC169" s="209"/>
      <c r="AD169" s="208"/>
      <c r="AE169" s="208"/>
      <c r="AF169" s="208"/>
      <c r="AG169" s="208"/>
      <c r="AH169" s="208"/>
      <c r="AI169" s="208"/>
      <c r="AJ169" s="208"/>
      <c r="AK169" s="208"/>
      <c r="AL169" s="208"/>
    </row>
    <row r="170" spans="1:47" s="1" customFormat="1" ht="30.75" x14ac:dyDescent="0.2">
      <c r="A170" s="11" t="s">
        <v>135</v>
      </c>
      <c r="B170" s="12" t="s">
        <v>20</v>
      </c>
      <c r="C170" s="12" t="s">
        <v>278</v>
      </c>
      <c r="D170" s="12" t="s">
        <v>15</v>
      </c>
      <c r="E170" s="12">
        <v>6313854</v>
      </c>
      <c r="F170" s="13">
        <v>7680</v>
      </c>
      <c r="G170" s="14">
        <v>45513</v>
      </c>
      <c r="H170" s="15" t="s">
        <v>48</v>
      </c>
      <c r="I170" s="16" t="s">
        <v>63</v>
      </c>
      <c r="J170" s="16">
        <v>6314416</v>
      </c>
      <c r="K170" s="17">
        <v>7714</v>
      </c>
      <c r="L170" s="18">
        <v>45514</v>
      </c>
      <c r="M170" s="19" t="s">
        <v>39</v>
      </c>
      <c r="N170" s="20" t="s">
        <v>18</v>
      </c>
      <c r="O170" s="20">
        <v>15</v>
      </c>
      <c r="P170" s="20"/>
      <c r="Q170" s="21">
        <v>45514</v>
      </c>
      <c r="R170" s="20">
        <v>110</v>
      </c>
      <c r="S170" s="22">
        <v>7686</v>
      </c>
      <c r="T170" s="23">
        <v>76</v>
      </c>
      <c r="V170" s="37">
        <f t="shared" si="28"/>
        <v>7686</v>
      </c>
      <c r="W170" s="28">
        <f t="shared" si="29"/>
        <v>0</v>
      </c>
      <c r="X170" s="26">
        <f t="shared" si="30"/>
        <v>-28</v>
      </c>
      <c r="Y170" s="47">
        <f t="shared" si="31"/>
        <v>6</v>
      </c>
      <c r="Z170" s="38">
        <f t="shared" si="32"/>
        <v>34</v>
      </c>
      <c r="AA170" s="39">
        <f t="shared" si="33"/>
        <v>-28</v>
      </c>
      <c r="AB170" s="39">
        <f t="shared" si="34"/>
        <v>6</v>
      </c>
      <c r="AC170" s="209"/>
      <c r="AD170" s="208"/>
      <c r="AE170" s="208"/>
      <c r="AF170" s="208"/>
      <c r="AG170" s="208"/>
      <c r="AH170" s="208"/>
      <c r="AI170" s="208"/>
      <c r="AJ170" s="208"/>
      <c r="AK170" s="208"/>
      <c r="AL170" s="208"/>
    </row>
    <row r="171" spans="1:47" s="1" customFormat="1" ht="30.75" x14ac:dyDescent="0.2">
      <c r="A171" s="11" t="s">
        <v>135</v>
      </c>
      <c r="B171" s="12" t="s">
        <v>20</v>
      </c>
      <c r="C171" s="12" t="s">
        <v>279</v>
      </c>
      <c r="D171" s="12" t="s">
        <v>15</v>
      </c>
      <c r="E171" s="12">
        <v>6312088</v>
      </c>
      <c r="F171" s="13">
        <v>7660</v>
      </c>
      <c r="G171" s="14">
        <v>45512</v>
      </c>
      <c r="H171" s="15" t="s">
        <v>48</v>
      </c>
      <c r="I171" s="16" t="s">
        <v>63</v>
      </c>
      <c r="J171" s="16">
        <v>6314333</v>
      </c>
      <c r="K171" s="17">
        <v>7686</v>
      </c>
      <c r="L171" s="18">
        <v>45514</v>
      </c>
      <c r="M171" s="19" t="s">
        <v>39</v>
      </c>
      <c r="N171" s="20" t="s">
        <v>18</v>
      </c>
      <c r="O171" s="20">
        <v>15</v>
      </c>
      <c r="P171" s="20"/>
      <c r="Q171" s="21">
        <v>45514</v>
      </c>
      <c r="R171" s="20">
        <v>110</v>
      </c>
      <c r="S171" s="22">
        <v>7666</v>
      </c>
      <c r="T171" s="23">
        <v>56</v>
      </c>
      <c r="V171" s="37">
        <f t="shared" si="28"/>
        <v>7666</v>
      </c>
      <c r="W171" s="28">
        <f t="shared" si="29"/>
        <v>0</v>
      </c>
      <c r="X171" s="26">
        <f t="shared" si="30"/>
        <v>-20</v>
      </c>
      <c r="Y171" s="47">
        <f t="shared" si="31"/>
        <v>6</v>
      </c>
      <c r="Z171" s="38">
        <f t="shared" si="32"/>
        <v>26</v>
      </c>
      <c r="AA171" s="39">
        <f t="shared" si="33"/>
        <v>-20</v>
      </c>
      <c r="AB171" s="39">
        <f t="shared" si="34"/>
        <v>6</v>
      </c>
      <c r="AC171" s="209"/>
      <c r="AD171" s="208"/>
      <c r="AE171" s="208"/>
      <c r="AF171" s="208"/>
      <c r="AG171" s="208"/>
      <c r="AH171" s="208"/>
      <c r="AI171" s="208"/>
      <c r="AJ171" s="208"/>
      <c r="AK171" s="208"/>
      <c r="AL171" s="208"/>
    </row>
    <row r="172" spans="1:47" s="1" customFormat="1" ht="30.75" x14ac:dyDescent="0.2">
      <c r="A172" s="11" t="s">
        <v>5</v>
      </c>
      <c r="B172" s="12" t="s">
        <v>20</v>
      </c>
      <c r="C172" s="12" t="s">
        <v>284</v>
      </c>
      <c r="D172" s="12" t="s">
        <v>15</v>
      </c>
      <c r="E172" s="12">
        <v>6315170</v>
      </c>
      <c r="F172" s="13">
        <v>7660</v>
      </c>
      <c r="G172" s="14">
        <v>45514</v>
      </c>
      <c r="H172" s="15" t="s">
        <v>48</v>
      </c>
      <c r="I172" s="16" t="s">
        <v>32</v>
      </c>
      <c r="J172" s="16">
        <v>6315950</v>
      </c>
      <c r="K172" s="17">
        <v>7670</v>
      </c>
      <c r="L172" s="18">
        <v>45516</v>
      </c>
      <c r="M172" s="19" t="s">
        <v>35</v>
      </c>
      <c r="N172" s="20" t="s">
        <v>79</v>
      </c>
      <c r="O172" s="20">
        <v>15</v>
      </c>
      <c r="P172" s="20"/>
      <c r="Q172" s="21">
        <v>45516</v>
      </c>
      <c r="R172" s="20">
        <v>55</v>
      </c>
      <c r="S172" s="22">
        <v>7675</v>
      </c>
      <c r="T172" s="23">
        <v>118</v>
      </c>
      <c r="V172" s="37">
        <f t="shared" si="28"/>
        <v>7673</v>
      </c>
      <c r="W172" s="28">
        <f t="shared" si="29"/>
        <v>-2</v>
      </c>
      <c r="X172" s="45">
        <f t="shared" si="30"/>
        <v>3</v>
      </c>
      <c r="Y172" s="204">
        <f t="shared" si="31"/>
        <v>13</v>
      </c>
      <c r="Z172" s="38">
        <f t="shared" si="32"/>
        <v>10</v>
      </c>
      <c r="AA172" s="39">
        <f t="shared" si="33"/>
        <v>5</v>
      </c>
      <c r="AB172" s="39">
        <f t="shared" si="34"/>
        <v>15</v>
      </c>
      <c r="AC172" s="209"/>
    </row>
    <row r="173" spans="1:47" s="1" customFormat="1" ht="30.75" x14ac:dyDescent="0.2">
      <c r="A173" s="11" t="s">
        <v>5</v>
      </c>
      <c r="B173" s="12" t="s">
        <v>20</v>
      </c>
      <c r="C173" s="12" t="s">
        <v>286</v>
      </c>
      <c r="D173" s="12" t="s">
        <v>62</v>
      </c>
      <c r="E173" s="12">
        <v>6314387</v>
      </c>
      <c r="F173" s="13">
        <v>7660</v>
      </c>
      <c r="G173" s="14">
        <v>45514</v>
      </c>
      <c r="H173" s="15" t="s">
        <v>48</v>
      </c>
      <c r="I173" s="16" t="s">
        <v>32</v>
      </c>
      <c r="J173" s="16">
        <v>6315997</v>
      </c>
      <c r="K173" s="17">
        <v>7680</v>
      </c>
      <c r="L173" s="18">
        <v>45516</v>
      </c>
      <c r="M173" s="19" t="s">
        <v>35</v>
      </c>
      <c r="N173" s="20" t="s">
        <v>79</v>
      </c>
      <c r="O173" s="20">
        <v>15</v>
      </c>
      <c r="P173" s="20"/>
      <c r="Q173" s="21">
        <v>45516</v>
      </c>
      <c r="R173" s="20">
        <v>55</v>
      </c>
      <c r="S173" s="22">
        <v>7689</v>
      </c>
      <c r="T173" s="23">
        <v>132</v>
      </c>
      <c r="V173" s="37">
        <f t="shared" si="28"/>
        <v>7687</v>
      </c>
      <c r="W173" s="28">
        <f t="shared" si="29"/>
        <v>-2</v>
      </c>
      <c r="X173" s="45">
        <f t="shared" si="30"/>
        <v>7</v>
      </c>
      <c r="Y173" s="204">
        <f t="shared" si="31"/>
        <v>27</v>
      </c>
      <c r="Z173" s="38">
        <f t="shared" si="32"/>
        <v>20</v>
      </c>
      <c r="AA173" s="39">
        <f t="shared" si="33"/>
        <v>9</v>
      </c>
      <c r="AB173" s="39">
        <f t="shared" si="34"/>
        <v>29</v>
      </c>
      <c r="AC173" s="209"/>
    </row>
  </sheetData>
  <autoFilter ref="A3:T42" xr:uid="{BE8BB781-C563-4C2C-A1B4-9F3C1BC1387C}">
    <sortState xmlns:xlrd2="http://schemas.microsoft.com/office/spreadsheetml/2017/richdata2" ref="A4:T32">
      <sortCondition ref="G3:G25"/>
    </sortState>
  </autoFilter>
  <mergeCells count="7">
    <mergeCell ref="AE8:AI8"/>
    <mergeCell ref="AE9:AI9"/>
    <mergeCell ref="AD1:AF1"/>
    <mergeCell ref="A2:G2"/>
    <mergeCell ref="H2:L2"/>
    <mergeCell ref="M2:T2"/>
    <mergeCell ref="V2:AB2"/>
  </mergeCells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docMetadata/LabelInfo.xml><?xml version="1.0" encoding="utf-8"?>
<clbl:labelList xmlns:clbl="http://schemas.microsoft.com/office/2020/mipLabelMetadata">
  <clbl:label id="{89ab092d-ad68-44f0-89ca-65366b4c429a}" enabled="1" method="Standard" siteId="{2f7e641d-35dd-4a72-91ef-9c34810f3219}" contentBits="0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Veriler Total</vt:lpstr>
      <vt:lpstr>Veriler</vt:lpstr>
      <vt:lpstr>Kısa Boylar</vt:lpstr>
      <vt:lpstr>Ekstrem Sonuçlar</vt:lpstr>
      <vt:lpstr>Baslangıc</vt:lpstr>
      <vt:lpstr>Oz Bukme Analiz</vt:lpstr>
      <vt:lpstr>L08-04 CF Takip</vt:lpstr>
      <vt:lpstr>Kılıf Analiz</vt:lpstr>
    </vt:vector>
  </TitlesOfParts>
  <Company>Nexans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Sadik DOGRU</dc:creator>
  <cp:lastModifiedBy>Tuzla Uretim STAJYER</cp:lastModifiedBy>
  <cp:lastPrinted>2024-08-21T07:55:46Z</cp:lastPrinted>
  <dcterms:created xsi:type="dcterms:W3CDTF">2024-07-16T06:41:35Z</dcterms:created>
  <dcterms:modified xsi:type="dcterms:W3CDTF">2024-08-27T06:10:29Z</dcterms:modified>
</cp:coreProperties>
</file>